
<file path=[Content_Types].xml><?xml version="1.0" encoding="utf-8"?>
<Types xmlns="http://schemas.openxmlformats.org/package/2006/content-types">
  <Default Extension="bin" ContentType="application/vnd.openxmlformats-officedocument.spreadsheetml.printerSettings"/>
  <Default Extension="png" ContentType="image/png"/>
  <Default Extension="jpeg" ContentType="image/jpeg"/>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worksheets/sheet21.xml" ContentType="application/vnd.openxmlformats-officedocument.spreadsheetml.worksheet+xml"/>
  <Override PartName="/xl/worksheets/sheet22.xml" ContentType="application/vnd.openxmlformats-officedocument.spreadsheetml.worksheet+xml"/>
  <Override PartName="/xl/worksheets/sheet23.xml" ContentType="application/vnd.openxmlformats-officedocument.spreadsheetml.worksheet+xml"/>
  <Override PartName="/xl/worksheets/sheet24.xml" ContentType="application/vnd.openxmlformats-officedocument.spreadsheetml.worksheet+xml"/>
  <Override PartName="/xl/worksheets/sheet25.xml" ContentType="application/vnd.openxmlformats-officedocument.spreadsheetml.worksheet+xml"/>
  <Override PartName="/xl/worksheets/sheet26.xml" ContentType="application/vnd.openxmlformats-officedocument.spreadsheetml.worksheet+xml"/>
  <Override PartName="/xl/worksheets/sheet27.xml" ContentType="application/vnd.openxmlformats-officedocument.spreadsheetml.worksheet+xml"/>
  <Override PartName="/xl/worksheets/sheet28.xml" ContentType="application/vnd.openxmlformats-officedocument.spreadsheetml.worksheet+xml"/>
  <Override PartName="/xl/worksheets/sheet29.xml" ContentType="application/vnd.openxmlformats-officedocument.spreadsheetml.worksheet+xml"/>
  <Override PartName="/xl/worksheets/sheet30.xml" ContentType="application/vnd.openxmlformats-officedocument.spreadsheetml.worksheet+xml"/>
  <Override PartName="/xl/worksheets/sheet31.xml" ContentType="application/vnd.openxmlformats-officedocument.spreadsheetml.worksheet+xml"/>
  <Override PartName="/xl/worksheets/sheet32.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drawings/drawing2.xml" ContentType="application/vnd.openxmlformats-officedocument.drawing+xml"/>
  <Override PartName="/xl/tables/table1.xml" ContentType="application/vnd.openxmlformats-officedocument.spreadsheetml.table+xml"/>
  <Override PartName="/xl/drawings/drawing3.xml" ContentType="application/vnd.openxmlformats-officedocument.drawing+xml"/>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ctrlProps/ctrlProp4.xml" ContentType="application/vnd.ms-excel.controlproperties+xml"/>
  <Override PartName="/xl/drawings/drawing4.xml" ContentType="application/vnd.openxmlformats-officedocument.drawing+xml"/>
  <Override PartName="/xl/ctrlProps/ctrlProp5.xml" ContentType="application/vnd.ms-excel.controlproperties+xml"/>
  <Override PartName="/xl/ctrlProps/ctrlProp6.xml" ContentType="application/vnd.ms-excel.controlproperties+xml"/>
  <Override PartName="/xl/ctrlProps/ctrlProp7.xml" ContentType="application/vnd.ms-excel.controlproperties+xml"/>
  <Override PartName="/xl/ctrlProps/ctrlProp8.xml" ContentType="application/vnd.ms-excel.controlproperties+xml"/>
  <Override PartName="/xl/drawings/drawing5.xml" ContentType="application/vnd.openxmlformats-officedocument.drawing+xml"/>
  <Override PartName="/xl/tables/table2.xml" ContentType="application/vnd.openxmlformats-officedocument.spreadsheetml.table+xml"/>
  <Override PartName="/xl/drawings/drawing6.xml" ContentType="application/vnd.openxmlformats-officedocument.drawing+xml"/>
  <Override PartName="/xl/ctrlProps/ctrlProp9.xml" ContentType="application/vnd.ms-excel.controlproperties+xml"/>
  <Override PartName="/xl/ctrlProps/ctrlProp10.xml" ContentType="application/vnd.ms-excel.controlproperties+xml"/>
  <Override PartName="/xl/ctrlProps/ctrlProp11.xml" ContentType="application/vnd.ms-excel.controlproperties+xml"/>
  <Override PartName="/xl/ctrlProps/ctrlProp12.xml" ContentType="application/vnd.ms-excel.controlproperties+xml"/>
  <Override PartName="/xl/drawings/drawing7.xml" ContentType="application/vnd.openxmlformats-officedocument.drawing+xml"/>
  <Override PartName="/xl/tables/table3.xml" ContentType="application/vnd.openxmlformats-officedocument.spreadsheetml.table+xml"/>
  <Override PartName="/xl/drawings/drawing8.xml" ContentType="application/vnd.openxmlformats-officedocument.drawing+xml"/>
  <Override PartName="/xl/ctrlProps/ctrlProp13.xml" ContentType="application/vnd.ms-excel.controlproperties+xml"/>
  <Override PartName="/xl/ctrlProps/ctrlProp14.xml" ContentType="application/vnd.ms-excel.controlproperties+xml"/>
  <Override PartName="/xl/ctrlProps/ctrlProp15.xml" ContentType="application/vnd.ms-excel.controlproperties+xml"/>
  <Override PartName="/xl/ctrlProps/ctrlProp16.xml" ContentType="application/vnd.ms-excel.controlproperties+xml"/>
  <Override PartName="/xl/drawings/drawing9.xml" ContentType="application/vnd.openxmlformats-officedocument.drawing+xml"/>
  <Override PartName="/xl/tables/table4.xml" ContentType="application/vnd.openxmlformats-officedocument.spreadsheetml.table+xml"/>
  <Override PartName="/xl/drawings/drawing10.xml" ContentType="application/vnd.openxmlformats-officedocument.drawing+xml"/>
  <Override PartName="/xl/ctrlProps/ctrlProp17.xml" ContentType="application/vnd.ms-excel.controlproperties+xml"/>
  <Override PartName="/xl/ctrlProps/ctrlProp18.xml" ContentType="application/vnd.ms-excel.controlproperties+xml"/>
  <Override PartName="/xl/ctrlProps/ctrlProp19.xml" ContentType="application/vnd.ms-excel.controlproperties+xml"/>
  <Override PartName="/xl/ctrlProps/ctrlProp20.xml" ContentType="application/vnd.ms-excel.controlproperties+xml"/>
  <Override PartName="/xl/drawings/drawing11.xml" ContentType="application/vnd.openxmlformats-officedocument.drawing+xml"/>
  <Override PartName="/xl/tables/table5.xml" ContentType="application/vnd.openxmlformats-officedocument.spreadsheetml.table+xml"/>
  <Override PartName="/xl/drawings/drawing12.xml" ContentType="application/vnd.openxmlformats-officedocument.drawing+xml"/>
  <Override PartName="/xl/ctrlProps/ctrlProp21.xml" ContentType="application/vnd.ms-excel.controlproperties+xml"/>
  <Override PartName="/xl/ctrlProps/ctrlProp22.xml" ContentType="application/vnd.ms-excel.controlproperties+xml"/>
  <Override PartName="/xl/ctrlProps/ctrlProp23.xml" ContentType="application/vnd.ms-excel.controlproperties+xml"/>
  <Override PartName="/xl/ctrlProps/ctrlProp24.xml" ContentType="application/vnd.ms-excel.controlproperties+xml"/>
  <Override PartName="/xl/drawings/drawing13.xml" ContentType="application/vnd.openxmlformats-officedocument.drawing+xml"/>
  <Override PartName="/xl/tables/table6.xml" ContentType="application/vnd.openxmlformats-officedocument.spreadsheetml.table+xml"/>
  <Override PartName="/xl/drawings/drawing14.xml" ContentType="application/vnd.openxmlformats-officedocument.drawing+xml"/>
  <Override PartName="/xl/ctrlProps/ctrlProp25.xml" ContentType="application/vnd.ms-excel.controlproperties+xml"/>
  <Override PartName="/xl/ctrlProps/ctrlProp26.xml" ContentType="application/vnd.ms-excel.controlproperties+xml"/>
  <Override PartName="/xl/ctrlProps/ctrlProp27.xml" ContentType="application/vnd.ms-excel.controlproperties+xml"/>
  <Override PartName="/xl/ctrlProps/ctrlProp28.xml" ContentType="application/vnd.ms-excel.controlproperties+xml"/>
  <Override PartName="/xl/drawings/drawing15.xml" ContentType="application/vnd.openxmlformats-officedocument.drawing+xml"/>
  <Override PartName="/xl/tables/table7.xml" ContentType="application/vnd.openxmlformats-officedocument.spreadsheetml.table+xml"/>
  <Override PartName="/xl/drawings/drawing16.xml" ContentType="application/vnd.openxmlformats-officedocument.drawing+xml"/>
  <Override PartName="/xl/ctrlProps/ctrlProp29.xml" ContentType="application/vnd.ms-excel.controlproperties+xml"/>
  <Override PartName="/xl/ctrlProps/ctrlProp30.xml" ContentType="application/vnd.ms-excel.controlproperties+xml"/>
  <Override PartName="/xl/ctrlProps/ctrlProp31.xml" ContentType="application/vnd.ms-excel.controlproperties+xml"/>
  <Override PartName="/xl/ctrlProps/ctrlProp32.xml" ContentType="application/vnd.ms-excel.controlproperties+xml"/>
  <Override PartName="/xl/drawings/drawing17.xml" ContentType="application/vnd.openxmlformats-officedocument.drawing+xml"/>
  <Override PartName="/xl/tables/table8.xml" ContentType="application/vnd.openxmlformats-officedocument.spreadsheetml.table+xml"/>
  <Override PartName="/xl/drawings/drawing18.xml" ContentType="application/vnd.openxmlformats-officedocument.drawing+xml"/>
  <Override PartName="/xl/ctrlProps/ctrlProp33.xml" ContentType="application/vnd.ms-excel.controlproperties+xml"/>
  <Override PartName="/xl/ctrlProps/ctrlProp34.xml" ContentType="application/vnd.ms-excel.controlproperties+xml"/>
  <Override PartName="/xl/ctrlProps/ctrlProp35.xml" ContentType="application/vnd.ms-excel.controlproperties+xml"/>
  <Override PartName="/xl/ctrlProps/ctrlProp36.xml" ContentType="application/vnd.ms-excel.controlproperties+xml"/>
  <Override PartName="/xl/drawings/drawing19.xml" ContentType="application/vnd.openxmlformats-officedocument.drawing+xml"/>
  <Override PartName="/xl/tables/table9.xml" ContentType="application/vnd.openxmlformats-officedocument.spreadsheetml.table+xml"/>
  <Override PartName="/xl/tables/table10.xml" ContentType="application/vnd.openxmlformats-officedocument.spreadsheetml.table+xml"/>
  <Override PartName="/xl/tables/table11.xml" ContentType="application/vnd.openxmlformats-officedocument.spreadsheetml.table+xml"/>
  <Override PartName="/xl/tables/table12.xml" ContentType="application/vnd.openxmlformats-officedocument.spreadsheetml.table+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6" lowestEdited="6" rupBuild="14420" codeName="{51196F13-6AD0-C1B8-E2B4-A1F9AE17003E}"/>
  <workbookPr updateLinks="never" codeName="ThisWorkbook" defaultThemeVersion="164011"/>
  <mc:AlternateContent xmlns:mc="http://schemas.openxmlformats.org/markup-compatibility/2006">
    <mc:Choice Requires="x15">
      <x15ac:absPath xmlns:x15ac="http://schemas.microsoft.com/office/spreadsheetml/2010/11/ac" url="F:\AHGM\0. APLICACIONES\FastTest PlugIn\"/>
    </mc:Choice>
  </mc:AlternateContent>
  <bookViews>
    <workbookView showHorizontalScroll="0" showVerticalScroll="0" showSheetTabs="0" xWindow="0" yWindow="0" windowWidth="24000" windowHeight="9630" tabRatio="861" firstSheet="1" activeTab="1"/>
  </bookViews>
  <sheets>
    <sheet name="DICCIONARIO" sheetId="35" r:id="rId1"/>
    <sheet name="INICIO" sheetId="1" r:id="rId2"/>
    <sheet name="DATOS GENERALES" sheetId="12" r:id="rId3"/>
    <sheet name="Formulario OM" sheetId="15" r:id="rId4"/>
    <sheet name="Datos OM" sheetId="14" r:id="rId5"/>
    <sheet name="Formulario O2" sheetId="31" r:id="rId6"/>
    <sheet name="Datos O2" sheetId="32" r:id="rId7"/>
    <sheet name="Formulario VF" sheetId="16" r:id="rId8"/>
    <sheet name="Datos VF" sheetId="17" r:id="rId9"/>
    <sheet name="Formulario EM" sheetId="22" r:id="rId10"/>
    <sheet name="Datos EM" sheetId="23" r:id="rId11"/>
    <sheet name="Formulario RC" sheetId="28" r:id="rId12"/>
    <sheet name="Datos RC" sheetId="29" r:id="rId13"/>
    <sheet name="Formulario PP" sheetId="27" r:id="rId14"/>
    <sheet name="Datos PP" sheetId="30" r:id="rId15"/>
    <sheet name="Formulario EN" sheetId="43" r:id="rId16"/>
    <sheet name="Datos EN" sheetId="44" r:id="rId17"/>
    <sheet name="Formulario CL" sheetId="46" r:id="rId18"/>
    <sheet name="Datos CL" sheetId="47" r:id="rId19"/>
    <sheet name="XML OM" sheetId="18" state="hidden" r:id="rId20"/>
    <sheet name="XML O2" sheetId="33" state="hidden" r:id="rId21"/>
    <sheet name="XML VF" sheetId="21" state="hidden" r:id="rId22"/>
    <sheet name="XML EM" sheetId="24" state="hidden" r:id="rId23"/>
    <sheet name="XML RC" sheetId="25" state="hidden" r:id="rId24"/>
    <sheet name="XML PP" sheetId="26" state="hidden" r:id="rId25"/>
    <sheet name="XML EN" sheetId="45" state="hidden" r:id="rId26"/>
    <sheet name="XML CL" sheetId="48" state="hidden" r:id="rId27"/>
    <sheet name="XML" sheetId="19" state="hidden" r:id="rId28"/>
    <sheet name="DOC" sheetId="20" state="hidden" r:id="rId29"/>
    <sheet name="DOC_2" sheetId="50" state="hidden" r:id="rId30"/>
    <sheet name="DOC_TEMP" sheetId="51" state="hidden" r:id="rId31"/>
    <sheet name="OCA" sheetId="49" state="hidden" r:id="rId32"/>
  </sheets>
  <definedNames>
    <definedName name="_xlnm._FilterDatabase" localSheetId="2" hidden="1">'DATOS GENERALES'!$E$5:$I$5</definedName>
    <definedName name="_xlnm._FilterDatabase" localSheetId="0" hidden="1">DICCIONARIO!$A$1:$M$286</definedName>
    <definedName name="_xlnm._FilterDatabase" localSheetId="28" hidden="1">DOC!$B$2:$B$2</definedName>
    <definedName name="_xlnm._FilterDatabase" localSheetId="29" hidden="1">DOC_2!$B$2:$B$4</definedName>
    <definedName name="_xlnm._FilterDatabase" localSheetId="30" hidden="1">DOC_TEMP!$A$2:$A$2</definedName>
    <definedName name="_xlnm._FilterDatabase" localSheetId="17" hidden="1">'Formulario CL'!$F$33:$Q$33</definedName>
    <definedName name="_xlnm._FilterDatabase" localSheetId="27" hidden="1">XML!$A$2:$H$28</definedName>
    <definedName name="AA_EN">'Formulario EN'!$Q$21</definedName>
    <definedName name="ANCHO_RC">'Formulario CL'!$Q$9</definedName>
    <definedName name="APP">INICIO!$G$1</definedName>
    <definedName name="ARCH_PERM_EN">'Datos EN'!$K$3</definedName>
    <definedName name="ARCH_REQ_EN">'Datos EN'!$L$3</definedName>
    <definedName name="AUTOR">INICIO!$J$7</definedName>
    <definedName name="B_R">'DATOS GENERALES'!$U$40</definedName>
    <definedName name="BARAJAR_R">'DATOS GENERALES'!$K$27</definedName>
    <definedName name="C_SIMPLE">'DATOS GENERALES'!$K$4</definedName>
    <definedName name="Cambio_CL">'DATOS GENERALES'!$P$45</definedName>
    <definedName name="Cambio_EM">'DATOS GENERALES'!$P$41</definedName>
    <definedName name="Cambio_EN">'DATOS GENERALES'!$P$44</definedName>
    <definedName name="Cambio_O2">'DATOS GENERALES'!$P$39</definedName>
    <definedName name="Cambio_OM">'DATOS GENERALES'!$P$38</definedName>
    <definedName name="Cambio_PP">'DATOS GENERALES'!$P$43</definedName>
    <definedName name="Cambio_RC">'DATOS GENERALES'!$P$42</definedName>
    <definedName name="Cambio_Version">INICIO!$H$37</definedName>
    <definedName name="Cambio_VF">'DATOS GENERALES'!$P$40</definedName>
    <definedName name="Categ_01" localSheetId="2">'DATOS GENERALES'!$Y$5</definedName>
    <definedName name="Categ_02" localSheetId="2">'DATOS GENERALES'!$Y$7</definedName>
    <definedName name="Categ_03" localSheetId="2">'DATOS GENERALES'!$Y$9</definedName>
    <definedName name="Categ_04" localSheetId="2">'DATOS GENERALES'!$Y$11</definedName>
    <definedName name="Categ_05" localSheetId="2">'DATOS GENERALES'!$Y$13</definedName>
    <definedName name="Categ_06" localSheetId="2">'DATOS GENERALES'!$Y$15</definedName>
    <definedName name="Categ_07" localSheetId="2">'DATOS GENERALES'!$Y$17</definedName>
    <definedName name="Categ_08" localSheetId="2">'DATOS GENERALES'!$Y$19</definedName>
    <definedName name="Categ_09" localSheetId="2">'DATOS GENERALES'!$Y$21</definedName>
    <definedName name="Categ_10" localSheetId="2">'DATOS GENERALES'!$Y$23</definedName>
    <definedName name="Categ_11">'DATOS GENERALES'!$AA$5</definedName>
    <definedName name="Categ_12">'DATOS GENERALES'!$AA$7</definedName>
    <definedName name="Categ_13">'DATOS GENERALES'!$AA$9</definedName>
    <definedName name="Categ_14">'DATOS GENERALES'!$AA$11</definedName>
    <definedName name="Categ_15">'DATOS GENERALES'!$AA$13</definedName>
    <definedName name="Categ_16">'DATOS GENERALES'!$AA$15</definedName>
    <definedName name="Categ_17">'DATOS GENERALES'!$AA$17</definedName>
    <definedName name="Categ_18">'DATOS GENERALES'!$AA$19</definedName>
    <definedName name="Categ_19">'DATOS GENERALES'!$AA$21</definedName>
    <definedName name="Categ_20">'DATOS GENERALES'!$AA$23</definedName>
    <definedName name="Centrar_Tabla">'DATOS GENERALES'!$Y$40</definedName>
    <definedName name="Centrar_Tabla_CL">'Formulario CL'!$N$37</definedName>
    <definedName name="Centrar_Tabla_EM">'Formulario EM'!$N$37</definedName>
    <definedName name="Centrar_Tabla_EN">'Formulario EN'!$N$37</definedName>
    <definedName name="Centrar_Tabla_O2" comment="Centrar_Tabla_O2 ='Formulario O2'!$N$37">'Formulario O2'!$N$37</definedName>
    <definedName name="Centrar_Tabla_OM">'Formulario OM'!$N$37</definedName>
    <definedName name="Centrar_Tabla_PP">'Formulario PP'!$N$37</definedName>
    <definedName name="Centrar_Tabla_RC">'Formulario RC'!$N$37</definedName>
    <definedName name="Centrar_Tabla_VF">'Formulario VF'!$N$37</definedName>
    <definedName name="CODIGO_COLOR">INICIO!$G$37</definedName>
    <definedName name="CONTRASEN_A">'DATOS GENERALES'!$W$13</definedName>
    <definedName name="Dato_01" localSheetId="17">'Formulario CL'!$Y$5</definedName>
    <definedName name="Dato_01" localSheetId="9">'Formulario EM'!$Y$5</definedName>
    <definedName name="Dato_01" localSheetId="15">'Formulario EN'!$Y$5</definedName>
    <definedName name="Dato_01" comment="Celda para introducir datos para hacer preguntas variables." localSheetId="5">'Formulario O2'!$Y$5</definedName>
    <definedName name="Dato_01" comment="Celda para introducir datos para hacer preguntas variables." localSheetId="3">'Formulario OM'!$Y$5</definedName>
    <definedName name="Dato_01" localSheetId="13">'Formulario PP'!$Y$5</definedName>
    <definedName name="Dato_01" localSheetId="11">'Formulario RC'!$Y$5</definedName>
    <definedName name="Dato_01" localSheetId="7">'Formulario VF'!$Y$5</definedName>
    <definedName name="Dato_02" localSheetId="17">'Formulario CL'!$Y$7</definedName>
    <definedName name="Dato_02" localSheetId="9">'Formulario EM'!$Y$7</definedName>
    <definedName name="Dato_02" localSheetId="15">'Formulario EN'!$Y$7</definedName>
    <definedName name="Dato_02" comment="Celda para introducir datos para hacer preguntas variables." localSheetId="5">'Formulario O2'!$Y$7</definedName>
    <definedName name="Dato_02" comment="Celda para introducir datos para hacer preguntas variables." localSheetId="3">'Formulario OM'!$Y$7</definedName>
    <definedName name="Dato_02" localSheetId="13">'Formulario PP'!$Y$7</definedName>
    <definedName name="Dato_02" localSheetId="11">'Formulario RC'!$Y$7</definedName>
    <definedName name="Dato_02" localSheetId="7">'Formulario VF'!$Y$7</definedName>
    <definedName name="Dato_03" localSheetId="17">'Formulario CL'!$Y$9</definedName>
    <definedName name="Dato_03" localSheetId="9">'Formulario EM'!$Y$9</definedName>
    <definedName name="Dato_03" localSheetId="15">'Formulario EN'!$Y$9</definedName>
    <definedName name="Dato_03" comment="Celda para introducir datos para hacer preguntas variables." localSheetId="5">'Formulario O2'!$Y$9</definedName>
    <definedName name="Dato_03" comment="Celda para introducir datos para hacer preguntas variables." localSheetId="3">'Formulario OM'!$Y$9</definedName>
    <definedName name="Dato_03" localSheetId="13">'Formulario PP'!$Y$9</definedName>
    <definedName name="Dato_03" localSheetId="11">'Formulario RC'!$Y$9</definedName>
    <definedName name="Dato_03" localSheetId="7">'Formulario VF'!$Y$9</definedName>
    <definedName name="Dato_04" localSheetId="17">'Formulario CL'!$Y$11</definedName>
    <definedName name="Dato_04" localSheetId="9">'Formulario EM'!$Y$11</definedName>
    <definedName name="Dato_04" localSheetId="15">'Formulario EN'!$Y$11</definedName>
    <definedName name="Dato_04" comment="Celda para introducir datos para hacer preguntas variables." localSheetId="5">'Formulario O2'!$Y$11</definedName>
    <definedName name="Dato_04" comment="Celda para introducir datos para hacer preguntas variables." localSheetId="3">'Formulario OM'!$Y$11</definedName>
    <definedName name="Dato_04" localSheetId="13">'Formulario PP'!$Y$11</definedName>
    <definedName name="Dato_04" localSheetId="11">'Formulario RC'!$Y$11</definedName>
    <definedName name="Dato_04" localSheetId="7">'Formulario VF'!$Y$11</definedName>
    <definedName name="Dato_05" localSheetId="17">'Formulario CL'!$Y$13</definedName>
    <definedName name="Dato_05" localSheetId="9">'Formulario EM'!$Y$13</definedName>
    <definedName name="Dato_05" localSheetId="15">'Formulario EN'!$Y$13</definedName>
    <definedName name="Dato_05" comment="Celda para introducir datos para hacer preguntas variables." localSheetId="5">'Formulario O2'!$Y$13</definedName>
    <definedName name="Dato_05" comment="Celda para introducir datos para hacer preguntas variables." localSheetId="3">'Formulario OM'!$Y$13</definedName>
    <definedName name="Dato_05" localSheetId="13">'Formulario PP'!$Y$13</definedName>
    <definedName name="Dato_05" localSheetId="11">'Formulario RC'!$Y$13</definedName>
    <definedName name="Dato_05" localSheetId="7">'Formulario VF'!$Y$13</definedName>
    <definedName name="Dato_06" localSheetId="17">'Formulario CL'!$Y$15</definedName>
    <definedName name="Dato_06" localSheetId="9">'Formulario EM'!$Y$15</definedName>
    <definedName name="Dato_06" localSheetId="15">'Formulario EN'!$Y$15</definedName>
    <definedName name="Dato_06" comment="Celda para introducir datos para hacer preguntas variables." localSheetId="5">'Formulario O2'!$Y$15</definedName>
    <definedName name="Dato_06" comment="Celda para introducir datos para hacer preguntas variables." localSheetId="3">'Formulario OM'!$Y$15</definedName>
    <definedName name="Dato_06" localSheetId="13">'Formulario PP'!$Y$15</definedName>
    <definedName name="Dato_06" localSheetId="11">'Formulario RC'!$Y$15</definedName>
    <definedName name="Dato_06" localSheetId="7">'Formulario VF'!$Y$15</definedName>
    <definedName name="Dato_07" localSheetId="17">'Formulario CL'!$Y$17</definedName>
    <definedName name="Dato_07" localSheetId="9">'Formulario EM'!$Y$17</definedName>
    <definedName name="Dato_07" localSheetId="15">'Formulario EN'!$Y$17</definedName>
    <definedName name="Dato_07" comment="Celda para introducir datos para hacer preguntas variables." localSheetId="5">'Formulario O2'!$Y$17</definedName>
    <definedName name="Dato_07" comment="Celda para introducir datos para hacer preguntas variables." localSheetId="3">'Formulario OM'!$Y$17</definedName>
    <definedName name="Dato_07" localSheetId="13">'Formulario PP'!$Y$17</definedName>
    <definedName name="Dato_07" localSheetId="11">'Formulario RC'!$Y$17</definedName>
    <definedName name="Dato_07" localSheetId="7">'Formulario VF'!$Y$17</definedName>
    <definedName name="Dato_08" localSheetId="17">'Formulario CL'!$Y$19</definedName>
    <definedName name="Dato_08" localSheetId="9">'Formulario EM'!$Y$19</definedName>
    <definedName name="Dato_08" localSheetId="15">'Formulario EN'!$Y$19</definedName>
    <definedName name="Dato_08" comment="Celda para introducir datos para hacer preguntas variables." localSheetId="5">'Formulario O2'!$Y$19</definedName>
    <definedName name="Dato_08" comment="Celda para introducir datos para hacer preguntas variables." localSheetId="3">'Formulario OM'!$Y$19</definedName>
    <definedName name="Dato_08" localSheetId="13">'Formulario PP'!$Y$19</definedName>
    <definedName name="Dato_08" localSheetId="11">'Formulario RC'!$Y$19</definedName>
    <definedName name="Dato_08" localSheetId="7">'Formulario VF'!$Y$19</definedName>
    <definedName name="Dato_09" localSheetId="17">'Formulario CL'!$Y$21</definedName>
    <definedName name="Dato_09" localSheetId="9">'Formulario EM'!$Y$21</definedName>
    <definedName name="Dato_09" localSheetId="15">'Formulario EN'!$Y$21</definedName>
    <definedName name="Dato_09" comment="Celda para introducir datos para hacer preguntas variables." localSheetId="5">'Formulario O2'!$Y$21</definedName>
    <definedName name="Dato_09" comment="Celda para introducir datos para hacer preguntas variables." localSheetId="3">'Formulario OM'!$Y$21</definedName>
    <definedName name="Dato_09" localSheetId="13">'Formulario PP'!$Y$21</definedName>
    <definedName name="Dato_09" localSheetId="11">'Formulario RC'!$Y$21</definedName>
    <definedName name="Dato_09" localSheetId="7">'Formulario VF'!$Y$21</definedName>
    <definedName name="Dato_10" localSheetId="17">'Formulario CL'!$Y$23</definedName>
    <definedName name="Dato_10" localSheetId="9">'Formulario EM'!$Y$23</definedName>
    <definedName name="Dato_10" localSheetId="15">'Formulario EN'!$Y$23</definedName>
    <definedName name="Dato_10" comment="Celda para introducir datos para hacer preguntas variables." localSheetId="5">'Formulario O2'!$Y$23</definedName>
    <definedName name="Dato_10" comment="Celda para introducir datos para hacer preguntas variables." localSheetId="3">'Formulario OM'!$Y$23</definedName>
    <definedName name="Dato_10" localSheetId="13">'Formulario PP'!$Y$23</definedName>
    <definedName name="Dato_10" localSheetId="11">'Formulario RC'!$Y$23</definedName>
    <definedName name="Dato_10" localSheetId="7">'Formulario VF'!$Y$23</definedName>
    <definedName name="Dato_11" localSheetId="17">'Formulario CL'!$Y$25</definedName>
    <definedName name="Dato_11" localSheetId="9">'Formulario EM'!$Y$25</definedName>
    <definedName name="Dato_11" localSheetId="15">'Formulario EN'!$Y$25</definedName>
    <definedName name="Dato_11" comment="Celda para introducir datos para hacer preguntas variables." localSheetId="5">'Formulario O2'!$Y$25</definedName>
    <definedName name="Dato_11" comment="Celda para introducir datos para hacer preguntas variables." localSheetId="3">'Formulario OM'!$Y$25</definedName>
    <definedName name="Dato_11" localSheetId="13">'Formulario PP'!$Y$25</definedName>
    <definedName name="Dato_11" localSheetId="11">'Formulario RC'!$Y$25</definedName>
    <definedName name="Dato_11" localSheetId="7">'Formulario VF'!$Y$25</definedName>
    <definedName name="Dato_12" localSheetId="17">'Formulario CL'!$Y$27</definedName>
    <definedName name="Dato_12" localSheetId="9">'Formulario EM'!$Y$27</definedName>
    <definedName name="Dato_12" localSheetId="15">'Formulario EN'!$Y$27</definedName>
    <definedName name="Dato_12" comment="Celda para introducir datos para hacer preguntas variables." localSheetId="5">'Formulario O2'!$Y$27</definedName>
    <definedName name="Dato_12" comment="Celda para introducir datos para hacer preguntas variables." localSheetId="3">'Formulario OM'!$Y$27</definedName>
    <definedName name="Dato_12" localSheetId="13">'Formulario PP'!$Y$27</definedName>
    <definedName name="Dato_12" localSheetId="11">'Formulario RC'!$Y$27</definedName>
    <definedName name="Dato_12" localSheetId="7">'Formulario VF'!$Y$27</definedName>
    <definedName name="Dato_13" localSheetId="17">'Formulario CL'!$Y$29</definedName>
    <definedName name="Dato_13" localSheetId="9">'Formulario EM'!$Y$29</definedName>
    <definedName name="Dato_13" localSheetId="15">'Formulario EN'!$Y$29</definedName>
    <definedName name="Dato_13" comment="Celda para introducir datos para hacer preguntas variables." localSheetId="5">'Formulario O2'!$Y$29</definedName>
    <definedName name="Dato_13" comment="Celda para introducir datos para hacer preguntas variables." localSheetId="3">'Formulario OM'!$Y$29</definedName>
    <definedName name="Dato_13" localSheetId="13">'Formulario PP'!$Y$29</definedName>
    <definedName name="Dato_13" localSheetId="11">'Formulario RC'!$Y$29</definedName>
    <definedName name="Dato_13" localSheetId="7">'Formulario VF'!$Y$29</definedName>
    <definedName name="Dato_14" localSheetId="17">'Formulario CL'!$Y$31</definedName>
    <definedName name="Dato_14" localSheetId="9">'Formulario EM'!$Y$31</definedName>
    <definedName name="Dato_14" localSheetId="15">'Formulario EN'!$Y$31</definedName>
    <definedName name="Dato_14" localSheetId="5">'Formulario O2'!$Y$31</definedName>
    <definedName name="Dato_14" localSheetId="3">'Formulario OM'!$Y$31</definedName>
    <definedName name="Dato_14" localSheetId="13">'Formulario PP'!$Y$31</definedName>
    <definedName name="Dato_14" localSheetId="11">'Formulario RC'!$Y$31</definedName>
    <definedName name="Dato_14" localSheetId="7">'Formulario VF'!$Y$31</definedName>
    <definedName name="Dato_15" localSheetId="17">'Formulario CL'!$Y$33</definedName>
    <definedName name="Dato_15" localSheetId="9">'Formulario EM'!$Y$33</definedName>
    <definedName name="Dato_15" localSheetId="15">'Formulario EN'!$Y$33</definedName>
    <definedName name="Dato_15" localSheetId="5">'Formulario O2'!$Y$33</definedName>
    <definedName name="Dato_15" localSheetId="3">'Formulario OM'!$Y$33</definedName>
    <definedName name="Dato_15" localSheetId="13">'Formulario PP'!$Y$33</definedName>
    <definedName name="Dato_15" localSheetId="11">'Formulario RC'!$Y$33</definedName>
    <definedName name="Dato_15" localSheetId="7">'Formulario VF'!$Y$33</definedName>
    <definedName name="Dato_16" localSheetId="17">'Formulario CL'!$Y$35</definedName>
    <definedName name="Dato_16" localSheetId="9">'Formulario EM'!$Y$35</definedName>
    <definedName name="Dato_16" localSheetId="15">'Formulario EN'!$Y$35</definedName>
    <definedName name="Dato_16" localSheetId="5">'Formulario O2'!$Y$35</definedName>
    <definedName name="Dato_16" localSheetId="3">'Formulario OM'!$Y$35</definedName>
    <definedName name="Dato_16" localSheetId="13">'Formulario PP'!$Y$35</definedName>
    <definedName name="Dato_16" localSheetId="11">'Formulario RC'!$Y$35</definedName>
    <definedName name="Dato_16" localSheetId="7">'Formulario VF'!$Y$35</definedName>
    <definedName name="Dato_17" localSheetId="17">'Formulario CL'!$AA$5</definedName>
    <definedName name="Dato_17" localSheetId="9">'Formulario EM'!$AA$5</definedName>
    <definedName name="Dato_17" localSheetId="15">'Formulario EN'!$AA$5</definedName>
    <definedName name="Dato_17" localSheetId="5">'Formulario O2'!$AA$5</definedName>
    <definedName name="Dato_17" localSheetId="3">'Formulario OM'!$AA$5</definedName>
    <definedName name="Dato_17" localSheetId="13">'Formulario PP'!$AA$5</definedName>
    <definedName name="Dato_17" localSheetId="11">'Formulario RC'!$AA$5</definedName>
    <definedName name="Dato_17" localSheetId="7">'Formulario VF'!$AA$5</definedName>
    <definedName name="Dato_18" localSheetId="17">'Formulario CL'!$AA$7</definedName>
    <definedName name="Dato_18" localSheetId="9">'Formulario EM'!$AA$7</definedName>
    <definedName name="Dato_18" localSheetId="15">'Formulario EN'!$AA$7</definedName>
    <definedName name="Dato_18" localSheetId="5">'Formulario O2'!$AA$7</definedName>
    <definedName name="Dato_18" localSheetId="3">'Formulario OM'!$AA$7</definedName>
    <definedName name="Dato_18" localSheetId="13">'Formulario PP'!$AA$7</definedName>
    <definedName name="Dato_18" localSheetId="11">'Formulario RC'!$AA$7</definedName>
    <definedName name="Dato_18" localSheetId="7">'Formulario VF'!$AA$7</definedName>
    <definedName name="Dato_19" localSheetId="17">'Formulario CL'!$AA$9</definedName>
    <definedName name="Dato_19" localSheetId="9">'Formulario EM'!$AA$9</definedName>
    <definedName name="Dato_19" localSheetId="15">'Formulario EN'!$AA$9</definedName>
    <definedName name="Dato_19" localSheetId="5">'Formulario O2'!$AA$9</definedName>
    <definedName name="Dato_19" localSheetId="3">'Formulario OM'!$AA$9</definedName>
    <definedName name="Dato_19" localSheetId="13">'Formulario PP'!$AA$9</definedName>
    <definedName name="Dato_19" localSheetId="11">'Formulario RC'!$AA$9</definedName>
    <definedName name="Dato_19" localSheetId="7">'Formulario VF'!$AA$9</definedName>
    <definedName name="Dato_20" localSheetId="17">'Formulario CL'!$AA$11</definedName>
    <definedName name="Dato_20" localSheetId="9">'Formulario EM'!$AA$11</definedName>
    <definedName name="Dato_20" localSheetId="15">'Formulario EN'!$AA$11</definedName>
    <definedName name="Dato_20" localSheetId="5">'Formulario O2'!$AA$11</definedName>
    <definedName name="Dato_20" localSheetId="3">'Formulario OM'!$AA$11</definedName>
    <definedName name="Dato_20" localSheetId="13">'Formulario PP'!$AA$11</definedName>
    <definedName name="Dato_20" localSheetId="11">'Formulario RC'!$AA$11</definedName>
    <definedName name="Dato_20" localSheetId="7">'Formulario VF'!$AA$11</definedName>
    <definedName name="Dato_21" localSheetId="17">'Formulario CL'!$AA$13</definedName>
    <definedName name="Dato_21" localSheetId="9">'Formulario EM'!$AA$13</definedName>
    <definedName name="Dato_21" localSheetId="15">'Formulario EN'!$AA$13</definedName>
    <definedName name="Dato_21" localSheetId="5">'Formulario O2'!$AA$13</definedName>
    <definedName name="Dato_21" localSheetId="3">'Formulario OM'!$AA$13</definedName>
    <definedName name="Dato_21" localSheetId="13">'Formulario PP'!$AA$13</definedName>
    <definedName name="Dato_21" localSheetId="11">'Formulario RC'!$AA$13</definedName>
    <definedName name="Dato_21" localSheetId="7">'Formulario VF'!$AA$13</definedName>
    <definedName name="Dato_22" localSheetId="17">'Formulario CL'!$AA$15</definedName>
    <definedName name="Dato_22" localSheetId="9">'Formulario EM'!$AA$15</definedName>
    <definedName name="Dato_22" localSheetId="15">'Formulario EN'!$AA$15</definedName>
    <definedName name="Dato_22" localSheetId="5">'Formulario O2'!$AA$15</definedName>
    <definedName name="Dato_22" localSheetId="3">'Formulario OM'!$AA$15</definedName>
    <definedName name="Dato_22" localSheetId="13">'Formulario PP'!$AA$15</definedName>
    <definedName name="Dato_22" localSheetId="11">'Formulario RC'!$AA$15</definedName>
    <definedName name="Dato_22" localSheetId="7">'Formulario VF'!$AA$15</definedName>
    <definedName name="Dato_23" localSheetId="17">'Formulario CL'!$AA$17</definedName>
    <definedName name="Dato_23" localSheetId="9">'Formulario EM'!$AA$17</definedName>
    <definedName name="Dato_23" localSheetId="15">'Formulario EN'!$AA$17</definedName>
    <definedName name="Dato_23" localSheetId="5">'Formulario O2'!$AA$17</definedName>
    <definedName name="Dato_23" localSheetId="3">'Formulario OM'!$AA$17</definedName>
    <definedName name="Dato_23" localSheetId="13">'Formulario PP'!$AA$17</definedName>
    <definedName name="Dato_23" localSheetId="11">'Formulario RC'!$AA$17</definedName>
    <definedName name="Dato_23" localSheetId="7">'Formulario VF'!$AA$17</definedName>
    <definedName name="Dato_24" localSheetId="17">'Formulario CL'!$AA$19</definedName>
    <definedName name="Dato_24" localSheetId="9">'Formulario EM'!$AA$19</definedName>
    <definedName name="Dato_24" localSheetId="15">'Formulario EN'!$AA$19</definedName>
    <definedName name="Dato_24" localSheetId="5">'Formulario O2'!$AA$19</definedName>
    <definedName name="Dato_24" localSheetId="3">'Formulario OM'!$AA$19</definedName>
    <definedName name="Dato_24" localSheetId="13">'Formulario PP'!$AA$19</definedName>
    <definedName name="Dato_24" localSheetId="11">'Formulario RC'!$AA$19</definedName>
    <definedName name="Dato_24" localSheetId="7">'Formulario VF'!$AA$19</definedName>
    <definedName name="Dato_25" localSheetId="17">'Formulario CL'!$AA$21</definedName>
    <definedName name="Dato_25" localSheetId="9">'Formulario EM'!$AA$21</definedName>
    <definedName name="Dato_25" localSheetId="15">'Formulario EN'!$AA$21</definedName>
    <definedName name="Dato_25" localSheetId="5">'Formulario O2'!$AA$21</definedName>
    <definedName name="Dato_25" localSheetId="3">'Formulario OM'!$AA$21</definedName>
    <definedName name="Dato_25" localSheetId="13">'Formulario PP'!$AA$21</definedName>
    <definedName name="Dato_25" localSheetId="11">'Formulario RC'!$AA$21</definedName>
    <definedName name="Dato_25" localSheetId="7">'Formulario VF'!$AA$21</definedName>
    <definedName name="Dato_26" localSheetId="17">'Formulario CL'!$AA$23</definedName>
    <definedName name="Dato_26" localSheetId="9">'Formulario EM'!$AA$23</definedName>
    <definedName name="Dato_26" localSheetId="15">'Formulario EN'!$AA$23</definedName>
    <definedName name="Dato_26" localSheetId="5">'Formulario O2'!$AA$23</definedName>
    <definedName name="Dato_26" localSheetId="3">'Formulario OM'!$AA$23</definedName>
    <definedName name="Dato_26" localSheetId="13">'Formulario PP'!$AA$23</definedName>
    <definedName name="Dato_26" localSheetId="11">'Formulario RC'!$AA$23</definedName>
    <definedName name="Dato_26" localSheetId="7">'Formulario VF'!$AA$23</definedName>
    <definedName name="Dato_27" localSheetId="17">'Formulario CL'!$AA$25</definedName>
    <definedName name="Dato_27" localSheetId="9">'Formulario EM'!$AA$25</definedName>
    <definedName name="Dato_27" localSheetId="15">'Formulario EN'!$AA$25</definedName>
    <definedName name="Dato_27" localSheetId="5">'Formulario O2'!$AA$25</definedName>
    <definedName name="Dato_27" localSheetId="3">'Formulario OM'!$AA$25</definedName>
    <definedName name="Dato_27" localSheetId="13">'Formulario PP'!$AA$25</definedName>
    <definedName name="Dato_27" localSheetId="11">'Formulario RC'!$AA$25</definedName>
    <definedName name="Dato_27" localSheetId="7">'Formulario VF'!$AA$25</definedName>
    <definedName name="Dato_28" localSheetId="17">'Formulario CL'!$AA$27</definedName>
    <definedName name="Dato_28" localSheetId="9">'Formulario EM'!$AA$27</definedName>
    <definedName name="Dato_28" localSheetId="15">'Formulario EN'!$AA$27</definedName>
    <definedName name="Dato_28" localSheetId="5">'Formulario O2'!$AA$27</definedName>
    <definedName name="Dato_28" localSheetId="3">'Formulario OM'!$AA$27</definedName>
    <definedName name="Dato_28" localSheetId="13">'Formulario PP'!$AA$27</definedName>
    <definedName name="Dato_28" localSheetId="11">'Formulario RC'!$AA$27</definedName>
    <definedName name="Dato_28" localSheetId="7">'Formulario VF'!$AA$27</definedName>
    <definedName name="Dato_29" localSheetId="17">'Formulario CL'!$AA$29</definedName>
    <definedName name="Dato_29" localSheetId="9">'Formulario EM'!$AA$29</definedName>
    <definedName name="Dato_29" localSheetId="15">'Formulario EN'!$AA$29</definedName>
    <definedName name="Dato_29" localSheetId="5">'Formulario O2'!$AA$29</definedName>
    <definedName name="Dato_29" localSheetId="3">'Formulario OM'!$AA$29</definedName>
    <definedName name="Dato_29" localSheetId="13">'Formulario PP'!$AA$29</definedName>
    <definedName name="Dato_29" localSheetId="11">'Formulario RC'!$AA$29</definedName>
    <definedName name="Dato_29" localSheetId="7">'Formulario VF'!$AA$29</definedName>
    <definedName name="Dato_30" localSheetId="17">'Formulario CL'!$AA$31</definedName>
    <definedName name="Dato_30" localSheetId="9">'Formulario EM'!$AA$31</definedName>
    <definedName name="Dato_30" localSheetId="15">'Formulario EN'!$AA$31</definedName>
    <definedName name="Dato_30" localSheetId="5">'Formulario O2'!$AA$31</definedName>
    <definedName name="Dato_30" localSheetId="3">'Formulario OM'!$AA$31</definedName>
    <definedName name="Dato_30" localSheetId="13">'Formulario PP'!$AA$31</definedName>
    <definedName name="Dato_30" localSheetId="11">'Formulario RC'!$AA$31</definedName>
    <definedName name="Dato_30" localSheetId="7">'Formulario VF'!$AA$31</definedName>
    <definedName name="Dato_31" localSheetId="17">'Formulario CL'!$AA$33</definedName>
    <definedName name="Dato_31" localSheetId="9">'Formulario EM'!$AA$33</definedName>
    <definedName name="Dato_31" localSheetId="15">'Formulario EN'!$AA$33</definedName>
    <definedName name="Dato_31" localSheetId="5">'Formulario O2'!$AA$33</definedName>
    <definedName name="Dato_31" localSheetId="3">'Formulario OM'!$AA$33</definedName>
    <definedName name="Dato_31" localSheetId="13">'Formulario PP'!$AA$33</definedName>
    <definedName name="Dato_31" localSheetId="11">'Formulario RC'!$AA$33</definedName>
    <definedName name="Dato_31" localSheetId="7">'Formulario VF'!$AA$33</definedName>
    <definedName name="Dato_32" localSheetId="17">'Formulario CL'!$AA$35</definedName>
    <definedName name="Dato_32" localSheetId="9">'Formulario EM'!$AA$35</definedName>
    <definedName name="Dato_32" localSheetId="15">'Formulario EN'!$AA$35</definedName>
    <definedName name="Dato_32" localSheetId="5">'Formulario O2'!$AA$35</definedName>
    <definedName name="Dato_32" localSheetId="3">'Formulario OM'!$AA$35</definedName>
    <definedName name="Dato_32" localSheetId="13">'Formulario PP'!$AA$35</definedName>
    <definedName name="Dato_32" localSheetId="11">'Formulario RC'!$AA$35</definedName>
    <definedName name="Dato_32" localSheetId="7">'Formulario VF'!$AA$35</definedName>
    <definedName name="Des_Categ">'DATOS GENERALES'!$S$7</definedName>
    <definedName name="Des_E_CL">'Datos CL'!$G$4</definedName>
    <definedName name="Des_E_EM">'Datos EM'!$G$4</definedName>
    <definedName name="Des_E_EN">'Datos EN'!$G$4</definedName>
    <definedName name="Des_E_O2">'Datos O2'!$G$4</definedName>
    <definedName name="Des_E_OM">'Datos OM'!$G$4</definedName>
    <definedName name="Des_E_PP">'Datos PP'!$G$4</definedName>
    <definedName name="Des_E_RC">'Datos RC'!$G$4</definedName>
    <definedName name="Des_E_VF">'Datos VF'!$G$4</definedName>
    <definedName name="Des_Pr_CL">'Datos CL'!$F$4</definedName>
    <definedName name="Des_Pr_EM">'Datos EM'!$F$4</definedName>
    <definedName name="Des_Pr_EN">'Datos EN'!$F$4</definedName>
    <definedName name="Des_Pr_O2">'Datos O2'!$F$4</definedName>
    <definedName name="Des_Pr_OM">'Datos OM'!$F$4</definedName>
    <definedName name="Des_Pr_PP">'Datos PP'!$F$4</definedName>
    <definedName name="Des_Pr_RC">'Datos RC'!$F$4</definedName>
    <definedName name="Des_Pr_VF">'Datos VF'!$F$4</definedName>
    <definedName name="Des_Subcat">'DATOS GENERALES'!$S$9</definedName>
    <definedName name="Descr_CL">'Formulario CL'!$H$9</definedName>
    <definedName name="Descr_EM">'Formulario EM'!$H$9</definedName>
    <definedName name="Descr_EN">'Formulario EN'!$H$9</definedName>
    <definedName name="Descr_O2">'Formulario O2'!$H$9</definedName>
    <definedName name="Descr_OM">'Formulario OM'!$H$9</definedName>
    <definedName name="Descr_PP">'Formulario PP'!$H$9</definedName>
    <definedName name="Descr_RC">'Formulario RC'!$H$9</definedName>
    <definedName name="Descr_VF">'Formulario VF'!$H$9</definedName>
    <definedName name="DG_0_F">DICCIONARIO!$H$33</definedName>
    <definedName name="DG_0_I">DICCIONARIO!$G$33</definedName>
    <definedName name="DG_0_P">DICCIONARIO!$I$33</definedName>
    <definedName name="DG_1_I">DICCIONARIO!$G$34</definedName>
    <definedName name="DG_1_S">DICCIONARIO!$F$34</definedName>
    <definedName name="DG_2_I">DICCIONARIO!$G$35</definedName>
    <definedName name="DG_2_S">DICCIONARIO!$F$35</definedName>
    <definedName name="DG_3_I">DICCIONARIO!$G$36</definedName>
    <definedName name="DG_3_S">DICCIONARIO!$F$36</definedName>
    <definedName name="DG_4_I">DICCIONARIO!$G$37</definedName>
    <definedName name="DG_4_S">DICCIONARIO!$F$37</definedName>
    <definedName name="DICC_DG_0_S">DICCIONARIO!$F$33</definedName>
    <definedName name="Diferencia_CL">'DATOS GENERALES'!$O$45</definedName>
    <definedName name="Diferencia_EM">'DATOS GENERALES'!$O$41</definedName>
    <definedName name="Diferencia_EN">'DATOS GENERALES'!$O$44</definedName>
    <definedName name="Diferencia_O2">'DATOS GENERALES'!$O$39</definedName>
    <definedName name="Diferencia_OM">'DATOS GENERALES'!$O$38</definedName>
    <definedName name="Diferencia_PP">'DATOS GENERALES'!$O$43</definedName>
    <definedName name="Diferencia_RC">'DATOS GENERALES'!$O$42</definedName>
    <definedName name="Diferencia_VF">'DATOS GENERALES'!$O$40</definedName>
    <definedName name="Enun_CL">'Formulario CL'!$H$11</definedName>
    <definedName name="Enun_EM">'Formulario EM'!$H$11</definedName>
    <definedName name="Enun_EN">'Formulario EN'!$H$11</definedName>
    <definedName name="Enun_O2">'Formulario O2'!$H$11</definedName>
    <definedName name="Enun_OM">'Formulario OM'!$H$11</definedName>
    <definedName name="Enun_PP">'Formulario PP'!$H$11</definedName>
    <definedName name="Enun_RC">'Formulario RC'!$H$11</definedName>
    <definedName name="Enun_VF">'Formulario VF'!$H$11</definedName>
    <definedName name="ENUNCIADO_CL">'Datos CL'!$G$3</definedName>
    <definedName name="ENUNCIADO_EM">'Datos EM'!$G$3</definedName>
    <definedName name="ENUNCIADO_EN">'Datos EN'!$G$3</definedName>
    <definedName name="ENUNCIADO_O2">'Datos O2'!$G$3</definedName>
    <definedName name="ENUNCIADO_OM">'Datos OM'!$G$3</definedName>
    <definedName name="ENUNCIADO_PP">'Datos PP'!$G$3</definedName>
    <definedName name="ENUNCIADO_RC">'Datos RC'!$G$3</definedName>
    <definedName name="ENUNCIADO_VF">'Datos VF'!$G$3</definedName>
    <definedName name="FIN_1_1">XML!$D$2</definedName>
    <definedName name="FIN_1_1_OTRO">XML!$E$2</definedName>
    <definedName name="FIN_1_2">XML!$G$2</definedName>
    <definedName name="FIN_1_2_OTRO">XML!$H$2</definedName>
    <definedName name="FIN_10_1">XML!$D$11</definedName>
    <definedName name="FIN_10_1_OTRO">XML!$E$11</definedName>
    <definedName name="FIN_10_2">XML!$G$11</definedName>
    <definedName name="FIN_10_2_OTRO">XML!$H$11</definedName>
    <definedName name="FIN_2_1">XML!$D$3</definedName>
    <definedName name="FIN_2_1_OTRO">XML!$E$3</definedName>
    <definedName name="FIN_2_2">XML!$G$3</definedName>
    <definedName name="FIN_2_2_OTRO">XML!$H$3</definedName>
    <definedName name="FIN_3_1">XML!$D$4</definedName>
    <definedName name="FIN_3_1_OTRO">XML!$E$4</definedName>
    <definedName name="FIN_3_2">XML!$G$4</definedName>
    <definedName name="FIN_3_2_OTRO">XML!$H$4</definedName>
    <definedName name="FIN_4_1">XML!$D$5</definedName>
    <definedName name="FIN_4_1_OTRO">XML!$E$5</definedName>
    <definedName name="FIN_4_2">XML!$G$5</definedName>
    <definedName name="FIN_4_2_OTRO">XML!$H$5</definedName>
    <definedName name="FIN_5_1">XML!$D$6</definedName>
    <definedName name="FIN_5_1_OTRO">XML!$E$6</definedName>
    <definedName name="FIN_5_2">XML!$G$6</definedName>
    <definedName name="FIN_5_2_OTRO">XML!$H$6</definedName>
    <definedName name="FIN_6_1">XML!$D$7</definedName>
    <definedName name="FIN_6_1_OTRO">XML!$E$7</definedName>
    <definedName name="FIN_6_2">XML!$G$7</definedName>
    <definedName name="FIN_6_2_OTRO">XML!$H$7</definedName>
    <definedName name="FIN_7_1">XML!$D$8</definedName>
    <definedName name="FIN_7_1_OTRO">XML!$E$8</definedName>
    <definedName name="FIN_7_2">XML!$G$8</definedName>
    <definedName name="FIN_7_2_OTRO">XML!$H$8</definedName>
    <definedName name="FIN_8_1">XML!$D$9</definedName>
    <definedName name="FIN_8_1_OTRO">XML!$E$9</definedName>
    <definedName name="FIN_8_2">XML!$G$9</definedName>
    <definedName name="FIN_8_2_OTRO">XML!$H$9</definedName>
    <definedName name="FIN_9_1">XML!$D$10</definedName>
    <definedName name="FIN_9_1_OTRO">XML!$E$10</definedName>
    <definedName name="FIN_9_2">XML!$G$10</definedName>
    <definedName name="FIN_9_2_OTRO">XML!$H$10</definedName>
    <definedName name="FR_EN">'Formulario EN'!$H$17</definedName>
    <definedName name="IDIOMA">INICIO!$A$37</definedName>
    <definedName name="IE_EN">'Formulario EN'!$H$27</definedName>
    <definedName name="Imagen_CL">'Formulario CL'!$Q$7</definedName>
    <definedName name="Imagen_EM">'Formulario EM'!$Q$7</definedName>
    <definedName name="Imagen_EN">'Formulario EN'!$Q$7</definedName>
    <definedName name="Imagen_O2">'Formulario O2'!$Q$7</definedName>
    <definedName name="Imagen_OM">'Formulario OM'!$Q$7</definedName>
    <definedName name="Imagen_PP">'Formulario PP'!$Q$7</definedName>
    <definedName name="Imagen_RC">'Formulario RC'!$Q$7</definedName>
    <definedName name="Imagen_VF">'Formulario VF'!$Q$7</definedName>
    <definedName name="IMG_CL">'Datos CL'!$AJ$3</definedName>
    <definedName name="IMG_EM">'Datos EM'!$AJ$3</definedName>
    <definedName name="IMG_EN">'Datos EN'!$AJ$3</definedName>
    <definedName name="IMG_O2">'Datos O2'!$AJ$3</definedName>
    <definedName name="IMG_OM">'Datos OM'!$AJ$3</definedName>
    <definedName name="IMG_PP">'Datos PP'!$AJ$3</definedName>
    <definedName name="IMG_RC">'Datos RC'!$AJ$3</definedName>
    <definedName name="IMG_VF">'Datos VF'!$AJ$3</definedName>
    <definedName name="LANGUAGE">INICIO!$A$11</definedName>
    <definedName name="LISTA_CATEGORIAS">'DATOS GENERALES'!$Y$5,'DATOS GENERALES'!$Y$7,'DATOS GENERALES'!$Y$9,'DATOS GENERALES'!$Y$11</definedName>
    <definedName name="Marcar_RI">'DATOS GENERALES'!$P$31</definedName>
    <definedName name="Marcar_RI_TEXTO">'DATOS GENERALES'!$D$33</definedName>
    <definedName name="MAYUSCULAS">'Formulario RC'!$W$9</definedName>
    <definedName name="N_FINAL">'DATOS GENERALES'!$Y$39</definedName>
    <definedName name="N_I_CL">'Datos CL'!$A$4</definedName>
    <definedName name="N_I_EM">'Datos EM'!$A$4</definedName>
    <definedName name="N_I_EN">'Datos EN'!$A$4</definedName>
    <definedName name="N_I_O2">'Datos O2'!$A$4</definedName>
    <definedName name="N_I_OM">'Datos OM'!$A$4</definedName>
    <definedName name="N_I_PP">'Datos PP'!$A$4</definedName>
    <definedName name="N_I_RC">'Datos RC'!$A$4</definedName>
    <definedName name="N_I_Tabla">'Datos OM'!$B$4</definedName>
    <definedName name="N_I_VF">'Datos VF'!$A$4</definedName>
    <definedName name="N_INICIAL">'DATOS GENERALES'!$Y$38</definedName>
    <definedName name="N_Lineas_OCA">OCA!$B$1</definedName>
    <definedName name="N_Max_Preg">'DATOS GENERALES'!$L$46</definedName>
    <definedName name="N_Preg_Exportar">'DATOS GENERALES'!$O$46</definedName>
    <definedName name="n_preg_ON_CL">'Formulario CL'!$M$37</definedName>
    <definedName name="n_preg_ON_EM">'Formulario EM'!$M$37</definedName>
    <definedName name="n_preg_ON_EN">'Formulario EN'!$M$37</definedName>
    <definedName name="n_preg_ON_O2">'Formulario O2'!$M$37</definedName>
    <definedName name="n_preg_ON_OM">'Formulario OM'!$M$37</definedName>
    <definedName name="n_preg_ON_PP">'Formulario PP'!$M$37</definedName>
    <definedName name="n_preg_ON_RC">'Formulario RC'!$M$37</definedName>
    <definedName name="n_preg_ON_VF">'Formulario VF'!$M$37</definedName>
    <definedName name="N_Preguntas" comment="Nº Total de Preguntas" localSheetId="18">'Datos CL'!$H$1</definedName>
    <definedName name="N_Preguntas" comment="Nº Total de Preguntas" localSheetId="10">'Datos EM'!$H$1</definedName>
    <definedName name="N_Preguntas" comment="Nº Total de Preguntas" localSheetId="16">'Datos EN'!$H$1</definedName>
    <definedName name="N_Preguntas" comment="Nº Total de Preguntas" localSheetId="6">'Datos O2'!$H$1</definedName>
    <definedName name="N_Preguntas" comment="Nº Total de Preguntas" localSheetId="4">'Datos OM'!$H$1</definedName>
    <definedName name="N_Preguntas" comment="Nº Total de Preguntas" localSheetId="14">'Datos PP'!$H$1</definedName>
    <definedName name="N_Preguntas" comment="Nº Total de Preguntas" localSheetId="12">'Datos RC'!$H$1</definedName>
    <definedName name="N_Preguntas" comment="Nº Total de Preguntas" localSheetId="8">'Datos VF'!$H$1</definedName>
    <definedName name="N_R">'DATOS GENERALES'!$U$43</definedName>
    <definedName name="N_Respuestas">'DATOS GENERALES'!$X$46</definedName>
    <definedName name="NOMBRE_CL">'Datos CL'!$A$3</definedName>
    <definedName name="NOMBRE_EM">'Datos EM'!$A$3</definedName>
    <definedName name="NOMBRE_EN">'Datos EN'!$A$3</definedName>
    <definedName name="NOMBRE_O2">'Datos O2'!$A$3</definedName>
    <definedName name="NOMBRE_OM">'Datos OM'!$A$3</definedName>
    <definedName name="NOMBRE_PP">'Datos PP'!$A$3</definedName>
    <definedName name="NOMBRE_RC">'Datos RC'!$A$3</definedName>
    <definedName name="NOMBRE_VF">'Datos VF'!$A$3</definedName>
    <definedName name="NUMERAR_R">'DATOS GENERALES'!$K$29</definedName>
    <definedName name="Oculto">'DATOS GENERALES'!$W$11</definedName>
    <definedName name="ORI_1_1">XML!$C$2</definedName>
    <definedName name="ORI_1_2">XML!$F$2</definedName>
    <definedName name="ORI_10_1">XML!$C$11</definedName>
    <definedName name="ORI_10_2">XML!$F$11</definedName>
    <definedName name="ORI_2_1">XML!$C$3</definedName>
    <definedName name="ORI_2_2">XML!$F$3</definedName>
    <definedName name="ORI_3_1">XML!$C$4</definedName>
    <definedName name="ORI_3_2">XML!$F$4</definedName>
    <definedName name="ORI_4_1">XML!$C$5</definedName>
    <definedName name="ORI_4_2">XML!$F$5</definedName>
    <definedName name="ORI_5_1">XML!$C$6</definedName>
    <definedName name="ORI_5_2">XML!$F$6</definedName>
    <definedName name="ORI_6_1">XML!$C$7</definedName>
    <definedName name="ORI_6_2">XML!$F$7</definedName>
    <definedName name="ORI_7_1">XML!$C$8</definedName>
    <definedName name="ORI_7_2">XML!$F$8</definedName>
    <definedName name="ORI_8_1">XML!$C$9</definedName>
    <definedName name="ORI_8_2">XML!$F$9</definedName>
    <definedName name="ORI_9_1">XML!$C$10</definedName>
    <definedName name="ORI_9_2">XML!$F$10</definedName>
    <definedName name="ORI_FIN">XML!$C$1</definedName>
    <definedName name="P_01_1">'Formulario EM'!$F$19</definedName>
    <definedName name="P_01_2">'Formulario EM'!$J$19</definedName>
    <definedName name="P_02_1">'Formulario EM'!$P$19</definedName>
    <definedName name="P_02_2">'Formulario EM'!$T$19</definedName>
    <definedName name="P_03_1">'Formulario EM'!$F$21</definedName>
    <definedName name="P_03_2">'Formulario EM'!$J$21</definedName>
    <definedName name="P_04_1">'Formulario EM'!$P$21</definedName>
    <definedName name="P_04_2">'Formulario EM'!$T$21</definedName>
    <definedName name="P_05_1">'Formulario EM'!$F$23</definedName>
    <definedName name="P_05_2">'Formulario EM'!$J$23</definedName>
    <definedName name="P_06_1">'Formulario EM'!$P$23</definedName>
    <definedName name="P_06_2">'Formulario EM'!$T$23</definedName>
    <definedName name="P_07_1">'Formulario EM'!$F$25</definedName>
    <definedName name="P_07_2">'Formulario EM'!$J$25</definedName>
    <definedName name="P_08_1">'Formulario EM'!$P$25</definedName>
    <definedName name="P_08_2">'Formulario EM'!$T$25</definedName>
    <definedName name="P_09_1">'Formulario EM'!$F$27</definedName>
    <definedName name="P_09_2">'Formulario EM'!$J$27</definedName>
    <definedName name="P_1_O2">'Formulario O2'!$Q$17</definedName>
    <definedName name="P_1_OM">'Formulario OM'!$Q$17</definedName>
    <definedName name="P_10_1">'Formulario EM'!$P$27</definedName>
    <definedName name="P_10_2">'Formulario EM'!$T$27</definedName>
    <definedName name="P_11_1">'Formulario EM'!$F$29</definedName>
    <definedName name="P_11_2">'Formulario EM'!$J$29</definedName>
    <definedName name="P_12_1">'Formulario EM'!$P$29</definedName>
    <definedName name="P_12_2">'Formulario EM'!$T$29</definedName>
    <definedName name="P_2_O2">'Formulario O2'!$Q$19</definedName>
    <definedName name="P_2_OM">'Formulario OM'!$Q$19</definedName>
    <definedName name="P_3_O2">'Formulario O2'!$Q$21</definedName>
    <definedName name="P_3_OM">'Formulario OM'!$Q$21</definedName>
    <definedName name="P_4_O2">'Formulario O2'!$Q$23</definedName>
    <definedName name="P_4_OM">'Formulario OM'!$Q$23</definedName>
    <definedName name="P_5_O2">'Formulario O2'!$Q$25</definedName>
    <definedName name="P_5_OM">'Formulario OM'!$Q$25</definedName>
    <definedName name="P_6_O2">'Formulario O2'!$Q$27</definedName>
    <definedName name="P_6_OM">'Formulario OM'!$Q$27</definedName>
    <definedName name="P_Max">'DATOS GENERALES'!$N$46</definedName>
    <definedName name="P_max_CL">'DATOS GENERALES'!$N$45</definedName>
    <definedName name="P_max_EM">'DATOS GENERALES'!$N$41</definedName>
    <definedName name="P_max_EN">'DATOS GENERALES'!$N$44</definedName>
    <definedName name="P_max_O2">'DATOS GENERALES'!$N$39</definedName>
    <definedName name="P_max_OM">'DATOS GENERALES'!$N$38</definedName>
    <definedName name="P_max_PP">'DATOS GENERALES'!$N$43</definedName>
    <definedName name="P_max_RC">'DATOS GENERALES'!$N$42</definedName>
    <definedName name="P_max_VF">'DATOS GENERALES'!$N$40</definedName>
    <definedName name="P_Min">'DATOS GENERALES'!$M$46</definedName>
    <definedName name="P_min_CL">'DATOS GENERALES'!$M$45</definedName>
    <definedName name="P_min_EM">'DATOS GENERALES'!$M$41</definedName>
    <definedName name="P_min_EN">'DATOS GENERALES'!$M$44</definedName>
    <definedName name="P_min_O2">'DATOS GENERALES'!$M$39</definedName>
    <definedName name="P_min_OM">'DATOS GENERALES'!$M$38</definedName>
    <definedName name="P_min_PP">'DATOS GENERALES'!$M$43</definedName>
    <definedName name="P_min_RC">'DATOS GENERALES'!$M$42</definedName>
    <definedName name="P_min_VF">'DATOS GENERALES'!$M$40</definedName>
    <definedName name="P_RC_1">'Formulario RC'!$Q$15</definedName>
    <definedName name="P_RC_2">'Formulario RC'!$Q$17</definedName>
    <definedName name="P_RC_3">'Formulario RC'!$Q$19</definedName>
    <definedName name="P_RC_4">'Formulario RC'!$Q$21</definedName>
    <definedName name="P_RC_5">'Formulario RC'!$Q$23</definedName>
    <definedName name="P_RC_6">'Formulario RC'!$Q$25</definedName>
    <definedName name="P_RC_7">'Formulario RC'!$Q$27</definedName>
    <definedName name="P_RC_8">'Formulario RC'!$Q$29</definedName>
    <definedName name="P_RC_O2">'Formulario O2'!$L$29</definedName>
    <definedName name="P_RC_OM">'Formulario OM'!$L$29</definedName>
    <definedName name="P_RI_O2">'Formulario O2'!$U$29</definedName>
    <definedName name="P_RI_OM">'Formulario OM'!$U$29</definedName>
    <definedName name="PA_EN">'Formulario EN'!$H$21</definedName>
    <definedName name="Par_01_1">'Datos PP'!$H$3</definedName>
    <definedName name="Par_01_2">'Datos PP'!$I$3</definedName>
    <definedName name="Par_02_1">'Datos PP'!$J$3</definedName>
    <definedName name="Par_02_2">'Datos PP'!$K$3</definedName>
    <definedName name="Par_03_1">'Datos PP'!$L$3</definedName>
    <definedName name="Par_03_2">'Datos PP'!$M$3</definedName>
    <definedName name="Par_04_1">'Datos PP'!$N$3</definedName>
    <definedName name="Par_04_2">'Datos PP'!$O$3</definedName>
    <definedName name="Par_05_1">'Datos PP'!$P$3</definedName>
    <definedName name="Par_05_2">'Datos PP'!$Q$3</definedName>
    <definedName name="Par_06_1">'Datos PP'!$R$3</definedName>
    <definedName name="Par_06_2">'Datos PP'!$S$3</definedName>
    <definedName name="Par_07_1">'Datos PP'!$T$3</definedName>
    <definedName name="Par_07_2">'Datos PP'!$U$3</definedName>
    <definedName name="Par_08_1">'Datos PP'!$V$3</definedName>
    <definedName name="Par_08_2">'Datos PP'!$W$3</definedName>
    <definedName name="Par_09_1">'Datos PP'!$X$3</definedName>
    <definedName name="Par_09_2">'Datos PP'!$Y$3</definedName>
    <definedName name="Par_10_1">'Datos PP'!$Z$3</definedName>
    <definedName name="Par_10_2">'Datos PP'!$AA$3</definedName>
    <definedName name="Par_11_1">'Datos PP'!$AB$3</definedName>
    <definedName name="Par_11_2">'Datos PP'!$AC$3</definedName>
    <definedName name="Par_12_1">'Datos PP'!$AD$3</definedName>
    <definedName name="Par_12_2">'Datos PP'!$AE$3</definedName>
    <definedName name="Pareja_01_1">'Datos EM'!$H$3</definedName>
    <definedName name="Pareja_01_2">'Datos EM'!$I$3</definedName>
    <definedName name="Pareja_02_1">'Datos EM'!$J$3</definedName>
    <definedName name="Pareja_02_2">'Datos EM'!$K$3</definedName>
    <definedName name="Pareja_03_1">'Datos EM'!$L$3</definedName>
    <definedName name="Pareja_03_2">'Datos EM'!$M$3</definedName>
    <definedName name="Pareja_04_1">'Datos EM'!$N$3</definedName>
    <definedName name="Pareja_04_2">'Datos EM'!$O$3</definedName>
    <definedName name="Pareja_05_1">'Datos EM'!$P$3</definedName>
    <definedName name="Pareja_05_2">'Datos EM'!$Q$3</definedName>
    <definedName name="Pareja_06_1">'Datos EM'!$R$3</definedName>
    <definedName name="Pareja_06_2">'Datos EM'!$S$3</definedName>
    <definedName name="Pareja_07_1">'Datos EM'!$T$3</definedName>
    <definedName name="Pareja_07_2">'Datos EM'!$U$3</definedName>
    <definedName name="Pareja_08_1">'Datos EM'!$V$3</definedName>
    <definedName name="Pareja_08_2">'Datos EM'!$W$3</definedName>
    <definedName name="Pareja_09_1">'Datos EM'!$X$3</definedName>
    <definedName name="Pareja_09_2">'Datos EM'!$Y$3</definedName>
    <definedName name="Pareja_10_1">'Datos EM'!$Z$3</definedName>
    <definedName name="Pareja_10_2">'Datos EM'!$AA$3</definedName>
    <definedName name="Pareja_11_1">'Datos EM'!$AB$3</definedName>
    <definedName name="Pareja_11_2">'Datos EM'!$AC$3</definedName>
    <definedName name="Pareja_12_1">'Datos EM'!$AD$3</definedName>
    <definedName name="Pareja_12_2">'Datos EM'!$AE$3</definedName>
    <definedName name="PENALIZACION">'DATOS GENERALES'!$O$11</definedName>
    <definedName name="PLANT_RESP_EN">'Datos EN'!$M$3</definedName>
    <definedName name="PP_01_1">'Formulario PP'!$F$19</definedName>
    <definedName name="PP_01_2">'Formulario PP'!$H$19</definedName>
    <definedName name="PP_02_1">'Formulario PP'!$P$19</definedName>
    <definedName name="PP_02_2">'Formulario PP'!$R$19</definedName>
    <definedName name="PP_03_1">'Formulario PP'!$F$21</definedName>
    <definedName name="PP_03_2">'Formulario PP'!$H$21</definedName>
    <definedName name="PP_04_1">'Formulario PP'!$P$21</definedName>
    <definedName name="PP_04_2">'Formulario PP'!$R$21</definedName>
    <definedName name="PP_05_1">'Formulario PP'!$F$23</definedName>
    <definedName name="PP_05_2">'Formulario PP'!$H$23</definedName>
    <definedName name="PP_06_1">'Formulario PP'!$P$23</definedName>
    <definedName name="PP_06_2">'Formulario PP'!$R$23</definedName>
    <definedName name="PP_07_1">'Formulario PP'!$F$25</definedName>
    <definedName name="PP_07_2">'Formulario PP'!$H$25</definedName>
    <definedName name="PP_08_1">'Formulario PP'!$P$25</definedName>
    <definedName name="PP_08_2">'Formulario PP'!$R$25</definedName>
    <definedName name="PP_09_1">'Formulario PP'!$F$27</definedName>
    <definedName name="PP_09_2">'Formulario PP'!$H$27</definedName>
    <definedName name="PP_10_1">'Formulario PP'!$P$27</definedName>
    <definedName name="PP_10_2">'Formulario PP'!$R$27</definedName>
    <definedName name="PP_11_1">'Formulario PP'!$F$29</definedName>
    <definedName name="PP_11_2">'Formulario PP'!$H$29</definedName>
    <definedName name="PP_12_1">'Formulario PP'!$P$29</definedName>
    <definedName name="PP_12_2">'Formulario PP'!$R$29</definedName>
    <definedName name="PR_EN">'Formulario EN'!$H$23</definedName>
    <definedName name="PREF_PREGUNTA">'DATOS GENERALES'!$K$21</definedName>
    <definedName name="PREGUNTA_ACTUAL">'DATOS GENERALES'!$P$46</definedName>
    <definedName name="PREGUNTAR_IDIOMA">INICIO!$F$37</definedName>
    <definedName name="PT_01" comment="PUNTOS">'Datos RC'!$I$3</definedName>
    <definedName name="PT_02">'Datos RC'!$L$3</definedName>
    <definedName name="PT_03">'Datos RC'!$O$3</definedName>
    <definedName name="PT_04">'Datos RC'!$R$3</definedName>
    <definedName name="PT_05">'Datos RC'!$U$3</definedName>
    <definedName name="PT_06">'Datos RC'!$X$3</definedName>
    <definedName name="PT_07">'Datos RC'!$AA$3</definedName>
    <definedName name="PT_08">'Datos RC'!$AD$3</definedName>
    <definedName name="PUNTOS_1_O2">'Datos O2'!$T$3</definedName>
    <definedName name="PUNTOS_1_OM">'Datos OM'!$T$3</definedName>
    <definedName name="PUNTOS_2_O2">'Datos O2'!$U$3</definedName>
    <definedName name="PUNTOS_2_OM">'Datos OM'!$U$3</definedName>
    <definedName name="PUNTOS_3_O2">'Datos O2'!$V$3</definedName>
    <definedName name="PUNTOS_3_OM">'Datos OM'!$V$3</definedName>
    <definedName name="PUNTOS_4_O2">'Datos O2'!$W$3</definedName>
    <definedName name="PUNTOS_4_OM">'Datos OM'!$W$3</definedName>
    <definedName name="PUNTOS_5_O2">'Datos O2'!$X$3</definedName>
    <definedName name="PUNTOS_5_OM">'Datos OM'!$X$3</definedName>
    <definedName name="PUNTOS_6_O2">'Datos O2'!$Y$3</definedName>
    <definedName name="PUNTOS_6_OM">'Datos OM'!$Y$3</definedName>
    <definedName name="PUNTUACION">'DATOS GENERALES'!$S$11</definedName>
    <definedName name="PUNTUACION_C_EN">'Datos EN'!$D$3</definedName>
    <definedName name="PUNTUACION_C_O2">'Datos O2'!$D$3</definedName>
    <definedName name="PUNTUACION_C_OM">'Datos OM'!$D$3</definedName>
    <definedName name="PUNTUACION_C_VF">'Datos VF'!$D$3</definedName>
    <definedName name="PUNTUACION_I_EN">'Datos EN'!$E$3</definedName>
    <definedName name="PUNTUACION_I_O2">'Datos O2'!$E$3</definedName>
    <definedName name="PUNTUACION_I_OM">'Datos OM'!$E$3</definedName>
    <definedName name="PUNTUACION_I_VF">'Datos VF'!$E$3</definedName>
    <definedName name="R_1_O2">'Formulario O2'!$H$17</definedName>
    <definedName name="R_1_OM">'Formulario OM'!$H$17</definedName>
    <definedName name="R_2_O2">'Formulario O2'!$H$19</definedName>
    <definedName name="R_2_OM">'Formulario OM'!$H$19</definedName>
    <definedName name="R_3_O2">'Formulario O2'!$H$21</definedName>
    <definedName name="R_3_OM">'Formulario OM'!$H$21</definedName>
    <definedName name="R_4_O2">'Formulario O2'!$H$23</definedName>
    <definedName name="R_4_OM">'Formulario OM'!$H$23</definedName>
    <definedName name="R_5_O2">'Formulario O2'!$H$25</definedName>
    <definedName name="R_5_OM">'Formulario OM'!$H$25</definedName>
    <definedName name="R_6_O2">'Formulario O2'!$H$27</definedName>
    <definedName name="R_6_OM">'Formulario OM'!$H$27</definedName>
    <definedName name="R_C_EM">'Formulario EM'!$N$7</definedName>
    <definedName name="R_C_O2">'Formulario O2'!$N$29</definedName>
    <definedName name="R_C_PP">'Formulario PP'!$N$7</definedName>
    <definedName name="R_C_RC">'Formulario RC'!$N$7</definedName>
    <definedName name="R_CORRECTA">'DATOS GENERALES'!$K$15</definedName>
    <definedName name="R_Correctas_EN">'Datos EN'!$C$3</definedName>
    <definedName name="R_Correctas_O2">'Datos O2'!$B$3</definedName>
    <definedName name="R_Correctas_OM">'Datos OM'!$B$3</definedName>
    <definedName name="R_Correctas_VF">'Datos VF'!$B$3</definedName>
    <definedName name="R_I_EM">'Formulario EM'!$P$9</definedName>
    <definedName name="R_I_O2">'Formulario O2'!$W$29</definedName>
    <definedName name="R_I_OM">'Formulario OM'!$W$29</definedName>
    <definedName name="R_I_PP">'Formulario PP'!$P$9</definedName>
    <definedName name="R_I_RC">'Formulario RC'!$P$9</definedName>
    <definedName name="R_INCORRECTA">'DATOS GENERALES'!$K$19</definedName>
    <definedName name="R_Incorrectas_EN">'Datos EN'!$B$3</definedName>
    <definedName name="R_Incorrectas_O2">'Datos O2'!$C$3</definedName>
    <definedName name="R_Incorrectas_OM">'Datos OM'!$C$3</definedName>
    <definedName name="R_Incorrectas_VF">'Datos VF'!$C$4</definedName>
    <definedName name="R_Par_CORRECTA">'DATOS GENERALES'!$K$17</definedName>
    <definedName name="R_RC_1">'Formulario RC'!$T$15</definedName>
    <definedName name="R_RC_2">'Formulario RC'!$T$17</definedName>
    <definedName name="R_RC_3">'Formulario RC'!$T$19</definedName>
    <definedName name="R_RC_4">'Formulario RC'!$T$21</definedName>
    <definedName name="R_RC_5">'Formulario RC'!$T$23</definedName>
    <definedName name="R_RC_6">'Formulario RC'!$T$25</definedName>
    <definedName name="R_RC_7">'Formulario RC'!$T$27</definedName>
    <definedName name="R_RC_8">'Formulario RC'!$T$29</definedName>
    <definedName name="RA_1_O2">'Formulario O2'!$T$17</definedName>
    <definedName name="RA_1_OM">'Formulario OM'!$T$17</definedName>
    <definedName name="RA_1_VF">'Formulario VF'!$T$27</definedName>
    <definedName name="RA_2_O2">'Formulario O2'!$T$19</definedName>
    <definedName name="RA_2_OM">'Formulario OM'!$T$19</definedName>
    <definedName name="RA_2_VF">'Formulario VF'!$T$29</definedName>
    <definedName name="RA_3_O2">'Formulario O2'!$T$21</definedName>
    <definedName name="RA_3_OM">'Formulario OM'!$T$21</definedName>
    <definedName name="RA_4_O2">'Formulario O2'!$T$23</definedName>
    <definedName name="RA_4_OM">'Formulario OM'!$T$23</definedName>
    <definedName name="RA_5_O2">'Formulario O2'!$T$25</definedName>
    <definedName name="RA_5_OM">'Formulario OM'!$T$25</definedName>
    <definedName name="RA_6_O2">'Formulario O2'!$T$27</definedName>
    <definedName name="RA_6_OM">'Formulario OM'!$T$27</definedName>
    <definedName name="RANGO_EN">'Formulario EN'!$H$9,'Formulario EN'!$H$11,'Formulario EN'!$H$17,'Formulario EN'!$H$23,'Formulario EN'!$H$27,'Formulario EN'!$G$33,'Formulario EN'!$M$33,'Formulario EN'!$G$35,'Formulario EN'!$M$35</definedName>
    <definedName name="RC_01" comment="RESPUESTA CORTA">'Datos RC'!$H$3</definedName>
    <definedName name="RC_02">'Datos RC'!$K$3</definedName>
    <definedName name="RC_03">'Datos RC'!$N$3</definedName>
    <definedName name="RC_04">'Datos RC'!$Q$3</definedName>
    <definedName name="RC_05">'Datos RC'!$T$3</definedName>
    <definedName name="RC_06">'Datos RC'!$W$3</definedName>
    <definedName name="RC_07">'Datos RC'!$Z$3</definedName>
    <definedName name="RC_08">'Datos RC'!$AC$3</definedName>
    <definedName name="RC_1">'Formulario RC'!$F$15</definedName>
    <definedName name="RC_2">'Formulario RC'!$F$17</definedName>
    <definedName name="RC_3">'Formulario RC'!$F$19</definedName>
    <definedName name="RC_4">'Formulario RC'!$F$21</definedName>
    <definedName name="RC_5">'Formulario RC'!$F$23</definedName>
    <definedName name="RC_6">'Formulario RC'!$F$25</definedName>
    <definedName name="RC_7">'Formulario RC'!$F$27</definedName>
    <definedName name="RC_8">'Formulario RC'!$F$29</definedName>
    <definedName name="RC_OM">'Formulario OM'!$N$29</definedName>
    <definedName name="RC_VF">'Formulario VF'!$H$27</definedName>
    <definedName name="RE_01" comment="RETROALIMENTACION">'Datos RC'!$J$3</definedName>
    <definedName name="RE_02">'Datos RC'!$M$3</definedName>
    <definedName name="RE_03">'Datos RC'!$P$3</definedName>
    <definedName name="RE_04">'Datos RC'!$S$3</definedName>
    <definedName name="RE_05">'Datos RC'!$V$3</definedName>
    <definedName name="RE_06">'Datos RC'!$Y$3</definedName>
    <definedName name="RE_07">'Datos RC'!$AB$3</definedName>
    <definedName name="RE_08">'Datos RC'!$AE$3</definedName>
    <definedName name="REQ_TEX_EN">'Datos EN'!$I$3</definedName>
    <definedName name="RESPUESTA_1_EN">'Datos EN'!$H$3</definedName>
    <definedName name="RESPUESTA_1_O2">'Datos O2'!$H$3</definedName>
    <definedName name="RESPUESTA_1_OM">'Datos OM'!$H$3</definedName>
    <definedName name="RESPUESTA_1_VF">'Datos VF'!$H$3</definedName>
    <definedName name="RESPUESTA_2_O2">'Datos O2'!$I$3</definedName>
    <definedName name="RESPUESTA_2_OM">'Datos OM'!$I$3</definedName>
    <definedName name="RESPUESTA_3_O2">'Datos O2'!$J$3</definedName>
    <definedName name="RESPUESTA_3_OM">'Datos OM'!$J$3</definedName>
    <definedName name="RESPUESTA_4_O2">'Datos O2'!$K$3</definedName>
    <definedName name="RESPUESTA_4_OM">'Datos OM'!$K$3</definedName>
    <definedName name="RESPUESTA_5_O2">'Datos O2'!$L$3</definedName>
    <definedName name="RESPUESTA_5_OM">'Datos OM'!$L$3</definedName>
    <definedName name="RESPUESTA_6_O2">'Datos O2'!$M$3</definedName>
    <definedName name="RESPUESTA_6_OM">'Datos OM'!$M$3</definedName>
    <definedName name="RETROAL_1_EN">'Datos EN'!$N$3</definedName>
    <definedName name="RETROAL_1_O2">'Datos O2'!$N$3</definedName>
    <definedName name="RETROAL_1_OM">'Datos OM'!$N$3</definedName>
    <definedName name="RETROAL_1_VF">'Datos VF'!$I$3</definedName>
    <definedName name="RETROAL_2_EN">'Datos EN'!$O$3</definedName>
    <definedName name="RETROAL_2_O2">'Datos O2'!$O$3</definedName>
    <definedName name="RETROAL_2_OM">'Datos OM'!$O$3</definedName>
    <definedName name="RETROAL_2_VF">'Datos VF'!$J$3</definedName>
    <definedName name="RETROAL_3_O2">'Datos O2'!$P$3</definedName>
    <definedName name="RETROAL_3_OM">'Datos OM'!$P$3</definedName>
    <definedName name="RETROAL_4_O2">'Datos O2'!$Q$3</definedName>
    <definedName name="RETROAL_4_OM">'Datos OM'!$Q$3</definedName>
    <definedName name="RETROAL_5_O2">'Datos O2'!$R$3</definedName>
    <definedName name="RETROAL_5_OM">'Datos OM'!$R$3</definedName>
    <definedName name="RETROAL_6_O2">'Datos O2'!$S$3</definedName>
    <definedName name="RETROAL_6_OM">'Datos OM'!$S$3</definedName>
    <definedName name="Retroalim_GENERAL">'DATOS GENERALES'!$K$13</definedName>
    <definedName name="RT_EN">'Formulario EN'!$H$19</definedName>
    <definedName name="strDecimal_I" comment="Cambio sistema decimales">INICIO!$B$37</definedName>
    <definedName name="strMiles_I" comment="Cambio sistema decimales">INICIO!$C$37</definedName>
    <definedName name="SubCat_01" localSheetId="2">'DATOS GENERALES'!$Y$25</definedName>
    <definedName name="SubCat_02" localSheetId="2">'DATOS GENERALES'!$Y$27</definedName>
    <definedName name="SubCat_03" localSheetId="2">'DATOS GENERALES'!$Y$29</definedName>
    <definedName name="SubCat_04" localSheetId="2">'DATOS GENERALES'!$Y$31</definedName>
    <definedName name="SubCat_05" localSheetId="2">'DATOS GENERALES'!$Y$33</definedName>
    <definedName name="SubCat_06" localSheetId="2">'DATOS GENERALES'!$Y$35</definedName>
    <definedName name="SubCat_07">'DATOS GENERALES'!$AA$25</definedName>
    <definedName name="SubCat_08">'DATOS GENERALES'!$AA$27</definedName>
    <definedName name="SubCat_09">'DATOS GENERALES'!$AA$29</definedName>
    <definedName name="SubCat_10">'DATOS GENERALES'!$AA$31</definedName>
    <definedName name="SubCat_11">'DATOS GENERALES'!$AA$33</definedName>
    <definedName name="SubCat_12">'DATOS GENERALES'!$AA$35</definedName>
    <definedName name="T_R" comment="Tipo numeración respuestas">'DATOS GENERALES'!$U$38</definedName>
    <definedName name="TAMA_CAJA_EN">'Datos EN'!$J$3</definedName>
    <definedName name="TC_EN">'Formulario EN'!$U$19</definedName>
    <definedName name="Tipo_1" comment="Tipo Cuestionario">'DATOS GENERALES'!$J$38</definedName>
    <definedName name="Tipo_2" comment="Tipo Cuestionario">'DATOS GENERALES'!$J$39</definedName>
    <definedName name="Tipo_3" comment="Tipo Cuestionario">'DATOS GENERALES'!$J$40</definedName>
    <definedName name="Tipo_4" comment="Tipo Cuestionario">'DATOS GENERALES'!$J$41</definedName>
    <definedName name="Tipo_5" comment="Tipo Cuestionario">'DATOS GENERALES'!$J$42</definedName>
    <definedName name="Tipo_6" comment="Tipo Cuestionario">'DATOS GENERALES'!$J$43</definedName>
    <definedName name="Tipo_7" comment="Tipo Cuestionario">'DATOS GENERALES'!$J$44</definedName>
    <definedName name="Tipo_8">'DATOS GENERALES'!$J$45</definedName>
    <definedName name="Tipo_Cuestionario_Cod" comment="CODIGO Cuestionario">'DATOS GENERALES'!$K$46</definedName>
    <definedName name="Tipo_Cuestionario_MAY">'DATOS GENERALES'!$G$46</definedName>
    <definedName name="Tipo_Cuestionario_Nom" comment="NOMBRE Cuestionario">'DATOS GENERALES'!$J$46</definedName>
    <definedName name="Tipo_Cuestionario_Num" comment="NUMERO Cuestionario">'DATOS GENERALES'!$B$46</definedName>
    <definedName name="Tit_Categ" comment="Título de la categoría">'DATOS GENERALES'!$K$7</definedName>
    <definedName name="Tit_Subcat" comment="Título de la subcategoría">'DATOS GENERALES'!$K$9</definedName>
    <definedName name="Total_Formulas">'DATOS GENERALES'!$P$5</definedName>
    <definedName name="Total_Preguntas">'DATOS GENERALES'!$P$47</definedName>
    <definedName name="Ult_F_Dic">DICCIONARIO!$D$329</definedName>
    <definedName name="UseSystem_I" comment="Cambio sistema decimales">INICIO!$D$37</definedName>
    <definedName name="Version">INICIO!$S$30</definedName>
    <definedName name="Z_??_?_">DICCIONARIO!$L$158</definedName>
    <definedName name="Z_??_?_D">DICCIONARIO!$K$158</definedName>
    <definedName name="Z_??_?_E">DICCIONARIO!$G$158</definedName>
    <definedName name="Z_??_?_F">DICCIONARIO!$H$158</definedName>
    <definedName name="Z_??_?_I">DICCIONARIO!$J$158</definedName>
    <definedName name="Z_??_?_O">DICCIONARIO!$E$158</definedName>
    <definedName name="Z_??_?_P">DICCIONARIO!$I$158</definedName>
    <definedName name="Z_??_?_S">DICCIONARIO!$F$158</definedName>
    <definedName name="Z_0_?_">DICCIONARIO!$L$188</definedName>
    <definedName name="Z_0_?_D">DICCIONARIO!$K$188</definedName>
    <definedName name="Z_0_?_E">DICCIONARIO!$G$188</definedName>
    <definedName name="Z_0_?_F">DICCIONARIO!$H$188</definedName>
    <definedName name="Z_0_?_I">DICCIONARIO!$J$188</definedName>
    <definedName name="Z_0_?_O">DICCIONARIO!$E$188</definedName>
    <definedName name="Z_0_?_P">DICCIONARIO!$I$188</definedName>
    <definedName name="Z_0_?_S">DICCIONARIO!$F$188</definedName>
    <definedName name="Z_AA_EN_?_">DICCIONARIO!$L$185</definedName>
    <definedName name="Z_AA_EN_?_D">DICCIONARIO!$K$185</definedName>
    <definedName name="Z_AA_EN_?_E">DICCIONARIO!$G$185</definedName>
    <definedName name="Z_AA_EN_?_F">DICCIONARIO!$H$185</definedName>
    <definedName name="Z_AA_EN_?_I">DICCIONARIO!$J$185</definedName>
    <definedName name="Z_AA_EN_?_O">DICCIONARIO!$E$185</definedName>
    <definedName name="Z_AA_EN_?_P">DICCIONARIO!$I$185</definedName>
    <definedName name="Z_AA_EN_?_S">DICCIONARIO!$F$185</definedName>
    <definedName name="Z_BARAJAR_R_?_">DICCIONARIO!$L$150</definedName>
    <definedName name="Z_BARAJAR_R_?_D">DICCIONARIO!$K$150</definedName>
    <definedName name="Z_BARAJAR_R_?_E">DICCIONARIO!$G$150</definedName>
    <definedName name="Z_BARAJAR_R_?_F">DICCIONARIO!$H$150</definedName>
    <definedName name="Z_BARAJAR_R_?_I">DICCIONARIO!$J$150</definedName>
    <definedName name="Z_BARAJAR_R_?_O">DICCIONARIO!$E$150</definedName>
    <definedName name="Z_BARAJAR_R_?_P">DICCIONARIO!$I$150</definedName>
    <definedName name="Z_BARAJAR_R_?_S">DICCIONARIO!$F$150</definedName>
    <definedName name="Z_BP_00_">DICCIONARIO!$L$135</definedName>
    <definedName name="Z_BP_00_D">DICCIONARIO!$K$135</definedName>
    <definedName name="Z_BP_00_E">DICCIONARIO!$G$135</definedName>
    <definedName name="Z_BP_00_F">DICCIONARIO!$H$135</definedName>
    <definedName name="Z_BP_00_I">DICCIONARIO!$J$135</definedName>
    <definedName name="Z_BP_00_O">DICCIONARIO!$E$135</definedName>
    <definedName name="Z_BP_00_P">DICCIONARIO!$I$135</definedName>
    <definedName name="Z_BP_00_S">DICCIONARIO!$F$135</definedName>
    <definedName name="Z_BP_01_">DICCIONARIO!$L$136</definedName>
    <definedName name="Z_BP_01_D">DICCIONARIO!$K$136</definedName>
    <definedName name="Z_BP_01_E">DICCIONARIO!$G$136</definedName>
    <definedName name="Z_BP_01_F">DICCIONARIO!$H$136</definedName>
    <definedName name="Z_BP_01_I">DICCIONARIO!$J$136</definedName>
    <definedName name="Z_BP_01_O">DICCIONARIO!$E$136</definedName>
    <definedName name="Z_BP_01_P">DICCIONARIO!$I$136</definedName>
    <definedName name="Z_BP_01_S">DICCIONARIO!$F$136</definedName>
    <definedName name="Z_BP_02_">DICCIONARIO!$L$137</definedName>
    <definedName name="Z_BP_02_D">DICCIONARIO!$K$137</definedName>
    <definedName name="Z_BP_02_E">DICCIONARIO!$G$137</definedName>
    <definedName name="Z_BP_02_F">DICCIONARIO!$H$137</definedName>
    <definedName name="Z_BP_02_I">DICCIONARIO!$J$137</definedName>
    <definedName name="Z_BP_02_O">DICCIONARIO!$E$137</definedName>
    <definedName name="Z_BP_02_P">DICCIONARIO!$I$137</definedName>
    <definedName name="Z_BP_02_S">DICCIONARIO!$F$137</definedName>
    <definedName name="Z_BP_03_">DICCIONARIO!$L$138</definedName>
    <definedName name="Z_BP_03_D">DICCIONARIO!$K$138</definedName>
    <definedName name="Z_BP_03_E">DICCIONARIO!$G$138</definedName>
    <definedName name="Z_BP_03_F">DICCIONARIO!$H$138</definedName>
    <definedName name="Z_BP_03_I">DICCIONARIO!$J$138</definedName>
    <definedName name="Z_BP_03_O">DICCIONARIO!$E$138</definedName>
    <definedName name="Z_BP_03_P">DICCIONARIO!$I$138</definedName>
    <definedName name="Z_BP_03_S">DICCIONARIO!$F$138</definedName>
    <definedName name="Z_CONTRASEN_A_?_">DICCIONARIO!$L$143</definedName>
    <definedName name="Z_CONTRASEN_A_?_D">DICCIONARIO!$K$143</definedName>
    <definedName name="Z_CONTRASEN_A_?_E">DICCIONARIO!$G$143</definedName>
    <definedName name="Z_CONTRASEN_A_?_F">DICCIONARIO!$H$143</definedName>
    <definedName name="Z_CONTRASEN_A_?_I">DICCIONARIO!$J$143</definedName>
    <definedName name="Z_CONTRASEN_A_?_O">DICCIONARIO!$E$143</definedName>
    <definedName name="Z_CONTRASEN_A_?_P">DICCIONARIO!$I$143</definedName>
    <definedName name="Z_CONTRASEN_A_?_S">DICCIONARIO!$F$143</definedName>
    <definedName name="Z_Des_Categ_?_">DICCIONARIO!$L$152</definedName>
    <definedName name="Z_Des_Categ_?_D">DICCIONARIO!$K$152</definedName>
    <definedName name="Z_Des_Categ_?_E">DICCIONARIO!$G$152</definedName>
    <definedName name="Z_Des_Categ_?_F">DICCIONARIO!$H$152</definedName>
    <definedName name="Z_Des_Categ_?_I">DICCIONARIO!$J$152</definedName>
    <definedName name="Z_Des_Categ_?_O">DICCIONARIO!$E$152</definedName>
    <definedName name="Z_Des_Categ_?_P">DICCIONARIO!$I$152</definedName>
    <definedName name="Z_Des_Categ_?_S">DICCIONARIO!$F$152</definedName>
    <definedName name="Z_Des_Subcat_?_">DICCIONARIO!$L$153</definedName>
    <definedName name="Z_Des_Subcat_?_D">DICCIONARIO!$K$153</definedName>
    <definedName name="Z_Des_Subcat_?_E">DICCIONARIO!$G$153</definedName>
    <definedName name="Z_Des_Subcat_?_F">DICCIONARIO!$H$153</definedName>
    <definedName name="Z_Des_Subcat_?_I">DICCIONARIO!$J$153</definedName>
    <definedName name="Z_Des_Subcat_?_O">DICCIONARIO!$E$153</definedName>
    <definedName name="Z_Des_Subcat_?_P">DICCIONARIO!$I$153</definedName>
    <definedName name="Z_Des_Subcat_?_S">DICCIONARIO!$F$153</definedName>
    <definedName name="Z_DG_00_">DICCIONARIO!$L$33</definedName>
    <definedName name="Z_DG_00_D">DICCIONARIO!$K$33</definedName>
    <definedName name="Z_DG_00_E">DICCIONARIO!$G$33</definedName>
    <definedName name="Z_DG_00_F">DICCIONARIO!$H$33</definedName>
    <definedName name="Z_DG_00_I">DICCIONARIO!$J$33</definedName>
    <definedName name="Z_DG_00_O">DICCIONARIO!$E$33</definedName>
    <definedName name="Z_DG_00_P">DICCIONARIO!$I$33</definedName>
    <definedName name="Z_DG_00_S">DICCIONARIO!$F$33</definedName>
    <definedName name="Z_DG_01_">DICCIONARIO!$L$34</definedName>
    <definedName name="Z_DG_01_D">DICCIONARIO!$K$34</definedName>
    <definedName name="Z_DG_01_E">DICCIONARIO!$G$34</definedName>
    <definedName name="Z_DG_01_F">DICCIONARIO!$H$34</definedName>
    <definedName name="Z_DG_01_I">DICCIONARIO!$J$34</definedName>
    <definedName name="Z_DG_01_O">DICCIONARIO!$E$34</definedName>
    <definedName name="Z_DG_01_P">DICCIONARIO!$I$34</definedName>
    <definedName name="Z_DG_01_S">DICCIONARIO!$F$34</definedName>
    <definedName name="Z_DG_02_">DICCIONARIO!$L$35</definedName>
    <definedName name="Z_DG_02_D">DICCIONARIO!$K$35</definedName>
    <definedName name="Z_DG_02_E">DICCIONARIO!$G$35</definedName>
    <definedName name="Z_DG_02_F">DICCIONARIO!$H$35</definedName>
    <definedName name="Z_DG_02_I">DICCIONARIO!$J$35</definedName>
    <definedName name="Z_DG_02_O">DICCIONARIO!$E$35</definedName>
    <definedName name="Z_DG_02_P">DICCIONARIO!$I$35</definedName>
    <definedName name="Z_DG_02_S">DICCIONARIO!$F$35</definedName>
    <definedName name="Z_DG_03_">DICCIONARIO!$L$36</definedName>
    <definedName name="Z_DG_03_D">DICCIONARIO!$K$36</definedName>
    <definedName name="Z_DG_03_E">DICCIONARIO!$G$36</definedName>
    <definedName name="Z_DG_03_F">DICCIONARIO!$H$36</definedName>
    <definedName name="Z_DG_03_I">DICCIONARIO!$J$36</definedName>
    <definedName name="Z_DG_03_O">DICCIONARIO!$E$36</definedName>
    <definedName name="Z_DG_03_P">DICCIONARIO!$I$36</definedName>
    <definedName name="Z_DG_03_S">DICCIONARIO!$F$36</definedName>
    <definedName name="Z_DG_04_">DICCIONARIO!$L$37</definedName>
    <definedName name="Z_DG_04_D">DICCIONARIO!$K$37</definedName>
    <definedName name="Z_DG_04_E">DICCIONARIO!$G$37</definedName>
    <definedName name="Z_DG_04_F">DICCIONARIO!$H$37</definedName>
    <definedName name="Z_DG_04_I">DICCIONARIO!$J$37</definedName>
    <definedName name="Z_DG_04_O">DICCIONARIO!$E$37</definedName>
    <definedName name="Z_DG_04_P">DICCIONARIO!$I$37</definedName>
    <definedName name="Z_DG_04_S">DICCIONARIO!$F$37</definedName>
    <definedName name="Z_DG_05_">DICCIONARIO!$L$38</definedName>
    <definedName name="Z_DG_05_D">DICCIONARIO!$K$38</definedName>
    <definedName name="Z_DG_05_E">DICCIONARIO!$G$38</definedName>
    <definedName name="Z_DG_05_F">DICCIONARIO!$H$38</definedName>
    <definedName name="Z_DG_05_I">DICCIONARIO!$J$38</definedName>
    <definedName name="Z_DG_05_O">DICCIONARIO!$E$38</definedName>
    <definedName name="Z_DG_05_P">DICCIONARIO!$I$38</definedName>
    <definedName name="Z_DG_05_S">DICCIONARIO!$F$38</definedName>
    <definedName name="Z_DG_06_">DICCIONARIO!$L$39</definedName>
    <definedName name="Z_DG_06_D">DICCIONARIO!$K$39</definedName>
    <definedName name="Z_DG_06_E">DICCIONARIO!$G$39</definedName>
    <definedName name="Z_DG_06_F">DICCIONARIO!$H$39</definedName>
    <definedName name="Z_DG_06_I">DICCIONARIO!$J$39</definedName>
    <definedName name="Z_DG_06_O">DICCIONARIO!$E$39</definedName>
    <definedName name="Z_DG_06_P">DICCIONARIO!$I$39</definedName>
    <definedName name="Z_DG_06_S">DICCIONARIO!$F$39</definedName>
    <definedName name="Z_DG_07_">DICCIONARIO!$L$40</definedName>
    <definedName name="Z_DG_07_D">DICCIONARIO!$K$40</definedName>
    <definedName name="Z_DG_07_E">DICCIONARIO!$G$40</definedName>
    <definedName name="Z_DG_07_F">DICCIONARIO!$H$40</definedName>
    <definedName name="Z_DG_07_I">DICCIONARIO!$J$40</definedName>
    <definedName name="Z_DG_07_O">DICCIONARIO!$E$40</definedName>
    <definedName name="Z_DG_07_P">DICCIONARIO!$I$40</definedName>
    <definedName name="Z_DG_07_S">DICCIONARIO!$F$40</definedName>
    <definedName name="Z_DG_08_">DICCIONARIO!$L$41</definedName>
    <definedName name="Z_DG_08_D">DICCIONARIO!$K$41</definedName>
    <definedName name="Z_DG_08_E">DICCIONARIO!$G$41</definedName>
    <definedName name="Z_DG_08_F">DICCIONARIO!$H$41</definedName>
    <definedName name="Z_DG_08_I">DICCIONARIO!$J$41</definedName>
    <definedName name="Z_DG_08_O">DICCIONARIO!$E$41</definedName>
    <definedName name="Z_DG_08_P">DICCIONARIO!$I$41</definedName>
    <definedName name="Z_DG_08_S">DICCIONARIO!$F$41</definedName>
    <definedName name="Z_DG_09_">DICCIONARIO!$L$42</definedName>
    <definedName name="Z_DG_09_D">DICCIONARIO!$K$42</definedName>
    <definedName name="Z_DG_09_E">DICCIONARIO!$G$42</definedName>
    <definedName name="Z_DG_09_F">DICCIONARIO!$H$42</definedName>
    <definedName name="Z_DG_09_I">DICCIONARIO!$J$42</definedName>
    <definedName name="Z_DG_09_O">DICCIONARIO!$E$42</definedName>
    <definedName name="Z_DG_09_P">DICCIONARIO!$I$42</definedName>
    <definedName name="Z_DG_09_S">DICCIONARIO!$F$42</definedName>
    <definedName name="Z_DG_10_">DICCIONARIO!$L$43</definedName>
    <definedName name="Z_DG_10_D">DICCIONARIO!$K$43</definedName>
    <definedName name="Z_DG_10_E">DICCIONARIO!$G$43</definedName>
    <definedName name="Z_DG_10_F">DICCIONARIO!$H$43</definedName>
    <definedName name="Z_DG_10_I">DICCIONARIO!$J$43</definedName>
    <definedName name="Z_DG_10_O">DICCIONARIO!$E$43</definedName>
    <definedName name="Z_DG_10_P">DICCIONARIO!$I$43</definedName>
    <definedName name="Z_DG_10_S">DICCIONARIO!$F$43</definedName>
    <definedName name="Z_DG_11_">DICCIONARIO!$L$44</definedName>
    <definedName name="Z_DG_11_D">DICCIONARIO!$K$44</definedName>
    <definedName name="Z_DG_11_E">DICCIONARIO!$G$44</definedName>
    <definedName name="Z_DG_11_F">DICCIONARIO!$H$44</definedName>
    <definedName name="Z_DG_11_I">DICCIONARIO!$J$44</definedName>
    <definedName name="Z_DG_11_O">DICCIONARIO!$E$44</definedName>
    <definedName name="Z_DG_11_P">DICCIONARIO!$I$44</definedName>
    <definedName name="Z_DG_11_S">DICCIONARIO!$F$44</definedName>
    <definedName name="Z_DG_12_">DICCIONARIO!$L$45</definedName>
    <definedName name="Z_DG_12_D">DICCIONARIO!$K$45</definedName>
    <definedName name="Z_DG_12_E">DICCIONARIO!$G$45</definedName>
    <definedName name="Z_DG_12_F">DICCIONARIO!$H$45</definedName>
    <definedName name="Z_DG_12_I">DICCIONARIO!$J$45</definedName>
    <definedName name="Z_DG_12_O">DICCIONARIO!$E$45</definedName>
    <definedName name="Z_DG_12_P">DICCIONARIO!$I$45</definedName>
    <definedName name="Z_DG_12_S">DICCIONARIO!$F$45</definedName>
    <definedName name="Z_DG_13_">DICCIONARIO!$L$46</definedName>
    <definedName name="Z_DG_13_D">DICCIONARIO!$K$46</definedName>
    <definedName name="Z_DG_13_E">DICCIONARIO!$G$46</definedName>
    <definedName name="Z_DG_13_F">DICCIONARIO!$H$46</definedName>
    <definedName name="Z_DG_13_I">DICCIONARIO!$J$46</definedName>
    <definedName name="Z_DG_13_O">DICCIONARIO!$E$46</definedName>
    <definedName name="Z_DG_13_P">DICCIONARIO!$I$46</definedName>
    <definedName name="Z_DG_13_S">DICCIONARIO!$F$46</definedName>
    <definedName name="Z_DG_14_">DICCIONARIO!$L$47</definedName>
    <definedName name="Z_DG_14_D">DICCIONARIO!$K$47</definedName>
    <definedName name="Z_DG_14_E">DICCIONARIO!$G$47</definedName>
    <definedName name="Z_DG_14_F">DICCIONARIO!$H$47</definedName>
    <definedName name="Z_DG_14_I">DICCIONARIO!$J$47</definedName>
    <definedName name="Z_DG_14_O">DICCIONARIO!$E$47</definedName>
    <definedName name="Z_DG_14_P">DICCIONARIO!$I$47</definedName>
    <definedName name="Z_DG_14_S">DICCIONARIO!$F$47</definedName>
    <definedName name="Z_DG_15_">DICCIONARIO!$L$48</definedName>
    <definedName name="Z_DG_15_D">DICCIONARIO!$K$48</definedName>
    <definedName name="Z_DG_15_E">DICCIONARIO!$G$48</definedName>
    <definedName name="Z_DG_15_F">DICCIONARIO!$H$48</definedName>
    <definedName name="Z_DG_15_I">DICCIONARIO!$J$48</definedName>
    <definedName name="Z_DG_15_O">DICCIONARIO!$E$48</definedName>
    <definedName name="Z_DG_15_P">DICCIONARIO!$I$48</definedName>
    <definedName name="Z_DG_15_S">DICCIONARIO!$F$48</definedName>
    <definedName name="Z_DG_16_">DICCIONARIO!$L$49</definedName>
    <definedName name="Z_DG_16_D">DICCIONARIO!$K$49</definedName>
    <definedName name="Z_DG_16_E">DICCIONARIO!$G$49</definedName>
    <definedName name="Z_DG_16_F">DICCIONARIO!$H$49</definedName>
    <definedName name="Z_DG_16_I">DICCIONARIO!$J$49</definedName>
    <definedName name="Z_DG_16_O">DICCIONARIO!$E$49</definedName>
    <definedName name="Z_DG_16_P">DICCIONARIO!$I$49</definedName>
    <definedName name="Z_DG_16_S">DICCIONARIO!$F$49</definedName>
    <definedName name="Z_DG_17_">DICCIONARIO!$L$50</definedName>
    <definedName name="Z_DG_17_D">DICCIONARIO!$K$50</definedName>
    <definedName name="Z_DG_17_E">DICCIONARIO!$G$50</definedName>
    <definedName name="Z_DG_17_F">DICCIONARIO!$H$50</definedName>
    <definedName name="Z_DG_17_I">DICCIONARIO!$J$50</definedName>
    <definedName name="Z_DG_17_O">DICCIONARIO!$E$50</definedName>
    <definedName name="Z_DG_17_P">DICCIONARIO!$I$50</definedName>
    <definedName name="Z_DG_17_S">DICCIONARIO!$F$50</definedName>
    <definedName name="Z_DG_18_">DICCIONARIO!$L$51</definedName>
    <definedName name="Z_DG_18_D">DICCIONARIO!$K$51</definedName>
    <definedName name="Z_DG_18_E">DICCIONARIO!$G$51</definedName>
    <definedName name="Z_DG_18_F">DICCIONARIO!$H$51</definedName>
    <definedName name="Z_DG_18_I">DICCIONARIO!$J$51</definedName>
    <definedName name="Z_DG_18_O">DICCIONARIO!$E$51</definedName>
    <definedName name="Z_DG_18_P">DICCIONARIO!$I$51</definedName>
    <definedName name="Z_DG_18_S">DICCIONARIO!$F$51</definedName>
    <definedName name="Z_DG_19_">DICCIONARIO!$L$52</definedName>
    <definedName name="Z_DG_19_D">DICCIONARIO!$K$52</definedName>
    <definedName name="Z_DG_19_E">DICCIONARIO!$G$52</definedName>
    <definedName name="Z_DG_19_F">DICCIONARIO!$H$52</definedName>
    <definedName name="Z_DG_19_I">DICCIONARIO!$J$52</definedName>
    <definedName name="Z_DG_19_O">DICCIONARIO!$E$52</definedName>
    <definedName name="Z_DG_19_P">DICCIONARIO!$I$52</definedName>
    <definedName name="Z_DG_19_S">DICCIONARIO!$F$52</definedName>
    <definedName name="Z_DG_20_">DICCIONARIO!$L$53</definedName>
    <definedName name="Z_DG_20_D">DICCIONARIO!$K$53</definedName>
    <definedName name="Z_DG_20_E">DICCIONARIO!$G$53</definedName>
    <definedName name="Z_DG_20_F">DICCIONARIO!$H$53</definedName>
    <definedName name="Z_DG_20_I">DICCIONARIO!$J$53</definedName>
    <definedName name="Z_DG_20_O">DICCIONARIO!$E$53</definedName>
    <definedName name="Z_DG_20_P">DICCIONARIO!$I$53</definedName>
    <definedName name="Z_DG_20_S">DICCIONARIO!$F$53</definedName>
    <definedName name="Z_DG_21_">DICCIONARIO!$L$54</definedName>
    <definedName name="Z_DG_21_D">DICCIONARIO!$K$54</definedName>
    <definedName name="Z_DG_21_E">DICCIONARIO!$G$54</definedName>
    <definedName name="Z_DG_21_F">DICCIONARIO!$H$54</definedName>
    <definedName name="Z_DG_21_I">DICCIONARIO!$J$54</definedName>
    <definedName name="Z_DG_21_O">DICCIONARIO!$E$54</definedName>
    <definedName name="Z_DG_21_P">DICCIONARIO!$I$54</definedName>
    <definedName name="Z_DG_21_S">DICCIONARIO!$F$54</definedName>
    <definedName name="Z_DG_22_">DICCIONARIO!$L$55</definedName>
    <definedName name="Z_DG_22_D">DICCIONARIO!$K$55</definedName>
    <definedName name="Z_DG_22_E">DICCIONARIO!$G$55</definedName>
    <definedName name="Z_DG_22_F">DICCIONARIO!$H$55</definedName>
    <definedName name="Z_DG_22_I">DICCIONARIO!$J$55</definedName>
    <definedName name="Z_DG_22_O">DICCIONARIO!$E$55</definedName>
    <definedName name="Z_DG_22_P">DICCIONARIO!$I$55</definedName>
    <definedName name="Z_DG_22_S">DICCIONARIO!$F$55</definedName>
    <definedName name="Z_DG_23_">DICCIONARIO!$L$56</definedName>
    <definedName name="Z_DG_23_D">DICCIONARIO!$K$56</definedName>
    <definedName name="Z_DG_23_E">DICCIONARIO!$G$56</definedName>
    <definedName name="Z_DG_23_F">DICCIONARIO!$H$56</definedName>
    <definedName name="Z_DG_23_I">DICCIONARIO!$J$56</definedName>
    <definedName name="Z_DG_23_O">DICCIONARIO!$E$56</definedName>
    <definedName name="Z_DG_23_P">DICCIONARIO!$I$56</definedName>
    <definedName name="Z_DG_23_S">DICCIONARIO!$F$56</definedName>
    <definedName name="Z_DG_24_">DICCIONARIO!$L$57</definedName>
    <definedName name="Z_DG_24_D">DICCIONARIO!$K$57</definedName>
    <definedName name="Z_DG_24_E">DICCIONARIO!$G$57</definedName>
    <definedName name="Z_DG_24_F">DICCIONARIO!$H$57</definedName>
    <definedName name="Z_DG_24_I">DICCIONARIO!$J$57</definedName>
    <definedName name="Z_DG_24_O">DICCIONARIO!$E$57</definedName>
    <definedName name="Z_DG_24_P">DICCIONARIO!$I$57</definedName>
    <definedName name="Z_DG_24_S">DICCIONARIO!$F$57</definedName>
    <definedName name="Z_DG_25_">DICCIONARIO!$L$58</definedName>
    <definedName name="Z_DG_25_D">DICCIONARIO!$K$58</definedName>
    <definedName name="Z_DG_25_E">DICCIONARIO!$G$58</definedName>
    <definedName name="Z_DG_25_F">DICCIONARIO!$H$58</definedName>
    <definedName name="Z_DG_25_I">DICCIONARIO!$J$58</definedName>
    <definedName name="Z_DG_25_O">DICCIONARIO!$E$58</definedName>
    <definedName name="Z_DG_25_P">DICCIONARIO!$I$58</definedName>
    <definedName name="Z_DG_25_S">DICCIONARIO!$F$58</definedName>
    <definedName name="Z_DG_26_">DICCIONARIO!$L$59</definedName>
    <definedName name="Z_DG_26_D">DICCIONARIO!$K$59</definedName>
    <definedName name="Z_DG_26_E">DICCIONARIO!$G$59</definedName>
    <definedName name="Z_DG_26_F">DICCIONARIO!$H$59</definedName>
    <definedName name="Z_DG_26_I">DICCIONARIO!$J$59</definedName>
    <definedName name="Z_DG_26_O">DICCIONARIO!$E$59</definedName>
    <definedName name="Z_DG_26_P">DICCIONARIO!$I$59</definedName>
    <definedName name="Z_DG_26_S">DICCIONARIO!$F$59</definedName>
    <definedName name="Z_DG_27_">DICCIONARIO!$L$60</definedName>
    <definedName name="Z_DG_27_D">DICCIONARIO!$K$60</definedName>
    <definedName name="Z_DG_27_E">DICCIONARIO!$G$60</definedName>
    <definedName name="Z_DG_27_F">DICCIONARIO!$H$60</definedName>
    <definedName name="Z_DG_27_I">DICCIONARIO!$J$60</definedName>
    <definedName name="Z_DG_27_O">DICCIONARIO!$E$60</definedName>
    <definedName name="Z_DG_27_P">DICCIONARIO!$I$60</definedName>
    <definedName name="Z_DG_27_S">DICCIONARIO!$F$60</definedName>
    <definedName name="Z_DG_28_">DICCIONARIO!$L$61</definedName>
    <definedName name="Z_DG_28_D">DICCIONARIO!$K$61</definedName>
    <definedName name="Z_DG_28_E">DICCIONARIO!$G$61</definedName>
    <definedName name="Z_DG_28_F">DICCIONARIO!$H$61</definedName>
    <definedName name="Z_DG_28_I">DICCIONARIO!$J$61</definedName>
    <definedName name="Z_DG_28_O">DICCIONARIO!$E$61</definedName>
    <definedName name="Z_DG_28_P">DICCIONARIO!$I$61</definedName>
    <definedName name="Z_DG_28_S">DICCIONARIO!$F$61</definedName>
    <definedName name="Z_DG_29_">DICCIONARIO!$L$62</definedName>
    <definedName name="Z_DG_29_D">DICCIONARIO!$K$62</definedName>
    <definedName name="Z_DG_29_E">DICCIONARIO!$G$62</definedName>
    <definedName name="Z_DG_29_F">DICCIONARIO!$H$62</definedName>
    <definedName name="Z_DG_29_I">DICCIONARIO!$J$62</definedName>
    <definedName name="Z_DG_29_O">DICCIONARIO!$E$62</definedName>
    <definedName name="Z_DG_29_P">DICCIONARIO!$I$62</definedName>
    <definedName name="Z_DG_29_S">DICCIONARIO!$F$62</definedName>
    <definedName name="Z_DG_30_">DICCIONARIO!$L$63</definedName>
    <definedName name="Z_DG_30_D">DICCIONARIO!$K$63</definedName>
    <definedName name="Z_DG_30_E">DICCIONARIO!$G$63</definedName>
    <definedName name="Z_DG_30_F">DICCIONARIO!$H$63</definedName>
    <definedName name="Z_DG_30_I">DICCIONARIO!$J$63</definedName>
    <definedName name="Z_DG_30_O">DICCIONARIO!$E$63</definedName>
    <definedName name="Z_DG_30_P">DICCIONARIO!$I$63</definedName>
    <definedName name="Z_DG_30_S">DICCIONARIO!$F$63</definedName>
    <definedName name="Z_DG_31_">DICCIONARIO!$L$64</definedName>
    <definedName name="Z_DG_31_D">DICCIONARIO!$K$64</definedName>
    <definedName name="Z_DG_31_E">DICCIONARIO!$G$64</definedName>
    <definedName name="Z_DG_31_F">DICCIONARIO!$H$64</definedName>
    <definedName name="Z_DG_31_I">DICCIONARIO!$J$64</definedName>
    <definedName name="Z_DG_31_O">DICCIONARIO!$E$64</definedName>
    <definedName name="Z_DG_31_P">DICCIONARIO!$I$64</definedName>
    <definedName name="Z_DG_31_S">DICCIONARIO!$F$64</definedName>
    <definedName name="Z_DG_32_">DICCIONARIO!$L$65</definedName>
    <definedName name="Z_DG_32_D">DICCIONARIO!$K$65</definedName>
    <definedName name="Z_DG_32_E">DICCIONARIO!$G$65</definedName>
    <definedName name="Z_DG_32_F">DICCIONARIO!$H$65</definedName>
    <definedName name="Z_DG_32_I">DICCIONARIO!$J$65</definedName>
    <definedName name="Z_DG_32_O">DICCIONARIO!$E$65</definedName>
    <definedName name="Z_DG_32_P">DICCIONARIO!$I$65</definedName>
    <definedName name="Z_DG_32_S">DICCIONARIO!$F$65</definedName>
    <definedName name="Z_DG_33_">DICCIONARIO!$L$66</definedName>
    <definedName name="Z_DG_33_2_">DICCIONARIO!$L$67</definedName>
    <definedName name="Z_DG_33_2_D">DICCIONARIO!$K$67</definedName>
    <definedName name="Z_DG_33_2_E">DICCIONARIO!$G$67</definedName>
    <definedName name="Z_DG_33_2_F">DICCIONARIO!$H$67</definedName>
    <definedName name="Z_DG_33_2_I">DICCIONARIO!$J$67</definedName>
    <definedName name="Z_DG_33_2_O">DICCIONARIO!$E$67</definedName>
    <definedName name="Z_DG_33_2_P">DICCIONARIO!$I$67</definedName>
    <definedName name="Z_DG_33_2_S">DICCIONARIO!$F$67</definedName>
    <definedName name="Z_DG_33_D">DICCIONARIO!$K$66</definedName>
    <definedName name="Z_DG_33_E">DICCIONARIO!$G$66</definedName>
    <definedName name="Z_DG_33_F">DICCIONARIO!$H$66</definedName>
    <definedName name="Z_DG_33_I">DICCIONARIO!$J$66</definedName>
    <definedName name="Z_DG_33_O">DICCIONARIO!$E$66</definedName>
    <definedName name="Z_DG_33_P">DICCIONARIO!$I$66</definedName>
    <definedName name="Z_DG_33_S">DICCIONARIO!$F$66</definedName>
    <definedName name="Z_DG_34_">DICCIONARIO!$L$68</definedName>
    <definedName name="Z_DG_34_D">DICCIONARIO!$K$68</definedName>
    <definedName name="Z_DG_34_E">DICCIONARIO!$G$68</definedName>
    <definedName name="Z_DG_34_F">DICCIONARIO!$H$68</definedName>
    <definedName name="Z_DG_34_I">DICCIONARIO!$J$68</definedName>
    <definedName name="Z_DG_34_O">DICCIONARIO!$E$68</definedName>
    <definedName name="Z_DG_34_P">DICCIONARIO!$I$68</definedName>
    <definedName name="Z_DG_34_S">DICCIONARIO!$F$68</definedName>
    <definedName name="Z_DG_35_">DICCIONARIO!$L$69</definedName>
    <definedName name="Z_DG_35_D">DICCIONARIO!$K$69</definedName>
    <definedName name="Z_DG_35_E">DICCIONARIO!$G$69</definedName>
    <definedName name="Z_DG_35_F">DICCIONARIO!$H$69</definedName>
    <definedName name="Z_DG_35_I">DICCIONARIO!$J$69</definedName>
    <definedName name="Z_DG_35_O">DICCIONARIO!$E$69</definedName>
    <definedName name="Z_DG_35_P">DICCIONARIO!$I$69</definedName>
    <definedName name="Z_DG_35_S">DICCIONARIO!$F$69</definedName>
    <definedName name="Z_DG_36_">DICCIONARIO!$L$70</definedName>
    <definedName name="Z_DG_36_D">DICCIONARIO!$K$70</definedName>
    <definedName name="Z_DG_36_E">DICCIONARIO!$G$70</definedName>
    <definedName name="Z_DG_36_F">DICCIONARIO!$H$70</definedName>
    <definedName name="Z_DG_36_I">DICCIONARIO!$J$70</definedName>
    <definedName name="Z_DG_36_O">DICCIONARIO!$E$70</definedName>
    <definedName name="Z_DG_36_P">DICCIONARIO!$I$70</definedName>
    <definedName name="Z_DG_36_S">DICCIONARIO!$F$70</definedName>
    <definedName name="Z_DG_37_">DICCIONARIO!$L$71</definedName>
    <definedName name="Z_DG_37_D">DICCIONARIO!$K$71</definedName>
    <definedName name="Z_DG_37_E">DICCIONARIO!$G$71</definedName>
    <definedName name="Z_DG_37_F">DICCIONARIO!$H$71</definedName>
    <definedName name="Z_DG_37_I">DICCIONARIO!$J$71</definedName>
    <definedName name="Z_DG_37_O">DICCIONARIO!$E$71</definedName>
    <definedName name="Z_DG_37_P">DICCIONARIO!$I$71</definedName>
    <definedName name="Z_DG_37_S">DICCIONARIO!$F$71</definedName>
    <definedName name="Z_DG_38_">DICCIONARIO!$L$72</definedName>
    <definedName name="Z_DG_38_D">DICCIONARIO!$K$72</definedName>
    <definedName name="Z_DG_38_E">DICCIONARIO!$G$72</definedName>
    <definedName name="Z_DG_38_F">DICCIONARIO!$H$72</definedName>
    <definedName name="Z_DG_38_I">DICCIONARIO!$J$72</definedName>
    <definedName name="Z_DG_38_O">DICCIONARIO!$E$72</definedName>
    <definedName name="Z_DG_38_P">DICCIONARIO!$I$72</definedName>
    <definedName name="Z_DG_38_S">DICCIONARIO!$F$72</definedName>
    <definedName name="Z_DG_39_">DICCIONARIO!$L$73</definedName>
    <definedName name="Z_DG_39_D">DICCIONARIO!$K$73</definedName>
    <definedName name="Z_DG_39_E">DICCIONARIO!$G$73</definedName>
    <definedName name="Z_DG_39_F">DICCIONARIO!$H$73</definedName>
    <definedName name="Z_DG_39_I">DICCIONARIO!$J$73</definedName>
    <definedName name="Z_DG_39_O">DICCIONARIO!$E$73</definedName>
    <definedName name="Z_DG_39_P">DICCIONARIO!$I$73</definedName>
    <definedName name="Z_DG_39_S">DICCIONARIO!$F$73</definedName>
    <definedName name="Z_DG_40_">DICCIONARIO!$L$74</definedName>
    <definedName name="Z_DG_40_D">DICCIONARIO!$K$74</definedName>
    <definedName name="Z_DG_40_E">DICCIONARIO!$G$74</definedName>
    <definedName name="Z_DG_40_F">DICCIONARIO!$H$74</definedName>
    <definedName name="Z_DG_40_I">DICCIONARIO!$J$74</definedName>
    <definedName name="Z_DG_40_O">DICCIONARIO!$E$74</definedName>
    <definedName name="Z_DG_40_P">DICCIONARIO!$I$74</definedName>
    <definedName name="Z_DG_40_S">DICCIONARIO!$F$74</definedName>
    <definedName name="Z_DG_41_">DICCIONARIO!$L$75</definedName>
    <definedName name="Z_DG_41_D">DICCIONARIO!$K$75</definedName>
    <definedName name="Z_DG_41_E">DICCIONARIO!$G$75</definedName>
    <definedName name="Z_DG_41_F">DICCIONARIO!$H$75</definedName>
    <definedName name="Z_DG_41_I">DICCIONARIO!$J$75</definedName>
    <definedName name="Z_DG_41_O">DICCIONARIO!$E$75</definedName>
    <definedName name="Z_DG_41_P">DICCIONARIO!$I$75</definedName>
    <definedName name="Z_DG_41_S">DICCIONARIO!$F$75</definedName>
    <definedName name="Z_DG_42_">DICCIONARIO!$L$76</definedName>
    <definedName name="Z_DG_42_D">DICCIONARIO!$K$76</definedName>
    <definedName name="Z_DG_42_E">DICCIONARIO!$G$76</definedName>
    <definedName name="Z_DG_42_F">DICCIONARIO!$H$76</definedName>
    <definedName name="Z_DG_42_I">DICCIONARIO!$J$76</definedName>
    <definedName name="Z_DG_42_O">DICCIONARIO!$E$76</definedName>
    <definedName name="Z_DG_42_P">DICCIONARIO!$I$76</definedName>
    <definedName name="Z_DG_42_S">DICCIONARIO!$F$76</definedName>
    <definedName name="Z_DG_43_">DICCIONARIO!$L$77</definedName>
    <definedName name="Z_DG_43_D">DICCIONARIO!$K$77</definedName>
    <definedName name="Z_DG_43_E">DICCIONARIO!$G$77</definedName>
    <definedName name="Z_DG_43_F">DICCIONARIO!$H$77</definedName>
    <definedName name="Z_DG_43_I">DICCIONARIO!$J$77</definedName>
    <definedName name="Z_DG_43_O">DICCIONARIO!$E$77</definedName>
    <definedName name="Z_DG_43_P">DICCIONARIO!$I$77</definedName>
    <definedName name="Z_DG_43_S">DICCIONARIO!$F$77</definedName>
    <definedName name="Z_EM_00_">DICCIONARIO!$L$107</definedName>
    <definedName name="Z_EM_00_D">DICCIONARIO!$K$107</definedName>
    <definedName name="Z_EM_00_E">DICCIONARIO!$G$107</definedName>
    <definedName name="Z_EM_00_F">DICCIONARIO!$H$107</definedName>
    <definedName name="Z_EM_00_I">DICCIONARIO!$J$107</definedName>
    <definedName name="Z_EM_00_O">DICCIONARIO!$E$107</definedName>
    <definedName name="Z_EM_00_P">DICCIONARIO!$I$107</definedName>
    <definedName name="Z_EM_00_S">DICCIONARIO!$F$107</definedName>
    <definedName name="Z_EM_01_">DICCIONARIO!$L$108</definedName>
    <definedName name="Z_EM_01_D">DICCIONARIO!$K$108</definedName>
    <definedName name="Z_EM_01_E">DICCIONARIO!$G$108</definedName>
    <definedName name="Z_EM_01_F">DICCIONARIO!$H$108</definedName>
    <definedName name="Z_EM_01_I">DICCIONARIO!$J$108</definedName>
    <definedName name="Z_EM_01_O">DICCIONARIO!$E$108</definedName>
    <definedName name="Z_EM_01_P">DICCIONARIO!$I$108</definedName>
    <definedName name="Z_EM_01_S">DICCIONARIO!$F$108</definedName>
    <definedName name="Z_EM_02_">DICCIONARIO!$L$109</definedName>
    <definedName name="Z_EM_02_D">DICCIONARIO!$K$109</definedName>
    <definedName name="Z_EM_02_E">DICCIONARIO!$G$109</definedName>
    <definedName name="Z_EM_02_F">DICCIONARIO!$H$109</definedName>
    <definedName name="Z_EM_02_I">DICCIONARIO!$J$109</definedName>
    <definedName name="Z_EM_02_O">DICCIONARIO!$E$109</definedName>
    <definedName name="Z_EM_02_P">DICCIONARIO!$I$109</definedName>
    <definedName name="Z_EM_02_S">DICCIONARIO!$F$109</definedName>
    <definedName name="Z_EN_00_">DICCIONARIO!$L$116</definedName>
    <definedName name="Z_EN_00_D">DICCIONARIO!$K$116</definedName>
    <definedName name="Z_EN_00_E">DICCIONARIO!$G$116</definedName>
    <definedName name="Z_EN_00_F">DICCIONARIO!$H$116</definedName>
    <definedName name="Z_EN_00_I">DICCIONARIO!$J$116</definedName>
    <definedName name="Z_EN_00_O">DICCIONARIO!$E$116</definedName>
    <definedName name="Z_EN_00_P">DICCIONARIO!$I$116</definedName>
    <definedName name="Z_EN_00_S">DICCIONARIO!$F$116</definedName>
    <definedName name="Z_EN_01_">DICCIONARIO!$L$117</definedName>
    <definedName name="Z_EN_01_D">DICCIONARIO!$K$117</definedName>
    <definedName name="Z_EN_01_E">DICCIONARIO!$G$117</definedName>
    <definedName name="Z_EN_01_F">DICCIONARIO!$H$117</definedName>
    <definedName name="Z_EN_01_I">DICCIONARIO!$J$117</definedName>
    <definedName name="Z_EN_01_O">DICCIONARIO!$E$117</definedName>
    <definedName name="Z_EN_01_P">DICCIONARIO!$I$117</definedName>
    <definedName name="Z_EN_01_S">DICCIONARIO!$F$117</definedName>
    <definedName name="Z_EN_02_">DICCIONARIO!$L$118</definedName>
    <definedName name="Z_EN_02_D">DICCIONARIO!$K$118</definedName>
    <definedName name="Z_EN_02_E">DICCIONARIO!$G$118</definedName>
    <definedName name="Z_EN_02_F">DICCIONARIO!$H$118</definedName>
    <definedName name="Z_EN_02_I">DICCIONARIO!$J$118</definedName>
    <definedName name="Z_EN_02_O">DICCIONARIO!$E$118</definedName>
    <definedName name="Z_EN_02_P">DICCIONARIO!$I$118</definedName>
    <definedName name="Z_EN_02_S">DICCIONARIO!$F$118</definedName>
    <definedName name="Z_EN_03_">DICCIONARIO!$L$119</definedName>
    <definedName name="Z_EN_03_D">DICCIONARIO!$K$119</definedName>
    <definedName name="Z_EN_03_E">DICCIONARIO!$G$119</definedName>
    <definedName name="Z_EN_03_F">DICCIONARIO!$H$119</definedName>
    <definedName name="Z_EN_03_I">DICCIONARIO!$J$119</definedName>
    <definedName name="Z_EN_03_O">DICCIONARIO!$E$119</definedName>
    <definedName name="Z_EN_03_P">DICCIONARIO!$I$119</definedName>
    <definedName name="Z_EN_03_S">DICCIONARIO!$F$119</definedName>
    <definedName name="Z_EN_04_">DICCIONARIO!$L$120</definedName>
    <definedName name="Z_EN_04_D">DICCIONARIO!$K$120</definedName>
    <definedName name="Z_EN_04_E">DICCIONARIO!$G$120</definedName>
    <definedName name="Z_EN_04_F">DICCIONARIO!$H$120</definedName>
    <definedName name="Z_EN_04_I">DICCIONARIO!$J$120</definedName>
    <definedName name="Z_EN_04_O">DICCIONARIO!$E$120</definedName>
    <definedName name="Z_EN_04_P">DICCIONARIO!$I$120</definedName>
    <definedName name="Z_EN_04_S">DICCIONARIO!$F$120</definedName>
    <definedName name="Z_EN_05_">DICCIONARIO!$L$121</definedName>
    <definedName name="Z_EN_05_D">DICCIONARIO!$K$121</definedName>
    <definedName name="Z_EN_05_E">DICCIONARIO!$G$121</definedName>
    <definedName name="Z_EN_05_F">DICCIONARIO!$H$121</definedName>
    <definedName name="Z_EN_05_I">DICCIONARIO!$J$121</definedName>
    <definedName name="Z_EN_05_O">DICCIONARIO!$E$121</definedName>
    <definedName name="Z_EN_05_P">DICCIONARIO!$I$121</definedName>
    <definedName name="Z_EN_05_S">DICCIONARIO!$F$121</definedName>
    <definedName name="Z_EN_06_">DICCIONARIO!$L$122</definedName>
    <definedName name="Z_EN_06_D">DICCIONARIO!$K$122</definedName>
    <definedName name="Z_EN_06_E">DICCIONARIO!$G$122</definedName>
    <definedName name="Z_EN_06_F">DICCIONARIO!$H$122</definedName>
    <definedName name="Z_EN_06_I">DICCIONARIO!$J$122</definedName>
    <definedName name="Z_EN_06_O">DICCIONARIO!$E$122</definedName>
    <definedName name="Z_EN_06_P">DICCIONARIO!$I$122</definedName>
    <definedName name="Z_EN_06_S">DICCIONARIO!$F$122</definedName>
    <definedName name="Z_EN_07_">DICCIONARIO!$L$123</definedName>
    <definedName name="Z_EN_07_D">DICCIONARIO!$K$123</definedName>
    <definedName name="Z_EN_07_E">DICCIONARIO!$G$123</definedName>
    <definedName name="Z_EN_07_F">DICCIONARIO!$H$123</definedName>
    <definedName name="Z_EN_07_I">DICCIONARIO!$J$123</definedName>
    <definedName name="Z_EN_07_O">DICCIONARIO!$E$123</definedName>
    <definedName name="Z_EN_07_P">DICCIONARIO!$I$123</definedName>
    <definedName name="Z_EN_07_S">DICCIONARIO!$F$123</definedName>
    <definedName name="Z_EN_08_">DICCIONARIO!$L$124</definedName>
    <definedName name="Z_EN_08_D">DICCIONARIO!$K$124</definedName>
    <definedName name="Z_EN_08_E">DICCIONARIO!$G$124</definedName>
    <definedName name="Z_EN_08_F">DICCIONARIO!$H$124</definedName>
    <definedName name="Z_EN_08_I">DICCIONARIO!$J$124</definedName>
    <definedName name="Z_EN_08_O">DICCIONARIO!$E$124</definedName>
    <definedName name="Z_EN_08_P">DICCIONARIO!$I$124</definedName>
    <definedName name="Z_EN_08_S">DICCIONARIO!$F$124</definedName>
    <definedName name="Z_EN_09_">DICCIONARIO!$L$125</definedName>
    <definedName name="Z_EN_09_D">DICCIONARIO!$K$125</definedName>
    <definedName name="Z_EN_09_E">DICCIONARIO!$G$125</definedName>
    <definedName name="Z_EN_09_F">DICCIONARIO!$H$125</definedName>
    <definedName name="Z_EN_09_I">DICCIONARIO!$J$125</definedName>
    <definedName name="Z_EN_09_O">DICCIONARIO!$E$125</definedName>
    <definedName name="Z_EN_09_P">DICCIONARIO!$I$125</definedName>
    <definedName name="Z_EN_09_S">DICCIONARIO!$F$125</definedName>
    <definedName name="Z_EN_10_">DICCIONARIO!$L$126</definedName>
    <definedName name="Z_EN_10_D">DICCIONARIO!$K$126</definedName>
    <definedName name="Z_EN_10_E">DICCIONARIO!$G$126</definedName>
    <definedName name="Z_EN_10_F">DICCIONARIO!$H$126</definedName>
    <definedName name="Z_EN_10_I">DICCIONARIO!$J$126</definedName>
    <definedName name="Z_EN_10_O">DICCIONARIO!$E$126</definedName>
    <definedName name="Z_EN_10_P">DICCIONARIO!$I$126</definedName>
    <definedName name="Z_EN_10_S">DICCIONARIO!$F$126</definedName>
    <definedName name="Z_EN_11_">DICCIONARIO!$L$127</definedName>
    <definedName name="Z_EN_11_D">DICCIONARIO!$K$127</definedName>
    <definedName name="Z_EN_11_E">DICCIONARIO!$G$127</definedName>
    <definedName name="Z_EN_11_F">DICCIONARIO!$H$127</definedName>
    <definedName name="Z_EN_11_I">DICCIONARIO!$J$127</definedName>
    <definedName name="Z_EN_11_O">DICCIONARIO!$E$127</definedName>
    <definedName name="Z_EN_11_P">DICCIONARIO!$I$127</definedName>
    <definedName name="Z_EN_11_S">DICCIONARIO!$F$127</definedName>
    <definedName name="Z_EN_12_">DICCIONARIO!$L$128</definedName>
    <definedName name="Z_EN_12_D">DICCIONARIO!$K$128</definedName>
    <definedName name="Z_EN_12_E">DICCIONARIO!$G$128</definedName>
    <definedName name="Z_EN_12_F">DICCIONARIO!$H$128</definedName>
    <definedName name="Z_EN_12_I">DICCIONARIO!$J$128</definedName>
    <definedName name="Z_EN_12_O">DICCIONARIO!$E$128</definedName>
    <definedName name="Z_EN_12_P">DICCIONARIO!$I$128</definedName>
    <definedName name="Z_EN_12_S">DICCIONARIO!$F$128</definedName>
    <definedName name="Z_EN_13_">DICCIONARIO!$L$129</definedName>
    <definedName name="Z_EN_13_D">DICCIONARIO!$K$129</definedName>
    <definedName name="Z_EN_13_E">DICCIONARIO!$G$129</definedName>
    <definedName name="Z_EN_13_F">DICCIONARIO!$H$129</definedName>
    <definedName name="Z_EN_13_I">DICCIONARIO!$J$129</definedName>
    <definedName name="Z_EN_13_O">DICCIONARIO!$E$129</definedName>
    <definedName name="Z_EN_13_P">DICCIONARIO!$I$129</definedName>
    <definedName name="Z_EN_13_S">DICCIONARIO!$F$129</definedName>
    <definedName name="Z_EN_14_">DICCIONARIO!$L$130</definedName>
    <definedName name="Z_EN_14_D">DICCIONARIO!$K$130</definedName>
    <definedName name="Z_EN_14_E">DICCIONARIO!$G$130</definedName>
    <definedName name="Z_EN_14_F">DICCIONARIO!$H$130</definedName>
    <definedName name="Z_EN_14_I">DICCIONARIO!$J$130</definedName>
    <definedName name="Z_EN_14_O">DICCIONARIO!$E$130</definedName>
    <definedName name="Z_EN_14_P">DICCIONARIO!$I$130</definedName>
    <definedName name="Z_EN_14_S">DICCIONARIO!$F$130</definedName>
    <definedName name="Z_EN_15_">DICCIONARIO!$L$131</definedName>
    <definedName name="Z_EN_15_D">DICCIONARIO!$K$131</definedName>
    <definedName name="Z_EN_15_E">DICCIONARIO!$G$131</definedName>
    <definedName name="Z_EN_15_F">DICCIONARIO!$H$131</definedName>
    <definedName name="Z_EN_15_I">DICCIONARIO!$J$131</definedName>
    <definedName name="Z_EN_15_O">DICCIONARIO!$E$131</definedName>
    <definedName name="Z_EN_15_P">DICCIONARIO!$I$131</definedName>
    <definedName name="Z_EN_15_S">DICCIONARIO!$F$131</definedName>
    <definedName name="Z_EN_16_">DICCIONARIO!$L$132</definedName>
    <definedName name="Z_EN_16_D">DICCIONARIO!$K$132</definedName>
    <definedName name="Z_EN_16_E">DICCIONARIO!$G$132</definedName>
    <definedName name="Z_EN_16_F">DICCIONARIO!$H$132</definedName>
    <definedName name="Z_EN_16_I">DICCIONARIO!$J$132</definedName>
    <definedName name="Z_EN_16_O">DICCIONARIO!$E$132</definedName>
    <definedName name="Z_EN_16_P">DICCIONARIO!$I$132</definedName>
    <definedName name="Z_EN_16_S">DICCIONARIO!$F$132</definedName>
    <definedName name="Z_EN_17_">DICCIONARIO!$L$133</definedName>
    <definedName name="Z_EN_17_D">DICCIONARIO!$K$133</definedName>
    <definedName name="Z_EN_17_E">DICCIONARIO!$G$133</definedName>
    <definedName name="Z_EN_17_F">DICCIONARIO!$H$133</definedName>
    <definedName name="Z_EN_17_I">DICCIONARIO!$J$133</definedName>
    <definedName name="Z_EN_17_O">DICCIONARIO!$E$133</definedName>
    <definedName name="Z_EN_17_P">DICCIONARIO!$I$133</definedName>
    <definedName name="Z_EN_17_S">DICCIONARIO!$F$133</definedName>
    <definedName name="Z_EN_18_">DICCIONARIO!$L$134</definedName>
    <definedName name="Z_EN_18_D">DICCIONARIO!$K$134</definedName>
    <definedName name="Z_EN_18_E">DICCIONARIO!$G$134</definedName>
    <definedName name="Z_EN_18_F">DICCIONARIO!$H$134</definedName>
    <definedName name="Z_EN_18_I">DICCIONARIO!$J$134</definedName>
    <definedName name="Z_EN_18_O">DICCIONARIO!$E$134</definedName>
    <definedName name="Z_EN_18_P">DICCIONARIO!$I$134</definedName>
    <definedName name="Z_EN_18_S">DICCIONARIO!$F$134</definedName>
    <definedName name="Z_Enun_PP_?_">DICCIONARIO!$L$174</definedName>
    <definedName name="Z_Enun_PP_?_D">DICCIONARIO!$K$174</definedName>
    <definedName name="Z_Enun_PP_?_E">DICCIONARIO!$G$174</definedName>
    <definedName name="Z_Enun_PP_?_F">DICCIONARIO!$H$174</definedName>
    <definedName name="Z_Enun_PP_?_I">DICCIONARIO!$J$174</definedName>
    <definedName name="Z_Enun_PP_?_O">DICCIONARIO!$E$174</definedName>
    <definedName name="Z_Enun_PP_?_P">DICCIONARIO!$I$174</definedName>
    <definedName name="Z_Enun_PP_?_S">DICCIONARIO!$F$174</definedName>
    <definedName name="Z_FR_EN_?_">DICCIONARIO!$L$181</definedName>
    <definedName name="Z_FR_EN_?_D">DICCIONARIO!$K$181</definedName>
    <definedName name="Z_FR_EN_?_E">DICCIONARIO!$G$181</definedName>
    <definedName name="Z_FR_EN_?_F">DICCIONARIO!$H$181</definedName>
    <definedName name="Z_FR_EN_?_I">DICCIONARIO!$J$181</definedName>
    <definedName name="Z_FR_EN_?_O">DICCIONARIO!$E$181</definedName>
    <definedName name="Z_FR_EN_?_P">DICCIONARIO!$I$181</definedName>
    <definedName name="Z_FR_EN_?_S">DICCIONARIO!$F$181</definedName>
    <definedName name="Z_G33_?_">DICCIONARIO!$L$167</definedName>
    <definedName name="Z_G33_?_D">DICCIONARIO!$K$167</definedName>
    <definedName name="Z_G33_?_E">DICCIONARIO!$G$167</definedName>
    <definedName name="Z_G33_?_F">DICCIONARIO!$H$167</definedName>
    <definedName name="Z_G33_?_I">DICCIONARIO!$J$167</definedName>
    <definedName name="Z_G33_?_O">DICCIONARIO!$E$167</definedName>
    <definedName name="Z_G33_?_P">DICCIONARIO!$I$167</definedName>
    <definedName name="Z_G33_?_S">DICCIONARIO!$F$167</definedName>
    <definedName name="Z_H11_?_">DICCIONARIO!$L$164</definedName>
    <definedName name="Z_H11_?_D">DICCIONARIO!$K$164</definedName>
    <definedName name="Z_H11_?_E">DICCIONARIO!$G$164</definedName>
    <definedName name="Z_H11_?_F">DICCIONARIO!$H$164</definedName>
    <definedName name="Z_H11_?_I">DICCIONARIO!$J$164</definedName>
    <definedName name="Z_H11_?_O">DICCIONARIO!$E$164</definedName>
    <definedName name="Z_H11_?_P">DICCIONARIO!$I$164</definedName>
    <definedName name="Z_H11_?_S">DICCIONARIO!$F$164</definedName>
    <definedName name="Z_H17_?_">DICCIONARIO!$L$165</definedName>
    <definedName name="Z_H17_?_D">DICCIONARIO!$K$165</definedName>
    <definedName name="Z_H17_?_E">DICCIONARIO!$G$165</definedName>
    <definedName name="Z_H17_?_F">DICCIONARIO!$H$165</definedName>
    <definedName name="Z_H17_?_I">DICCIONARIO!$J$165</definedName>
    <definedName name="Z_H17_?_O">DICCIONARIO!$E$165</definedName>
    <definedName name="Z_H17_?_P">DICCIONARIO!$I$165</definedName>
    <definedName name="Z_H17_?_S">DICCIONARIO!$F$165</definedName>
    <definedName name="Z_H9_?_">DICCIONARIO!$L$163</definedName>
    <definedName name="Z_H9_?_D">DICCIONARIO!$K$163</definedName>
    <definedName name="Z_H9_?_E">DICCIONARIO!$G$163</definedName>
    <definedName name="Z_H9_?_F">DICCIONARIO!$H$163</definedName>
    <definedName name="Z_H9_?_I">DICCIONARIO!$J$163</definedName>
    <definedName name="Z_H9_?_O">DICCIONARIO!$E$163</definedName>
    <definedName name="Z_H9_?_P">DICCIONARIO!$I$163</definedName>
    <definedName name="Z_H9_?_S">DICCIONARIO!$F$163</definedName>
    <definedName name="Z_IE_EN_?_">DICCIONARIO!$L$187</definedName>
    <definedName name="Z_IE_EN_?_D">DICCIONARIO!$K$187</definedName>
    <definedName name="Z_IE_EN_?_E">DICCIONARIO!$G$187</definedName>
    <definedName name="Z_IE_EN_?_F">DICCIONARIO!$H$187</definedName>
    <definedName name="Z_IE_EN_?_I">DICCIONARIO!$J$187</definedName>
    <definedName name="Z_IE_EN_?_O">DICCIONARIO!$E$187</definedName>
    <definedName name="Z_IE_EN_?_P">DICCIONARIO!$I$187</definedName>
    <definedName name="Z_IE_EN_?_S">DICCIONARIO!$F$187</definedName>
    <definedName name="Z_IN_00_">DICCIONARIO!$L$3</definedName>
    <definedName name="Z_IN_00_D">DICCIONARIO!$K$3</definedName>
    <definedName name="Z_IN_00_E">DICCIONARIO!$G$3</definedName>
    <definedName name="Z_IN_00_F">DICCIONARIO!$H$3</definedName>
    <definedName name="Z_IN_00_I">DICCIONARIO!$J$3</definedName>
    <definedName name="Z_IN_00_O">DICCIONARIO!$E$3</definedName>
    <definedName name="Z_IN_00_P">DICCIONARIO!$I$3</definedName>
    <definedName name="Z_IN_00_S">DICCIONARIO!$F$3</definedName>
    <definedName name="Z_IN_01_">DICCIONARIO!$L$4</definedName>
    <definedName name="Z_IN_01_D">DICCIONARIO!$K$4</definedName>
    <definedName name="Z_IN_01_E">DICCIONARIO!$G$4</definedName>
    <definedName name="Z_IN_01_F">DICCIONARIO!$H$4</definedName>
    <definedName name="Z_IN_01_I">DICCIONARIO!$J$4</definedName>
    <definedName name="Z_IN_01_O">DICCIONARIO!$E$4</definedName>
    <definedName name="Z_IN_01_P">DICCIONARIO!$I$4</definedName>
    <definedName name="Z_IN_01_S">DICCIONARIO!$F$4</definedName>
    <definedName name="Z_IN_02_">DICCIONARIO!$L$5</definedName>
    <definedName name="Z_IN_02_D">DICCIONARIO!$K$5</definedName>
    <definedName name="Z_IN_02_E">DICCIONARIO!$G$5</definedName>
    <definedName name="Z_IN_02_F">DICCIONARIO!$H$5</definedName>
    <definedName name="Z_IN_02_I">DICCIONARIO!$J$5</definedName>
    <definedName name="Z_IN_02_O">DICCIONARIO!$E$5</definedName>
    <definedName name="Z_IN_02_P">DICCIONARIO!$I$5</definedName>
    <definedName name="Z_IN_02_S">DICCIONARIO!$F$5</definedName>
    <definedName name="Z_IN_03_">DICCIONARIO!$L$6</definedName>
    <definedName name="Z_IN_03_D">DICCIONARIO!$K$6</definedName>
    <definedName name="Z_IN_03_E">DICCIONARIO!$G$6</definedName>
    <definedName name="Z_IN_03_F">DICCIONARIO!$H$6</definedName>
    <definedName name="Z_IN_03_I">DICCIONARIO!$J$6</definedName>
    <definedName name="Z_IN_03_O">DICCIONARIO!$E$6</definedName>
    <definedName name="Z_IN_03_P">DICCIONARIO!$I$6</definedName>
    <definedName name="Z_IN_03_S">DICCIONARIO!$F$6</definedName>
    <definedName name="Z_IN_04_">DICCIONARIO!$L$7</definedName>
    <definedName name="Z_IN_04_D">DICCIONARIO!$K$7</definedName>
    <definedName name="Z_IN_04_E">DICCIONARIO!$G$7</definedName>
    <definedName name="Z_IN_04_F">DICCIONARIO!$H$7</definedName>
    <definedName name="Z_IN_04_I">DICCIONARIO!$J$7</definedName>
    <definedName name="Z_IN_04_O">DICCIONARIO!$E$7</definedName>
    <definedName name="Z_IN_04_P">DICCIONARIO!$I$7</definedName>
    <definedName name="Z_IN_04_S">DICCIONARIO!$F$7</definedName>
    <definedName name="Z_IN_05_">DICCIONARIO!$L$8</definedName>
    <definedName name="Z_IN_05_D">DICCIONARIO!$K$8</definedName>
    <definedName name="Z_IN_05_E">DICCIONARIO!$G$8</definedName>
    <definedName name="Z_IN_05_F">DICCIONARIO!$H$8</definedName>
    <definedName name="Z_IN_05_I">DICCIONARIO!$J$8</definedName>
    <definedName name="Z_IN_05_O">DICCIONARIO!$E$8</definedName>
    <definedName name="Z_IN_05_P">DICCIONARIO!$I$8</definedName>
    <definedName name="Z_IN_05_S">DICCIONARIO!$F$8</definedName>
    <definedName name="Z_IN_06_">DICCIONARIO!$L$9</definedName>
    <definedName name="Z_IN_06_D">DICCIONARIO!$K$9</definedName>
    <definedName name="Z_IN_06_E">DICCIONARIO!$G$9</definedName>
    <definedName name="Z_IN_06_F">DICCIONARIO!$H$9</definedName>
    <definedName name="Z_IN_06_I">DICCIONARIO!$J$9</definedName>
    <definedName name="Z_IN_06_O">DICCIONARIO!$E$9</definedName>
    <definedName name="Z_IN_06_P">DICCIONARIO!$I$9</definedName>
    <definedName name="Z_IN_06_S">DICCIONARIO!$F$9</definedName>
    <definedName name="Z_IN_07_">DICCIONARIO!$L$10</definedName>
    <definedName name="Z_IN_07_D">DICCIONARIO!$K$10</definedName>
    <definedName name="Z_IN_07_E">DICCIONARIO!$G$10</definedName>
    <definedName name="Z_IN_07_F">DICCIONARIO!$H$10</definedName>
    <definedName name="Z_IN_07_I">DICCIONARIO!$J$10</definedName>
    <definedName name="Z_IN_07_O">DICCIONARIO!$E$10</definedName>
    <definedName name="Z_IN_07_P">DICCIONARIO!$I$10</definedName>
    <definedName name="Z_IN_07_S">DICCIONARIO!$F$10</definedName>
    <definedName name="Z_IN_08_">DICCIONARIO!$L$11</definedName>
    <definedName name="Z_IN_08_D">DICCIONARIO!$K$11</definedName>
    <definedName name="Z_IN_08_E">DICCIONARIO!$G$11</definedName>
    <definedName name="Z_IN_08_F">DICCIONARIO!$H$11</definedName>
    <definedName name="Z_IN_08_I">DICCIONARIO!$J$11</definedName>
    <definedName name="Z_IN_08_O">DICCIONARIO!$E$11</definedName>
    <definedName name="Z_IN_08_P">DICCIONARIO!$I$11</definedName>
    <definedName name="Z_IN_08_S">DICCIONARIO!$F$11</definedName>
    <definedName name="Z_IN_09_">DICCIONARIO!$L$12</definedName>
    <definedName name="Z_IN_09_D">DICCIONARIO!$K$12</definedName>
    <definedName name="Z_IN_09_E">DICCIONARIO!$G$12</definedName>
    <definedName name="Z_IN_09_F">DICCIONARIO!$H$12</definedName>
    <definedName name="Z_IN_09_I">DICCIONARIO!$J$12</definedName>
    <definedName name="Z_IN_09_O">DICCIONARIO!$E$12</definedName>
    <definedName name="Z_IN_09_P">DICCIONARIO!$I$12</definedName>
    <definedName name="Z_IN_09_S">DICCIONARIO!$F$12</definedName>
    <definedName name="Z_IN_10_">DICCIONARIO!$L$13</definedName>
    <definedName name="Z_IN_10_D">DICCIONARIO!$K$13</definedName>
    <definedName name="Z_IN_10_E">DICCIONARIO!$G$13</definedName>
    <definedName name="Z_IN_10_F">DICCIONARIO!$H$13</definedName>
    <definedName name="Z_IN_10_I">DICCIONARIO!$J$13</definedName>
    <definedName name="Z_IN_10_O">DICCIONARIO!$E$13</definedName>
    <definedName name="Z_IN_10_P">DICCIONARIO!$I$13</definedName>
    <definedName name="Z_IN_10_S">DICCIONARIO!$F$13</definedName>
    <definedName name="Z_L5_?_">DICCIONARIO!$L$159</definedName>
    <definedName name="Z_L5_?_D">DICCIONARIO!$K$159</definedName>
    <definedName name="Z_L5_?_E">DICCIONARIO!$G$159</definedName>
    <definedName name="Z_L5_?_F">DICCIONARIO!$H$159</definedName>
    <definedName name="Z_L5_?_I">DICCIONARIO!$J$159</definedName>
    <definedName name="Z_L5_?_O">DICCIONARIO!$E$159</definedName>
    <definedName name="Z_L5_?_P">DICCIONARIO!$I$159</definedName>
    <definedName name="Z_L5_?_S">DICCIONARIO!$F$159</definedName>
    <definedName name="Z_Marcar_RI_?_">DICCIONARIO!$L$157</definedName>
    <definedName name="Z_Marcar_RI_?_D">DICCIONARIO!$K$157</definedName>
    <definedName name="Z_Marcar_RI_?_E">DICCIONARIO!$G$157</definedName>
    <definedName name="Z_Marcar_RI_?_F">DICCIONARIO!$H$157</definedName>
    <definedName name="Z_Marcar_RI_?_I">DICCIONARIO!$J$157</definedName>
    <definedName name="Z_Marcar_RI_?_O">DICCIONARIO!$E$157</definedName>
    <definedName name="Z_Marcar_RI_?_P">DICCIONARIO!$I$157</definedName>
    <definedName name="Z_Marcar_RI_?_S">DICCIONARIO!$F$157</definedName>
    <definedName name="Z_MAYUSCULAS_?_">DICCIONARIO!$L$173</definedName>
    <definedName name="Z_MAYUSCULAS_?_D">DICCIONARIO!$K$173</definedName>
    <definedName name="Z_MAYUSCULAS_?_E">DICCIONARIO!$G$173</definedName>
    <definedName name="Z_MAYUSCULAS_?_F">DICCIONARIO!$H$173</definedName>
    <definedName name="Z_MAYUSCULAS_?_I">DICCIONARIO!$J$173</definedName>
    <definedName name="Z_MAYUSCULAS_?_O">DICCIONARIO!$E$173</definedName>
    <definedName name="Z_MAYUSCULAS_?_P">DICCIONARIO!$I$173</definedName>
    <definedName name="Z_MAYUSCULAS_?_S">DICCIONARIO!$F$173</definedName>
    <definedName name="Z_ML_00_">DICCIONARIO!$L$14</definedName>
    <definedName name="Z_ML_00_D">DICCIONARIO!$K$14</definedName>
    <definedName name="Z_ML_00_E">DICCIONARIO!$G$14</definedName>
    <definedName name="Z_ML_00_F">DICCIONARIO!$H$14</definedName>
    <definedName name="Z_ML_00_I">DICCIONARIO!$J$14</definedName>
    <definedName name="Z_ML_00_O">DICCIONARIO!$E$14</definedName>
    <definedName name="Z_ML_00_P">DICCIONARIO!$I$14</definedName>
    <definedName name="Z_ML_00_S">DICCIONARIO!$F$14</definedName>
    <definedName name="Z_ML_01_">DICCIONARIO!$L$15</definedName>
    <definedName name="Z_ML_01_D">DICCIONARIO!$K$15</definedName>
    <definedName name="Z_ML_01_E">DICCIONARIO!$G$15</definedName>
    <definedName name="Z_ML_01_F">DICCIONARIO!$H$15</definedName>
    <definedName name="Z_ML_01_I">DICCIONARIO!$J$15</definedName>
    <definedName name="Z_ML_01_O">DICCIONARIO!$E$15</definedName>
    <definedName name="Z_ML_01_P">DICCIONARIO!$I$15</definedName>
    <definedName name="Z_ML_01_S">DICCIONARIO!$F$15</definedName>
    <definedName name="Z_ML_02_">DICCIONARIO!$L$16</definedName>
    <definedName name="Z_ML_02_D">DICCIONARIO!$K$16</definedName>
    <definedName name="Z_ML_02_E">DICCIONARIO!$G$16</definedName>
    <definedName name="Z_ML_02_F">DICCIONARIO!$H$16</definedName>
    <definedName name="Z_ML_02_I">DICCIONARIO!$J$16</definedName>
    <definedName name="Z_ML_02_O">DICCIONARIO!$E$16</definedName>
    <definedName name="Z_ML_02_P">DICCIONARIO!$I$16</definedName>
    <definedName name="Z_ML_02_S">DICCIONARIO!$F$16</definedName>
    <definedName name="Z_ML_03_">DICCIONARIO!$L$17</definedName>
    <definedName name="Z_ML_03_D">DICCIONARIO!$K$17</definedName>
    <definedName name="Z_ML_03_E">DICCIONARIO!$G$17</definedName>
    <definedName name="Z_ML_03_F">DICCIONARIO!$H$17</definedName>
    <definedName name="Z_ML_03_I">DICCIONARIO!$J$17</definedName>
    <definedName name="Z_ML_03_O">DICCIONARIO!$E$17</definedName>
    <definedName name="Z_ML_03_P">DICCIONARIO!$I$17</definedName>
    <definedName name="Z_ML_03_S">DICCIONARIO!$F$17</definedName>
    <definedName name="Z_ML_04_">DICCIONARIO!$L$18</definedName>
    <definedName name="Z_ML_04_D">DICCIONARIO!$K$18</definedName>
    <definedName name="Z_ML_04_E">DICCIONARIO!$G$18</definedName>
    <definedName name="Z_ML_04_F">DICCIONARIO!$H$18</definedName>
    <definedName name="Z_ML_04_I">DICCIONARIO!$J$18</definedName>
    <definedName name="Z_ML_04_O">DICCIONARIO!$E$18</definedName>
    <definedName name="Z_ML_04_P">DICCIONARIO!$I$18</definedName>
    <definedName name="Z_ML_04_S">DICCIONARIO!$F$18</definedName>
    <definedName name="Z_ML_05_">DICCIONARIO!$L$19</definedName>
    <definedName name="Z_ML_05_D">DICCIONARIO!$K$19</definedName>
    <definedName name="Z_ML_05_E">DICCIONARIO!$G$19</definedName>
    <definedName name="Z_ML_05_F">DICCIONARIO!$H$19</definedName>
    <definedName name="Z_ML_05_I">DICCIONARIO!$J$19</definedName>
    <definedName name="Z_ML_05_O">DICCIONARIO!$E$19</definedName>
    <definedName name="Z_ML_05_P">DICCIONARIO!$I$19</definedName>
    <definedName name="Z_ML_05_S">DICCIONARIO!$F$19</definedName>
    <definedName name="Z_ML_06_">DICCIONARIO!$L$20</definedName>
    <definedName name="Z_ML_06_D">DICCIONARIO!$K$20</definedName>
    <definedName name="Z_ML_06_E">DICCIONARIO!$G$20</definedName>
    <definedName name="Z_ML_06_F">DICCIONARIO!$H$20</definedName>
    <definedName name="Z_ML_06_I">DICCIONARIO!$J$20</definedName>
    <definedName name="Z_ML_06_O">DICCIONARIO!$E$20</definedName>
    <definedName name="Z_ML_06_P">DICCIONARIO!$I$20</definedName>
    <definedName name="Z_ML_06_S">DICCIONARIO!$F$20</definedName>
    <definedName name="Z_ML_07_">DICCIONARIO!$L$21</definedName>
    <definedName name="Z_ML_07_D">DICCIONARIO!$K$21</definedName>
    <definedName name="Z_ML_07_E">DICCIONARIO!$G$21</definedName>
    <definedName name="Z_ML_07_F">DICCIONARIO!$H$21</definedName>
    <definedName name="Z_ML_07_I">DICCIONARIO!$J$21</definedName>
    <definedName name="Z_ML_07_O">DICCIONARIO!$E$21</definedName>
    <definedName name="Z_ML_07_P">DICCIONARIO!$I$21</definedName>
    <definedName name="Z_ML_07_S">DICCIONARIO!$F$21</definedName>
    <definedName name="Z_ML_08_">DICCIONARIO!$L$22</definedName>
    <definedName name="Z_ML_08_D">DICCIONARIO!$K$22</definedName>
    <definedName name="Z_ML_08_E">DICCIONARIO!$G$22</definedName>
    <definedName name="Z_ML_08_F">DICCIONARIO!$H$22</definedName>
    <definedName name="Z_ML_08_I">DICCIONARIO!$J$22</definedName>
    <definedName name="Z_ML_08_O">DICCIONARIO!$E$22</definedName>
    <definedName name="Z_ML_08_P">DICCIONARIO!$I$22</definedName>
    <definedName name="Z_ML_08_S">DICCIONARIO!$F$22</definedName>
    <definedName name="Z_ML_09_">DICCIONARIO!$L$23</definedName>
    <definedName name="Z_ML_09_D">DICCIONARIO!$K$23</definedName>
    <definedName name="Z_ML_09_E">DICCIONARIO!$G$23</definedName>
    <definedName name="Z_ML_09_F">DICCIONARIO!$H$23</definedName>
    <definedName name="Z_ML_09_I">DICCIONARIO!$J$23</definedName>
    <definedName name="Z_ML_09_O">DICCIONARIO!$E$23</definedName>
    <definedName name="Z_ML_09_P">DICCIONARIO!$I$23</definedName>
    <definedName name="Z_ML_09_S">DICCIONARIO!$F$23</definedName>
    <definedName name="Z_ML_10_">DICCIONARIO!$L$24</definedName>
    <definedName name="Z_ML_10_D">DICCIONARIO!$K$24</definedName>
    <definedName name="Z_ML_10_E">DICCIONARIO!$G$24</definedName>
    <definedName name="Z_ML_10_F">DICCIONARIO!$H$24</definedName>
    <definedName name="Z_ML_10_I">DICCIONARIO!$J$24</definedName>
    <definedName name="Z_ML_10_O">DICCIONARIO!$E$24</definedName>
    <definedName name="Z_ML_10_P">DICCIONARIO!$I$24</definedName>
    <definedName name="Z_ML_10_S">DICCIONARIO!$F$24</definedName>
    <definedName name="Z_ML_11_">DICCIONARIO!$L$25</definedName>
    <definedName name="Z_ML_11_D">DICCIONARIO!$K$25</definedName>
    <definedName name="Z_ML_11_E">DICCIONARIO!$G$25</definedName>
    <definedName name="Z_ML_11_F">DICCIONARIO!$H$25</definedName>
    <definedName name="Z_ML_11_I">DICCIONARIO!$J$25</definedName>
    <definedName name="Z_ML_11_O">DICCIONARIO!$E$25</definedName>
    <definedName name="Z_ML_11_P">DICCIONARIO!$I$25</definedName>
    <definedName name="Z_ML_11_S">DICCIONARIO!$F$25</definedName>
    <definedName name="Z_ML_12_">DICCIONARIO!$L$26</definedName>
    <definedName name="Z_ML_12_D">DICCIONARIO!$K$26</definedName>
    <definedName name="Z_ML_12_E">DICCIONARIO!$G$26</definedName>
    <definedName name="Z_ML_12_F">DICCIONARIO!$H$26</definedName>
    <definedName name="Z_ML_12_I">DICCIONARIO!$J$26</definedName>
    <definedName name="Z_ML_12_O">DICCIONARIO!$E$26</definedName>
    <definedName name="Z_ML_12_P">DICCIONARIO!$I$26</definedName>
    <definedName name="Z_ML_12_S">DICCIONARIO!$F$26</definedName>
    <definedName name="Z_ML_13_">DICCIONARIO!$L$27</definedName>
    <definedName name="Z_ML_13_D">DICCIONARIO!$K$27</definedName>
    <definedName name="Z_ML_13_E">DICCIONARIO!$G$27</definedName>
    <definedName name="Z_ML_13_F">DICCIONARIO!$H$27</definedName>
    <definedName name="Z_ML_13_I">DICCIONARIO!$J$27</definedName>
    <definedName name="Z_ML_13_O">DICCIONARIO!$E$27</definedName>
    <definedName name="Z_ML_13_P">DICCIONARIO!$I$27</definedName>
    <definedName name="Z_ML_13_S">DICCIONARIO!$F$27</definedName>
    <definedName name="Z_ML_14_">DICCIONARIO!$L$28</definedName>
    <definedName name="Z_ML_14_D">DICCIONARIO!$K$28</definedName>
    <definedName name="Z_ML_14_E">DICCIONARIO!$G$28</definedName>
    <definedName name="Z_ML_14_F">DICCIONARIO!$H$28</definedName>
    <definedName name="Z_ML_14_I">DICCIONARIO!$J$28</definedName>
    <definedName name="Z_ML_14_O">DICCIONARIO!$E$28</definedName>
    <definedName name="Z_ML_14_P">DICCIONARIO!$I$28</definedName>
    <definedName name="Z_ML_14_S">DICCIONARIO!$F$28</definedName>
    <definedName name="Z_ML_15_">DICCIONARIO!$L$29</definedName>
    <definedName name="Z_ML_15_D">DICCIONARIO!$K$29</definedName>
    <definedName name="Z_ML_15_E">DICCIONARIO!$G$29</definedName>
    <definedName name="Z_ML_15_F">DICCIONARIO!$H$29</definedName>
    <definedName name="Z_ML_15_I">DICCIONARIO!$J$29</definedName>
    <definedName name="Z_ML_15_O">DICCIONARIO!$E$29</definedName>
    <definedName name="Z_ML_15_P">DICCIONARIO!$I$29</definedName>
    <definedName name="Z_ML_15_S">DICCIONARIO!$F$29</definedName>
    <definedName name="Z_ML_16_">DICCIONARIO!$L$30</definedName>
    <definedName name="Z_ML_16_D">DICCIONARIO!$K$30</definedName>
    <definedName name="Z_ML_16_E">DICCIONARIO!$G$30</definedName>
    <definedName name="Z_ML_16_F">DICCIONARIO!$H$30</definedName>
    <definedName name="Z_ML_16_I">DICCIONARIO!$J$30</definedName>
    <definedName name="Z_ML_16_O">DICCIONARIO!$E$30</definedName>
    <definedName name="Z_ML_16_P">DICCIONARIO!$I$30</definedName>
    <definedName name="Z_ML_16_S">DICCIONARIO!$F$30</definedName>
    <definedName name="Z_ML_17_">DICCIONARIO!$L$31</definedName>
    <definedName name="Z_ML_17_D">DICCIONARIO!$K$31</definedName>
    <definedName name="Z_ML_17_E">DICCIONARIO!$G$31</definedName>
    <definedName name="Z_ML_17_F">DICCIONARIO!$H$31</definedName>
    <definedName name="Z_ML_17_I">DICCIONARIO!$J$31</definedName>
    <definedName name="Z_ML_17_O">DICCIONARIO!$E$31</definedName>
    <definedName name="Z_ML_17_P">DICCIONARIO!$I$31</definedName>
    <definedName name="Z_ML_17_S">DICCIONARIO!$F$31</definedName>
    <definedName name="Z_ML_18_">DICCIONARIO!$L$32</definedName>
    <definedName name="Z_ML_18_D">DICCIONARIO!$K$32</definedName>
    <definedName name="Z_ML_18_E">DICCIONARIO!$G$32</definedName>
    <definedName name="Z_ML_18_F">DICCIONARIO!$H$32</definedName>
    <definedName name="Z_ML_18_I">DICCIONARIO!$J$32</definedName>
    <definedName name="Z_ML_18_O">DICCIONARIO!$E$32</definedName>
    <definedName name="Z_ML_18_P">DICCIONARIO!$I$32</definedName>
    <definedName name="Z_ML_18_S">DICCIONARIO!$F$32</definedName>
    <definedName name="Z_MS_00_">DICCIONARIO!$L$78</definedName>
    <definedName name="Z_MS_00_D">DICCIONARIO!$K$78</definedName>
    <definedName name="Z_MS_00_E">DICCIONARIO!$G$78</definedName>
    <definedName name="Z_MS_00_F">DICCIONARIO!$H$78</definedName>
    <definedName name="Z_MS_00_I">DICCIONARIO!$J$78</definedName>
    <definedName name="Z_MS_00_O">DICCIONARIO!$E$78</definedName>
    <definedName name="Z_MS_00_P">DICCIONARIO!$I$78</definedName>
    <definedName name="Z_MS_00_S">DICCIONARIO!$F$78</definedName>
    <definedName name="Z_MS_01_">DICCIONARIO!$L$79</definedName>
    <definedName name="Z_MS_01_D">DICCIONARIO!$K$79</definedName>
    <definedName name="Z_MS_01_E">DICCIONARIO!$G$79</definedName>
    <definedName name="Z_MS_01_F">DICCIONARIO!$H$79</definedName>
    <definedName name="Z_MS_01_I">DICCIONARIO!$J$79</definedName>
    <definedName name="Z_MS_01_O">DICCIONARIO!$E$79</definedName>
    <definedName name="Z_MS_01_P">DICCIONARIO!$I$79</definedName>
    <definedName name="Z_MS_01_S">DICCIONARIO!$F$79</definedName>
    <definedName name="Z_MS_02_">DICCIONARIO!$L$80</definedName>
    <definedName name="Z_MS_02_D">DICCIONARIO!$K$80</definedName>
    <definedName name="Z_MS_02_E">DICCIONARIO!$G$80</definedName>
    <definedName name="Z_MS_02_F">DICCIONARIO!$H$80</definedName>
    <definedName name="Z_MS_02_I">DICCIONARIO!$J$80</definedName>
    <definedName name="Z_MS_02_O">DICCIONARIO!$E$80</definedName>
    <definedName name="Z_MS_02_P">DICCIONARIO!$I$80</definedName>
    <definedName name="Z_MS_02_S">DICCIONARIO!$F$80</definedName>
    <definedName name="Z_MS_03_">DICCIONARIO!$L$81</definedName>
    <definedName name="Z_MS_03_D">DICCIONARIO!$K$81</definedName>
    <definedName name="Z_MS_03_E">DICCIONARIO!$G$81</definedName>
    <definedName name="Z_MS_03_F">DICCIONARIO!$H$81</definedName>
    <definedName name="Z_MS_03_I">DICCIONARIO!$J$81</definedName>
    <definedName name="Z_MS_03_O">DICCIONARIO!$E$81</definedName>
    <definedName name="Z_MS_03_P">DICCIONARIO!$I$81</definedName>
    <definedName name="Z_MS_03_S">DICCIONARIO!$F$81</definedName>
    <definedName name="Z_MS_04_">DICCIONARIO!$L$82</definedName>
    <definedName name="Z_MS_04_D">DICCIONARIO!$K$82</definedName>
    <definedName name="Z_MS_04_E">DICCIONARIO!$G$82</definedName>
    <definedName name="Z_MS_04_F">DICCIONARIO!$H$82</definedName>
    <definedName name="Z_MS_04_I">DICCIONARIO!$J$82</definedName>
    <definedName name="Z_MS_04_O">DICCIONARIO!$E$82</definedName>
    <definedName name="Z_MS_04_P">DICCIONARIO!$I$82</definedName>
    <definedName name="Z_MS_04_S">DICCIONARIO!$F$82</definedName>
    <definedName name="Z_MS_05_">DICCIONARIO!$L$83</definedName>
    <definedName name="Z_MS_05_D">DICCIONARIO!$K$83</definedName>
    <definedName name="Z_MS_05_E">DICCIONARIO!$G$83</definedName>
    <definedName name="Z_MS_05_F">DICCIONARIO!$H$83</definedName>
    <definedName name="Z_MS_05_I">DICCIONARIO!$J$83</definedName>
    <definedName name="Z_MS_05_O">DICCIONARIO!$E$83</definedName>
    <definedName name="Z_MS_05_P">DICCIONARIO!$I$83</definedName>
    <definedName name="Z_MS_05_S">DICCIONARIO!$F$83</definedName>
    <definedName name="Z_MS_06_">DICCIONARIO!$L$84</definedName>
    <definedName name="Z_MS_06_D">DICCIONARIO!$K$84</definedName>
    <definedName name="Z_MS_06_E">DICCIONARIO!$G$84</definedName>
    <definedName name="Z_MS_06_F">DICCIONARIO!$H$84</definedName>
    <definedName name="Z_MS_06_I">DICCIONARIO!$J$84</definedName>
    <definedName name="Z_MS_06_O">DICCIONARIO!$E$84</definedName>
    <definedName name="Z_MS_06_P">DICCIONARIO!$I$84</definedName>
    <definedName name="Z_MS_06_S">DICCIONARIO!$F$84</definedName>
    <definedName name="Z_MS_07_">DICCIONARIO!$L$85</definedName>
    <definedName name="Z_MS_07_D">DICCIONARIO!$K$85</definedName>
    <definedName name="Z_MS_07_E">DICCIONARIO!$G$85</definedName>
    <definedName name="Z_MS_07_F">DICCIONARIO!$H$85</definedName>
    <definedName name="Z_MS_07_I">DICCIONARIO!$J$85</definedName>
    <definedName name="Z_MS_07_O">DICCIONARIO!$E$85</definedName>
    <definedName name="Z_MS_07_P">DICCIONARIO!$I$85</definedName>
    <definedName name="Z_MS_07_S">DICCIONARIO!$F$85</definedName>
    <definedName name="Z_MS_08_">DICCIONARIO!$L$86</definedName>
    <definedName name="Z_MS_08_D">DICCIONARIO!$K$86</definedName>
    <definedName name="Z_MS_08_E">DICCIONARIO!$G$86</definedName>
    <definedName name="Z_MS_08_F">DICCIONARIO!$H$86</definedName>
    <definedName name="Z_MS_08_I">DICCIONARIO!$J$86</definedName>
    <definedName name="Z_MS_08_O">DICCIONARIO!$E$86</definedName>
    <definedName name="Z_MS_08_P">DICCIONARIO!$I$86</definedName>
    <definedName name="Z_MS_08_S">DICCIONARIO!$F$86</definedName>
    <definedName name="Z_MS_09_">DICCIONARIO!$L$87</definedName>
    <definedName name="Z_MS_09_D">DICCIONARIO!$K$87</definedName>
    <definedName name="Z_MS_09_E">DICCIONARIO!$G$87</definedName>
    <definedName name="Z_MS_09_F">DICCIONARIO!$H$87</definedName>
    <definedName name="Z_MS_09_I">DICCIONARIO!$J$87</definedName>
    <definedName name="Z_MS_09_O">DICCIONARIO!$E$87</definedName>
    <definedName name="Z_MS_09_P">DICCIONARIO!$I$87</definedName>
    <definedName name="Z_MS_09_S">DICCIONARIO!$F$87</definedName>
    <definedName name="Z_N_FINAL_?_">DICCIONARIO!$L$149</definedName>
    <definedName name="Z_N_FINAL_?_D">DICCIONARIO!$K$149</definedName>
    <definedName name="Z_N_FINAL_?_E">DICCIONARIO!$G$149</definedName>
    <definedName name="Z_N_FINAL_?_F">DICCIONARIO!$H$149</definedName>
    <definedName name="Z_N_FINAL_?_I">DICCIONARIO!$J$149</definedName>
    <definedName name="Z_N_FINAL_?_O">DICCIONARIO!$E$149</definedName>
    <definedName name="Z_N_FINAL_?_P">DICCIONARIO!$I$149</definedName>
    <definedName name="Z_N_FINAL_?_S">DICCIONARIO!$F$149</definedName>
    <definedName name="Z_N_INICIAL_?_">DICCIONARIO!$L$148</definedName>
    <definedName name="Z_N_INICIAL_?_D">DICCIONARIO!$K$148</definedName>
    <definedName name="Z_N_INICIAL_?_E">DICCIONARIO!$G$148</definedName>
    <definedName name="Z_N_INICIAL_?_F">DICCIONARIO!$H$148</definedName>
    <definedName name="Z_N_INICIAL_?_I">DICCIONARIO!$J$148</definedName>
    <definedName name="Z_N_INICIAL_?_O">DICCIONARIO!$E$148</definedName>
    <definedName name="Z_N_INICIAL_?_P">DICCIONARIO!$I$148</definedName>
    <definedName name="Z_N_INICIAL_?_S">DICCIONARIO!$F$148</definedName>
    <definedName name="Z_NUMERAR_R_?_">DICCIONARIO!$L$151</definedName>
    <definedName name="Z_NUMERAR_R_?_D">DICCIONARIO!$K$151</definedName>
    <definedName name="Z_NUMERAR_R_?_E">DICCIONARIO!$G$151</definedName>
    <definedName name="Z_NUMERAR_R_?_F">DICCIONARIO!$H$151</definedName>
    <definedName name="Z_NUMERAR_R_?_I">DICCIONARIO!$J$151</definedName>
    <definedName name="Z_NUMERAR_R_?_O">DICCIONARIO!$E$151</definedName>
    <definedName name="Z_NUMERAR_R_?_P">DICCIONARIO!$I$151</definedName>
    <definedName name="Z_NUMERAR_R_?_S">DICCIONARIO!$F$151</definedName>
    <definedName name="Z_Oculto_?_">DICCIONARIO!$L$156</definedName>
    <definedName name="Z_Oculto_?_D">DICCIONARIO!$K$156</definedName>
    <definedName name="Z_Oculto_?_E">DICCIONARIO!$G$156</definedName>
    <definedName name="Z_Oculto_?_F">DICCIONARIO!$H$156</definedName>
    <definedName name="Z_Oculto_?_I">DICCIONARIO!$J$156</definedName>
    <definedName name="Z_Oculto_?_O">DICCIONARIO!$E$156</definedName>
    <definedName name="Z_Oculto_?_P">DICCIONARIO!$I$156</definedName>
    <definedName name="Z_Oculto_?_S">DICCIONARIO!$F$156</definedName>
    <definedName name="Z_OM_00_">DICCIONARIO!$L$88</definedName>
    <definedName name="Z_OM_00_D">DICCIONARIO!$K$88</definedName>
    <definedName name="Z_OM_00_E">DICCIONARIO!$G$88</definedName>
    <definedName name="Z_OM_00_F">DICCIONARIO!$H$88</definedName>
    <definedName name="Z_OM_00_I">DICCIONARIO!$J$88</definedName>
    <definedName name="Z_OM_00_O">DICCIONARIO!$E$88</definedName>
    <definedName name="Z_OM_00_P">DICCIONARIO!$I$88</definedName>
    <definedName name="Z_OM_00_S">DICCIONARIO!$F$88</definedName>
    <definedName name="Z_OM_01_">DICCIONARIO!$L$89</definedName>
    <definedName name="Z_OM_01_D">DICCIONARIO!$K$89</definedName>
    <definedName name="Z_OM_01_E">DICCIONARIO!$G$89</definedName>
    <definedName name="Z_OM_01_F">DICCIONARIO!$H$89</definedName>
    <definedName name="Z_OM_01_I">DICCIONARIO!$J$89</definedName>
    <definedName name="Z_OM_01_O">DICCIONARIO!$E$89</definedName>
    <definedName name="Z_OM_01_P">DICCIONARIO!$I$89</definedName>
    <definedName name="Z_OM_01_S">DICCIONARIO!$F$89</definedName>
    <definedName name="Z_OM_02_">DICCIONARIO!$L$90</definedName>
    <definedName name="Z_OM_02_D">DICCIONARIO!$K$90</definedName>
    <definedName name="Z_OM_02_E">DICCIONARIO!$G$90</definedName>
    <definedName name="Z_OM_02_F">DICCIONARIO!$H$90</definedName>
    <definedName name="Z_OM_02_I">DICCIONARIO!$J$90</definedName>
    <definedName name="Z_OM_02_O">DICCIONARIO!$E$90</definedName>
    <definedName name="Z_OM_02_P">DICCIONARIO!$I$90</definedName>
    <definedName name="Z_OM_02_S">DICCIONARIO!$F$90</definedName>
    <definedName name="Z_OM_03_">DICCIONARIO!$L$91</definedName>
    <definedName name="Z_OM_03_D">DICCIONARIO!$K$91</definedName>
    <definedName name="Z_OM_03_E">DICCIONARIO!$G$91</definedName>
    <definedName name="Z_OM_03_F">DICCIONARIO!$H$91</definedName>
    <definedName name="Z_OM_03_I">DICCIONARIO!$J$91</definedName>
    <definedName name="Z_OM_03_O">DICCIONARIO!$E$91</definedName>
    <definedName name="Z_OM_03_P">DICCIONARIO!$I$91</definedName>
    <definedName name="Z_OM_03_S">DICCIONARIO!$F$91</definedName>
    <definedName name="Z_OM_04_">DICCIONARIO!$L$92</definedName>
    <definedName name="Z_OM_04_D">DICCIONARIO!$K$92</definedName>
    <definedName name="Z_OM_04_E">DICCIONARIO!$G$92</definedName>
    <definedName name="Z_OM_04_F">DICCIONARIO!$H$92</definedName>
    <definedName name="Z_OM_04_I">DICCIONARIO!$J$92</definedName>
    <definedName name="Z_OM_04_O">DICCIONARIO!$E$92</definedName>
    <definedName name="Z_OM_04_P">DICCIONARIO!$I$92</definedName>
    <definedName name="Z_OM_04_S">DICCIONARIO!$F$92</definedName>
    <definedName name="Z_OM_05_">DICCIONARIO!$L$93</definedName>
    <definedName name="Z_OM_05_D">DICCIONARIO!$K$93</definedName>
    <definedName name="Z_OM_05_E">DICCIONARIO!$G$93</definedName>
    <definedName name="Z_OM_05_F">DICCIONARIO!$H$93</definedName>
    <definedName name="Z_OM_05_I">DICCIONARIO!$J$93</definedName>
    <definedName name="Z_OM_05_O">DICCIONARIO!$E$93</definedName>
    <definedName name="Z_OM_05_P">DICCIONARIO!$I$93</definedName>
    <definedName name="Z_OM_05_S">DICCIONARIO!$F$93</definedName>
    <definedName name="Z_OM_06_">DICCIONARIO!$L$94</definedName>
    <definedName name="Z_OM_06_D">DICCIONARIO!$K$94</definedName>
    <definedName name="Z_OM_06_E">DICCIONARIO!$G$94</definedName>
    <definedName name="Z_OM_06_F">DICCIONARIO!$H$94</definedName>
    <definedName name="Z_OM_06_I">DICCIONARIO!$J$94</definedName>
    <definedName name="Z_OM_06_O">DICCIONARIO!$E$94</definedName>
    <definedName name="Z_OM_06_P">DICCIONARIO!$I$94</definedName>
    <definedName name="Z_OM_06_S">DICCIONARIO!$F$94</definedName>
    <definedName name="Z_OM_07_">DICCIONARIO!$L$95</definedName>
    <definedName name="Z_OM_07_D">DICCIONARIO!$K$95</definedName>
    <definedName name="Z_OM_07_E">DICCIONARIO!$G$95</definedName>
    <definedName name="Z_OM_07_F">DICCIONARIO!$H$95</definedName>
    <definedName name="Z_OM_07_I">DICCIONARIO!$J$95</definedName>
    <definedName name="Z_OM_07_O">DICCIONARIO!$E$95</definedName>
    <definedName name="Z_OM_07_P">DICCIONARIO!$I$95</definedName>
    <definedName name="Z_OM_07_S">DICCIONARIO!$F$95</definedName>
    <definedName name="Z_OM_08_">DICCIONARIO!$L$96</definedName>
    <definedName name="Z_OM_08_D">DICCIONARIO!$K$96</definedName>
    <definedName name="Z_OM_08_E">DICCIONARIO!$G$96</definedName>
    <definedName name="Z_OM_08_F">DICCIONARIO!$H$96</definedName>
    <definedName name="Z_OM_08_I">DICCIONARIO!$J$96</definedName>
    <definedName name="Z_OM_08_O">DICCIONARIO!$E$96</definedName>
    <definedName name="Z_OM_08_P">DICCIONARIO!$I$96</definedName>
    <definedName name="Z_OM_08_S">DICCIONARIO!$F$96</definedName>
    <definedName name="Z_OM_09_">DICCIONARIO!$L$97</definedName>
    <definedName name="Z_OM_09_D">DICCIONARIO!$K$97</definedName>
    <definedName name="Z_OM_09_E">DICCIONARIO!$G$97</definedName>
    <definedName name="Z_OM_09_F">DICCIONARIO!$H$97</definedName>
    <definedName name="Z_OM_09_I">DICCIONARIO!$J$97</definedName>
    <definedName name="Z_OM_09_O">DICCIONARIO!$E$97</definedName>
    <definedName name="Z_OM_09_P">DICCIONARIO!$I$97</definedName>
    <definedName name="Z_OM_09_S">DICCIONARIO!$F$97</definedName>
    <definedName name="Z_OM_10_">DICCIONARIO!$L$98</definedName>
    <definedName name="Z_OM_10_D">DICCIONARIO!$K$98</definedName>
    <definedName name="Z_OM_10_E">DICCIONARIO!$G$98</definedName>
    <definedName name="Z_OM_10_F">DICCIONARIO!$H$98</definedName>
    <definedName name="Z_OM_10_I">DICCIONARIO!$J$98</definedName>
    <definedName name="Z_OM_10_O">DICCIONARIO!$E$98</definedName>
    <definedName name="Z_OM_10_P">DICCIONARIO!$I$98</definedName>
    <definedName name="Z_OM_10_S">DICCIONARIO!$F$98</definedName>
    <definedName name="Z_OM_11_">DICCIONARIO!$L$99</definedName>
    <definedName name="Z_OM_11_D">DICCIONARIO!$K$99</definedName>
    <definedName name="Z_OM_11_E">DICCIONARIO!$G$99</definedName>
    <definedName name="Z_OM_11_F">DICCIONARIO!$H$99</definedName>
    <definedName name="Z_OM_11_I">DICCIONARIO!$J$99</definedName>
    <definedName name="Z_OM_11_O">DICCIONARIO!$E$99</definedName>
    <definedName name="Z_OM_11_P">DICCIONARIO!$I$99</definedName>
    <definedName name="Z_OM_11_S">DICCIONARIO!$F$99</definedName>
    <definedName name="Z_OM_12_">DICCIONARIO!$L$100</definedName>
    <definedName name="Z_OM_12_D">DICCIONARIO!$K$100</definedName>
    <definedName name="Z_OM_12_E">DICCIONARIO!$G$100</definedName>
    <definedName name="Z_OM_12_F">DICCIONARIO!$H$100</definedName>
    <definedName name="Z_OM_12_I">DICCIONARIO!$J$100</definedName>
    <definedName name="Z_OM_12_O">DICCIONARIO!$E$100</definedName>
    <definedName name="Z_OM_12_P">DICCIONARIO!$I$100</definedName>
    <definedName name="Z_OM_12_S">DICCIONARIO!$F$100</definedName>
    <definedName name="Z_OM_13_">DICCIONARIO!$L$101</definedName>
    <definedName name="Z_OM_13_D">DICCIONARIO!$K$101</definedName>
    <definedName name="Z_OM_13_E">DICCIONARIO!$G$101</definedName>
    <definedName name="Z_OM_13_F">DICCIONARIO!$H$101</definedName>
    <definedName name="Z_OM_13_I">DICCIONARIO!$J$101</definedName>
    <definedName name="Z_OM_13_O">DICCIONARIO!$E$101</definedName>
    <definedName name="Z_OM_13_P">DICCIONARIO!$I$101</definedName>
    <definedName name="Z_OM_13_S">DICCIONARIO!$F$101</definedName>
    <definedName name="Z_OM_14_">DICCIONARIO!$L$102</definedName>
    <definedName name="Z_OM_14_D">DICCIONARIO!$K$102</definedName>
    <definedName name="Z_OM_14_E">DICCIONARIO!$G$102</definedName>
    <definedName name="Z_OM_14_F">DICCIONARIO!$H$102</definedName>
    <definedName name="Z_OM_14_I">DICCIONARIO!$J$102</definedName>
    <definedName name="Z_OM_14_O">DICCIONARIO!$E$102</definedName>
    <definedName name="Z_OM_14_P">DICCIONARIO!$I$102</definedName>
    <definedName name="Z_OM_14_S">DICCIONARIO!$F$102</definedName>
    <definedName name="Z_OM_15_">DICCIONARIO!$L$103</definedName>
    <definedName name="Z_OM_15_D">DICCIONARIO!$K$103</definedName>
    <definedName name="Z_OM_15_E">DICCIONARIO!$G$103</definedName>
    <definedName name="Z_OM_15_F">DICCIONARIO!$H$103</definedName>
    <definedName name="Z_OM_15_I">DICCIONARIO!$J$103</definedName>
    <definedName name="Z_OM_15_O">DICCIONARIO!$E$103</definedName>
    <definedName name="Z_OM_15_P">DICCIONARIO!$I$103</definedName>
    <definedName name="Z_OM_15_S">DICCIONARIO!$F$103</definedName>
    <definedName name="Z_P_01_1_?_">DICCIONARIO!$L$168</definedName>
    <definedName name="Z_P_01_1_?_D">DICCIONARIO!$K$168</definedName>
    <definedName name="Z_P_01_1_?_E">DICCIONARIO!$G$168</definedName>
    <definedName name="Z_P_01_1_?_F">DICCIONARIO!$H$168</definedName>
    <definedName name="Z_P_01_1_?_I">DICCIONARIO!$J$168</definedName>
    <definedName name="Z_P_01_1_?_O">DICCIONARIO!$E$168</definedName>
    <definedName name="Z_P_01_1_?_P">DICCIONARIO!$I$168</definedName>
    <definedName name="Z_P_01_1_?_S">DICCIONARIO!$F$168</definedName>
    <definedName name="Z_P_01_2_?_">DICCIONARIO!$L$169</definedName>
    <definedName name="Z_P_01_2_?_D">DICCIONARIO!$K$169</definedName>
    <definedName name="Z_P_01_2_?_E">DICCIONARIO!$G$169</definedName>
    <definedName name="Z_P_01_2_?_F">DICCIONARIO!$H$169</definedName>
    <definedName name="Z_P_01_2_?_I">DICCIONARIO!$J$169</definedName>
    <definedName name="Z_P_01_2_?_O">DICCIONARIO!$E$169</definedName>
    <definedName name="Z_P_01_2_?_P">DICCIONARIO!$I$169</definedName>
    <definedName name="Z_P_01_2_?_S">DICCIONARIO!$F$169</definedName>
    <definedName name="Z_P_RC_1_?_">DICCIONARIO!$L$171</definedName>
    <definedName name="Z_P_RC_1_?_D">DICCIONARIO!$K$171</definedName>
    <definedName name="Z_P_RC_1_?_E">DICCIONARIO!$G$171</definedName>
    <definedName name="Z_P_RC_1_?_F">DICCIONARIO!$H$171</definedName>
    <definedName name="Z_P_RC_1_?_I">DICCIONARIO!$J$171</definedName>
    <definedName name="Z_P_RC_1_?_O">DICCIONARIO!$E$171</definedName>
    <definedName name="Z_P_RC_1_?_P">DICCIONARIO!$I$171</definedName>
    <definedName name="Z_P_RC_1_?_S">DICCIONARIO!$F$171</definedName>
    <definedName name="Z_PA_EN_?_">DICCIONARIO!$L$183</definedName>
    <definedName name="Z_PA_EN_?_D">DICCIONARIO!$K$183</definedName>
    <definedName name="Z_PA_EN_?_E">DICCIONARIO!$G$183</definedName>
    <definedName name="Z_PA_EN_?_F">DICCIONARIO!$H$183</definedName>
    <definedName name="Z_PA_EN_?_I">DICCIONARIO!$J$183</definedName>
    <definedName name="Z_PA_EN_?_O">DICCIONARIO!$E$183</definedName>
    <definedName name="Z_PA_EN_?_P">DICCIONARIO!$I$183</definedName>
    <definedName name="Z_PA_EN_?_S">DICCIONARIO!$F$183</definedName>
    <definedName name="Z_PENALIZACION_?_">DICCIONARIO!$L$155</definedName>
    <definedName name="Z_PENALIZACION_?_D">DICCIONARIO!$K$155</definedName>
    <definedName name="Z_PENALIZACION_?_E">DICCIONARIO!$G$155</definedName>
    <definedName name="Z_PENALIZACION_?_F">DICCIONARIO!$H$155</definedName>
    <definedName name="Z_PENALIZACION_?_I">DICCIONARIO!$J$155</definedName>
    <definedName name="Z_PENALIZACION_?_O">DICCIONARIO!$E$155</definedName>
    <definedName name="Z_PENALIZACION_?_P">DICCIONARIO!$I$155</definedName>
    <definedName name="Z_PENALIZACION_?_S">DICCIONARIO!$F$155</definedName>
    <definedName name="Z_PP_00_">DICCIONARIO!$L$114</definedName>
    <definedName name="Z_PP_00_D">DICCIONARIO!$K$114</definedName>
    <definedName name="Z_PP_00_E">DICCIONARIO!$G$114</definedName>
    <definedName name="Z_PP_00_F">DICCIONARIO!$H$114</definedName>
    <definedName name="Z_PP_00_I">DICCIONARIO!$J$114</definedName>
    <definedName name="Z_PP_00_O">DICCIONARIO!$E$114</definedName>
    <definedName name="Z_PP_00_P">DICCIONARIO!$I$114</definedName>
    <definedName name="Z_PP_00_S">DICCIONARIO!$F$114</definedName>
    <definedName name="Z_PP_01_">DICCIONARIO!$L$115</definedName>
    <definedName name="Z_PP_01_1_?_">DICCIONARIO!$L$175</definedName>
    <definedName name="Z_PP_01_1_?_D">DICCIONARIO!$K$175</definedName>
    <definedName name="Z_PP_01_1_?_E">DICCIONARIO!$G$175</definedName>
    <definedName name="Z_PP_01_1_?_F">DICCIONARIO!$H$175</definedName>
    <definedName name="Z_PP_01_1_?_I">DICCIONARIO!$J$175</definedName>
    <definedName name="Z_PP_01_1_?_O">DICCIONARIO!$E$175</definedName>
    <definedName name="Z_PP_01_1_?_P">DICCIONARIO!$I$175</definedName>
    <definedName name="Z_PP_01_1_?_S">DICCIONARIO!$F$175</definedName>
    <definedName name="Z_PP_01_2_?_">DICCIONARIO!$L$176</definedName>
    <definedName name="Z_PP_01_2_?_D">DICCIONARIO!$K$176</definedName>
    <definedName name="Z_PP_01_2_?_E">DICCIONARIO!$G$176</definedName>
    <definedName name="Z_PP_01_2_?_F">DICCIONARIO!$H$176</definedName>
    <definedName name="Z_PP_01_2_?_I">DICCIONARIO!$J$176</definedName>
    <definedName name="Z_PP_01_2_?_O">DICCIONARIO!$E$176</definedName>
    <definedName name="Z_PP_01_2_?_P">DICCIONARIO!$I$176</definedName>
    <definedName name="Z_PP_01_2_?_S">DICCIONARIO!$F$176</definedName>
    <definedName name="Z_PP_01_D">DICCIONARIO!$K$115</definedName>
    <definedName name="Z_PP_01_E">DICCIONARIO!$G$115</definedName>
    <definedName name="Z_PP_01_F">DICCIONARIO!$H$115</definedName>
    <definedName name="Z_PP_01_I">DICCIONARIO!$J$115</definedName>
    <definedName name="Z_PP_01_O">DICCIONARIO!$E$115</definedName>
    <definedName name="Z_PP_01_P">DICCIONARIO!$I$115</definedName>
    <definedName name="Z_PP_01_S">DICCIONARIO!$F$115</definedName>
    <definedName name="Z_PR_EN_?_">DICCIONARIO!$L$186</definedName>
    <definedName name="Z_PR_EN_?_D">DICCIONARIO!$K$186</definedName>
    <definedName name="Z_PR_EN_?_E">DICCIONARIO!$G$186</definedName>
    <definedName name="Z_PR_EN_?_F">DICCIONARIO!$H$186</definedName>
    <definedName name="Z_PR_EN_?_I">DICCIONARIO!$J$186</definedName>
    <definedName name="Z_PR_EN_?_O">DICCIONARIO!$E$186</definedName>
    <definedName name="Z_PR_EN_?_P">DICCIONARIO!$I$186</definedName>
    <definedName name="Z_PR_EN_?_S">DICCIONARIO!$F$186</definedName>
    <definedName name="Z_PREF_PREGUNTA_?_">DICCIONARIO!$L$147</definedName>
    <definedName name="Z_PREF_PREGUNTA_?_D">DICCIONARIO!$K$147</definedName>
    <definedName name="Z_PREF_PREGUNTA_?_E">DICCIONARIO!$G$147</definedName>
    <definedName name="Z_PREF_PREGUNTA_?_F">DICCIONARIO!$H$147</definedName>
    <definedName name="Z_PREF_PREGUNTA_?_I">DICCIONARIO!$J$147</definedName>
    <definedName name="Z_PREF_PREGUNTA_?_O">DICCIONARIO!$E$147</definedName>
    <definedName name="Z_PREF_PREGUNTA_?_P">DICCIONARIO!$I$147</definedName>
    <definedName name="Z_PREF_PREGUNTA_?_S">DICCIONARIO!$F$147</definedName>
    <definedName name="Z_PUNTUACION_?_">DICCIONARIO!$L$154</definedName>
    <definedName name="Z_PUNTUACION_?_D">DICCIONARIO!$K$154</definedName>
    <definedName name="Z_PUNTUACION_?_E">DICCIONARIO!$G$154</definedName>
    <definedName name="Z_PUNTUACION_?_F">DICCIONARIO!$H$154</definedName>
    <definedName name="Z_PUNTUACION_?_I">DICCIONARIO!$J$154</definedName>
    <definedName name="Z_PUNTUACION_?_O">DICCIONARIO!$E$154</definedName>
    <definedName name="Z_PUNTUACION_?_P">DICCIONARIO!$I$154</definedName>
    <definedName name="Z_PUNTUACION_?_S">DICCIONARIO!$F$154</definedName>
    <definedName name="Z_Q17_?_">DICCIONARIO!$L$161</definedName>
    <definedName name="Z_Q17_?_D">DICCIONARIO!$K$161</definedName>
    <definedName name="Z_Q17_?_E">DICCIONARIO!$G$161</definedName>
    <definedName name="Z_Q17_?_F">DICCIONARIO!$H$161</definedName>
    <definedName name="Z_Q17_?_I">DICCIONARIO!$J$161</definedName>
    <definedName name="Z_Q17_?_O">DICCIONARIO!$E$161</definedName>
    <definedName name="Z_Q17_?_P">DICCIONARIO!$I$161</definedName>
    <definedName name="Z_Q17_?_S">DICCIONARIO!$F$161</definedName>
    <definedName name="Z_Q7_?_">DICCIONARIO!$L$177</definedName>
    <definedName name="Z_Q7_?_D">DICCIONARIO!$K$177</definedName>
    <definedName name="Z_Q7_?_E">DICCIONARIO!$G$177</definedName>
    <definedName name="Z_Q7_?_F">DICCIONARIO!$H$177</definedName>
    <definedName name="Z_Q7_?_I">DICCIONARIO!$J$177</definedName>
    <definedName name="Z_Q7_?_O">DICCIONARIO!$E$177</definedName>
    <definedName name="Z_Q7_?_P">DICCIONARIO!$I$177</definedName>
    <definedName name="Z_Q7_?_S">DICCIONARIO!$F$177</definedName>
    <definedName name="Z_Q9_?_">DICCIONARIO!$L$162</definedName>
    <definedName name="Z_Q9_?_D">DICCIONARIO!$K$162</definedName>
    <definedName name="Z_Q9_?_E">DICCIONARIO!$G$162</definedName>
    <definedName name="Z_Q9_?_F">DICCIONARIO!$H$162</definedName>
    <definedName name="Z_Q9_?_I">DICCIONARIO!$J$162</definedName>
    <definedName name="Z_Q9_?_O">DICCIONARIO!$E$162</definedName>
    <definedName name="Z_Q9_?_P">DICCIONARIO!$I$162</definedName>
    <definedName name="Z_Q9_?_S">DICCIONARIO!$F$162</definedName>
    <definedName name="Z_R_CORRECTA_?_">DICCIONARIO!$L$144</definedName>
    <definedName name="Z_R_CORRECTA_?_D">DICCIONARIO!$K$144</definedName>
    <definedName name="Z_R_CORRECTA_?_E">DICCIONARIO!$G$144</definedName>
    <definedName name="Z_R_CORRECTA_?_F">DICCIONARIO!$H$144</definedName>
    <definedName name="Z_R_CORRECTA_?_I">DICCIONARIO!$J$144</definedName>
    <definedName name="Z_R_CORRECTA_?_O">DICCIONARIO!$E$144</definedName>
    <definedName name="Z_R_CORRECTA_?_P">DICCIONARIO!$I$144</definedName>
    <definedName name="Z_R_CORRECTA_?_S">DICCIONARIO!$F$144</definedName>
    <definedName name="Z_R_INCORRECTA_?_">DICCIONARIO!$L$146</definedName>
    <definedName name="Z_R_INCORRECTA_?_D">DICCIONARIO!$K$146</definedName>
    <definedName name="Z_R_INCORRECTA_?_E">DICCIONARIO!$G$146</definedName>
    <definedName name="Z_R_INCORRECTA_?_F">DICCIONARIO!$H$146</definedName>
    <definedName name="Z_R_INCORRECTA_?_I">DICCIONARIO!$J$146</definedName>
    <definedName name="Z_R_INCORRECTA_?_O">DICCIONARIO!$E$146</definedName>
    <definedName name="Z_R_INCORRECTA_?_P">DICCIONARIO!$I$146</definedName>
    <definedName name="Z_R_INCORRECTA_?_S">DICCIONARIO!$F$146</definedName>
    <definedName name="Z_R_Par_CORRECTA_?_">DICCIONARIO!$L$145</definedName>
    <definedName name="Z_R_Par_CORRECTA_?_D">DICCIONARIO!$K$145</definedName>
    <definedName name="Z_R_Par_CORRECTA_?_E">DICCIONARIO!$G$145</definedName>
    <definedName name="Z_R_Par_CORRECTA_?_F">DICCIONARIO!$H$145</definedName>
    <definedName name="Z_R_Par_CORRECTA_?_I">DICCIONARIO!$J$145</definedName>
    <definedName name="Z_R_Par_CORRECTA_?_O">DICCIONARIO!$E$145</definedName>
    <definedName name="Z_R_Par_CORRECTA_?_P">DICCIONARIO!$I$145</definedName>
    <definedName name="Z_R_Par_CORRECTA_?_S">DICCIONARIO!$F$145</definedName>
    <definedName name="Z_R_RC_1_?_">DICCIONARIO!$L$172</definedName>
    <definedName name="Z_R_RC_1_?_D">DICCIONARIO!$K$172</definedName>
    <definedName name="Z_R_RC_1_?_E">DICCIONARIO!$G$172</definedName>
    <definedName name="Z_R_RC_1_?_F">DICCIONARIO!$H$172</definedName>
    <definedName name="Z_R_RC_1_?_I">DICCIONARIO!$J$172</definedName>
    <definedName name="Z_R_RC_1_?_O">DICCIONARIO!$E$172</definedName>
    <definedName name="Z_R_RC_1_?_P">DICCIONARIO!$I$172</definedName>
    <definedName name="Z_R_RC_1_?_S">DICCIONARIO!$F$172</definedName>
    <definedName name="Z_RA_1_VF_?_">DICCIONARIO!$L$179</definedName>
    <definedName name="Z_RA_1_VF_?_D">DICCIONARIO!$K$179</definedName>
    <definedName name="Z_RA_1_VF_?_E">DICCIONARIO!$G$179</definedName>
    <definedName name="Z_RA_1_VF_?_F">DICCIONARIO!$H$179</definedName>
    <definedName name="Z_RA_1_VF_?_I">DICCIONARIO!$J$179</definedName>
    <definedName name="Z_RA_1_VF_?_O">DICCIONARIO!$E$179</definedName>
    <definedName name="Z_RA_1_VF_?_P">DICCIONARIO!$I$179</definedName>
    <definedName name="Z_RA_1_VF_?_S">DICCIONARIO!$F$179</definedName>
    <definedName name="Z_RA_2_VF_?_">DICCIONARIO!$L$180</definedName>
    <definedName name="Z_RA_2_VF_?_D">DICCIONARIO!$K$180</definedName>
    <definedName name="Z_RA_2_VF_?_E">DICCIONARIO!$G$180</definedName>
    <definedName name="Z_RA_2_VF_?_F">DICCIONARIO!$H$180</definedName>
    <definedName name="Z_RA_2_VF_?_I">DICCIONARIO!$J$180</definedName>
    <definedName name="Z_RA_2_VF_?_O">DICCIONARIO!$E$180</definedName>
    <definedName name="Z_RA_2_VF_?_P">DICCIONARIO!$I$180</definedName>
    <definedName name="Z_RA_2_VF_?_S">DICCIONARIO!$F$180</definedName>
    <definedName name="Z_RC_00_">DICCIONARIO!$L$110</definedName>
    <definedName name="Z_RC_00_D">DICCIONARIO!$K$110</definedName>
    <definedName name="Z_RC_00_E">DICCIONARIO!$G$110</definedName>
    <definedName name="Z_RC_00_F">DICCIONARIO!$H$110</definedName>
    <definedName name="Z_RC_00_I">DICCIONARIO!$J$110</definedName>
    <definedName name="Z_RC_00_O">DICCIONARIO!$E$110</definedName>
    <definedName name="Z_RC_00_P">DICCIONARIO!$I$110</definedName>
    <definedName name="Z_RC_00_S">DICCIONARIO!$F$110</definedName>
    <definedName name="Z_RC_01_">DICCIONARIO!$L$111</definedName>
    <definedName name="Z_RC_01_D">DICCIONARIO!$K$111</definedName>
    <definedName name="Z_RC_01_E">DICCIONARIO!$G$111</definedName>
    <definedName name="Z_RC_01_F">DICCIONARIO!$H$111</definedName>
    <definedName name="Z_RC_01_I">DICCIONARIO!$J$111</definedName>
    <definedName name="Z_RC_01_O">DICCIONARIO!$E$111</definedName>
    <definedName name="Z_RC_01_P">DICCIONARIO!$I$111</definedName>
    <definedName name="Z_RC_01_S">DICCIONARIO!$F$111</definedName>
    <definedName name="Z_RC_02_">DICCIONARIO!$L$112</definedName>
    <definedName name="Z_RC_02_D">DICCIONARIO!$K$112</definedName>
    <definedName name="Z_RC_02_E">DICCIONARIO!$G$112</definedName>
    <definedName name="Z_RC_02_F">DICCIONARIO!$H$112</definedName>
    <definedName name="Z_RC_02_I">DICCIONARIO!$J$112</definedName>
    <definedName name="Z_RC_02_O">DICCIONARIO!$E$112</definedName>
    <definedName name="Z_RC_02_P">DICCIONARIO!$I$112</definedName>
    <definedName name="Z_RC_02_S">DICCIONARIO!$F$112</definedName>
    <definedName name="Z_RC_03_">DICCIONARIO!$L$113</definedName>
    <definedName name="Z_RC_03_D">DICCIONARIO!$K$113</definedName>
    <definedName name="Z_RC_03_E">DICCIONARIO!$G$113</definedName>
    <definedName name="Z_RC_03_F">DICCIONARIO!$H$113</definedName>
    <definedName name="Z_RC_03_I">DICCIONARIO!$J$113</definedName>
    <definedName name="Z_RC_03_O">DICCIONARIO!$E$113</definedName>
    <definedName name="Z_RC_03_P">DICCIONARIO!$I$113</definedName>
    <definedName name="Z_RC_03_S">DICCIONARIO!$F$113</definedName>
    <definedName name="Z_RC_1_?_">DICCIONARIO!$L$170</definedName>
    <definedName name="Z_RC_1_?_D">DICCIONARIO!$K$170</definedName>
    <definedName name="Z_RC_1_?_E">DICCIONARIO!$G$170</definedName>
    <definedName name="Z_RC_1_?_F">DICCIONARIO!$H$170</definedName>
    <definedName name="Z_RC_1_?_I">DICCIONARIO!$J$170</definedName>
    <definedName name="Z_RC_1_?_O">DICCIONARIO!$E$170</definedName>
    <definedName name="Z_RC_1_?_P">DICCIONARIO!$I$170</definedName>
    <definedName name="Z_RC_1_?_S">DICCIONARIO!$F$170</definedName>
    <definedName name="Z_RC_VF_?_">DICCIONARIO!$L$178</definedName>
    <definedName name="Z_RC_VF_?_D">DICCIONARIO!$K$178</definedName>
    <definedName name="Z_RC_VF_?_E">DICCIONARIO!$G$178</definedName>
    <definedName name="Z_RC_VF_?_F">DICCIONARIO!$H$178</definedName>
    <definedName name="Z_RC_VF_?_I">DICCIONARIO!$J$178</definedName>
    <definedName name="Z_RC_VF_?_O">DICCIONARIO!$E$178</definedName>
    <definedName name="Z_RC_VF_?_P">DICCIONARIO!$I$178</definedName>
    <definedName name="Z_RC_VF_?_S">DICCIONARIO!$F$178</definedName>
    <definedName name="Z_Retroalim_GENERAL_?_">DICCIONARIO!$L$142</definedName>
    <definedName name="Z_Retroalim_GENERAL_?_D">DICCIONARIO!$K$142</definedName>
    <definedName name="Z_Retroalim_GENERAL_?_E">DICCIONARIO!$G$142</definedName>
    <definedName name="Z_Retroalim_GENERAL_?_F">DICCIONARIO!$H$142</definedName>
    <definedName name="Z_Retroalim_GENERAL_?_I">DICCIONARIO!$J$142</definedName>
    <definedName name="Z_Retroalim_GENERAL_?_O">DICCIONARIO!$E$142</definedName>
    <definedName name="Z_Retroalim_GENERAL_?_P">DICCIONARIO!$I$142</definedName>
    <definedName name="Z_Retroalim_GENERAL_?_S">DICCIONARIO!$F$142</definedName>
    <definedName name="Z_RT_EN_?_">DICCIONARIO!$L$182</definedName>
    <definedName name="Z_RT_EN_?_D">DICCIONARIO!$K$182</definedName>
    <definedName name="Z_RT_EN_?_E">DICCIONARIO!$G$182</definedName>
    <definedName name="Z_RT_EN_?_F">DICCIONARIO!$H$182</definedName>
    <definedName name="Z_RT_EN_?_I">DICCIONARIO!$J$182</definedName>
    <definedName name="Z_RT_EN_?_O">DICCIONARIO!$E$182</definedName>
    <definedName name="Z_RT_EN_?_P">DICCIONARIO!$I$182</definedName>
    <definedName name="Z_RT_EN_?_S">DICCIONARIO!$F$182</definedName>
    <definedName name="Z_T17_?_">DICCIONARIO!$L$166</definedName>
    <definedName name="Z_T17_?_D">DICCIONARIO!$K$166</definedName>
    <definedName name="Z_T17_?_E">DICCIONARIO!$G$166</definedName>
    <definedName name="Z_T17_?_F">DICCIONARIO!$H$166</definedName>
    <definedName name="Z_T17_?_I">DICCIONARIO!$J$166</definedName>
    <definedName name="Z_T17_?_O">DICCIONARIO!$E$166</definedName>
    <definedName name="Z_T17_?_P">DICCIONARIO!$I$166</definedName>
    <definedName name="Z_T17_?_S">DICCIONARIO!$F$166</definedName>
    <definedName name="Z_TC_EN_?_">DICCIONARIO!$L$184</definedName>
    <definedName name="Z_TC_EN_?_D">DICCIONARIO!$K$184</definedName>
    <definedName name="Z_TC_EN_?_E">DICCIONARIO!$G$184</definedName>
    <definedName name="Z_TC_EN_?_F">DICCIONARIO!$H$184</definedName>
    <definedName name="Z_TC_EN_?_I">DICCIONARIO!$J$184</definedName>
    <definedName name="Z_TC_EN_?_O">DICCIONARIO!$E$184</definedName>
    <definedName name="Z_TC_EN_?_P">DICCIONARIO!$I$184</definedName>
    <definedName name="Z_TC_EN_?_S">DICCIONARIO!$F$184</definedName>
    <definedName name="Z_Tit_Categ_?_">DICCIONARIO!$L$140</definedName>
    <definedName name="Z_Tit_Categ_?_D">DICCIONARIO!$K$140</definedName>
    <definedName name="Z_Tit_Categ_?_E">DICCIONARIO!$G$140</definedName>
    <definedName name="Z_Tit_Categ_?_F">DICCIONARIO!$H$140</definedName>
    <definedName name="Z_Tit_Categ_?_I">DICCIONARIO!$J$140</definedName>
    <definedName name="Z_Tit_Categ_?_O">DICCIONARIO!$E$140</definedName>
    <definedName name="Z_Tit_Categ_?_P">DICCIONARIO!$I$140</definedName>
    <definedName name="Z_Tit_Categ_?_S">DICCIONARIO!$F$140</definedName>
    <definedName name="Z_Tit_Subcat_?_">DICCIONARIO!$L$141</definedName>
    <definedName name="Z_Tit_Subcat_?_D">DICCIONARIO!$K$141</definedName>
    <definedName name="Z_Tit_Subcat_?_E">DICCIONARIO!$G$141</definedName>
    <definedName name="Z_Tit_Subcat_?_F">DICCIONARIO!$H$141</definedName>
    <definedName name="Z_Tit_Subcat_?_I">DICCIONARIO!$J$141</definedName>
    <definedName name="Z_Tit_Subcat_?_O">DICCIONARIO!$E$141</definedName>
    <definedName name="Z_Tit_Subcat_?_P">DICCIONARIO!$I$141</definedName>
    <definedName name="Z_Tit_Subcat_?_S">DICCIONARIO!$F$141</definedName>
    <definedName name="Z_TX_00_">DICCIONARIO!$L$190</definedName>
    <definedName name="Z_TX_00_0_">DICCIONARIO!$L$189</definedName>
    <definedName name="Z_TX_00_0_D">DICCIONARIO!$K$189</definedName>
    <definedName name="Z_TX_00_0_E">DICCIONARIO!$G$189</definedName>
    <definedName name="Z_TX_00_0_F">DICCIONARIO!$H$189</definedName>
    <definedName name="Z_TX_00_0_I">DICCIONARIO!$J$189</definedName>
    <definedName name="Z_TX_00_0_O">DICCIONARIO!$E$189</definedName>
    <definedName name="Z_TX_00_0_P">DICCIONARIO!$I$189</definedName>
    <definedName name="Z_TX_00_0_S">DICCIONARIO!$F$189</definedName>
    <definedName name="Z_TX_00_D">DICCIONARIO!$K$190</definedName>
    <definedName name="Z_TX_00_E">DICCIONARIO!$G$190</definedName>
    <definedName name="Z_TX_00_F">DICCIONARIO!$H$190</definedName>
    <definedName name="Z_TX_00_I">DICCIONARIO!$J$190</definedName>
    <definedName name="Z_TX_00_O">DICCIONARIO!$E$190</definedName>
    <definedName name="Z_TX_00_P">DICCIONARIO!$I$190</definedName>
    <definedName name="Z_TX_00_S">DICCIONARIO!$F$190</definedName>
    <definedName name="Z_TX_01_">DICCIONARIO!$L$191</definedName>
    <definedName name="Z_TX_01_D">DICCIONARIO!$K$191</definedName>
    <definedName name="Z_TX_01_E">DICCIONARIO!$G$191</definedName>
    <definedName name="Z_TX_01_F">DICCIONARIO!$H$191</definedName>
    <definedName name="Z_TX_01_I">DICCIONARIO!$J$191</definedName>
    <definedName name="Z_TX_01_O">DICCIONARIO!$E$191</definedName>
    <definedName name="Z_TX_01_P">DICCIONARIO!$I$191</definedName>
    <definedName name="Z_TX_01_S">DICCIONARIO!$F$191</definedName>
    <definedName name="Z_TX_02_">DICCIONARIO!$L$192</definedName>
    <definedName name="Z_TX_02_D">DICCIONARIO!$K$192</definedName>
    <definedName name="Z_TX_02_E">DICCIONARIO!$G$192</definedName>
    <definedName name="Z_TX_02_F">DICCIONARIO!$H$192</definedName>
    <definedName name="Z_TX_02_I">DICCIONARIO!$J$192</definedName>
    <definedName name="Z_TX_02_O">DICCIONARIO!$E$192</definedName>
    <definedName name="Z_TX_02_P">DICCIONARIO!$I$192</definedName>
    <definedName name="Z_TX_02_S">DICCIONARIO!$F$192</definedName>
    <definedName name="Z_TX_03_">DICCIONARIO!$L$193</definedName>
    <definedName name="Z_TX_03_2_">DICCIONARIO!$L$194</definedName>
    <definedName name="Z_TX_03_2_D">DICCIONARIO!$K$194</definedName>
    <definedName name="Z_TX_03_2_E">DICCIONARIO!$G$194</definedName>
    <definedName name="Z_TX_03_2_F">DICCIONARIO!$H$194</definedName>
    <definedName name="Z_TX_03_2_I">DICCIONARIO!$J$194</definedName>
    <definedName name="Z_TX_03_2_O">DICCIONARIO!$E$194</definedName>
    <definedName name="Z_TX_03_2_P">DICCIONARIO!$I$194</definedName>
    <definedName name="Z_TX_03_2_S">DICCIONARIO!$F$194</definedName>
    <definedName name="Z_TX_03_3_">DICCIONARIO!$L$195</definedName>
    <definedName name="Z_TX_03_3_D">DICCIONARIO!$K$195</definedName>
    <definedName name="Z_TX_03_3_E">DICCIONARIO!$G$195</definedName>
    <definedName name="Z_TX_03_3_F">DICCIONARIO!$H$195</definedName>
    <definedName name="Z_TX_03_3_I">DICCIONARIO!$J$195</definedName>
    <definedName name="Z_TX_03_3_O">DICCIONARIO!$E$195</definedName>
    <definedName name="Z_TX_03_3_P">DICCIONARIO!$I$195</definedName>
    <definedName name="Z_TX_03_3_S">DICCIONARIO!$F$195</definedName>
    <definedName name="Z_TX_03_D">DICCIONARIO!$K$193</definedName>
    <definedName name="Z_TX_03_E">DICCIONARIO!$G$193</definedName>
    <definedName name="Z_TX_03_F">DICCIONARIO!$H$193</definedName>
    <definedName name="Z_TX_03_I">DICCIONARIO!$J$193</definedName>
    <definedName name="Z_TX_03_O">DICCIONARIO!$E$193</definedName>
    <definedName name="Z_TX_03_P">DICCIONARIO!$I$193</definedName>
    <definedName name="Z_TX_03_S">DICCIONARIO!$F$193</definedName>
    <definedName name="Z_TX_04_1_">DICCIONARIO!$L$196</definedName>
    <definedName name="Z_TX_04_1_D">DICCIONARIO!$K$196</definedName>
    <definedName name="Z_TX_04_1_E">DICCIONARIO!$G$196</definedName>
    <definedName name="Z_TX_04_1_F">DICCIONARIO!$H$196</definedName>
    <definedName name="Z_TX_04_1_I">DICCIONARIO!$J$196</definedName>
    <definedName name="Z_TX_04_1_O">DICCIONARIO!$E$196</definedName>
    <definedName name="Z_TX_04_1_P">DICCIONARIO!$I$196</definedName>
    <definedName name="Z_TX_04_1_S">DICCIONARIO!$F$196</definedName>
    <definedName name="Z_TX_04_2_">DICCIONARIO!$L$197</definedName>
    <definedName name="Z_TX_04_2_D">DICCIONARIO!$K$197</definedName>
    <definedName name="Z_TX_04_2_E">DICCIONARIO!$G$197</definedName>
    <definedName name="Z_TX_04_2_F">DICCIONARIO!$H$197</definedName>
    <definedName name="Z_TX_04_2_I">DICCIONARIO!$J$197</definedName>
    <definedName name="Z_TX_04_2_O">DICCIONARIO!$E$197</definedName>
    <definedName name="Z_TX_04_2_P">DICCIONARIO!$I$197</definedName>
    <definedName name="Z_TX_04_2_S">DICCIONARIO!$F$197</definedName>
    <definedName name="Z_TX_04_3_">DICCIONARIO!$L$198</definedName>
    <definedName name="Z_TX_04_3_D">DICCIONARIO!$K$198</definedName>
    <definedName name="Z_TX_04_3_E">DICCIONARIO!$G$198</definedName>
    <definedName name="Z_TX_04_3_F">DICCIONARIO!$H$198</definedName>
    <definedName name="Z_TX_04_3_I">DICCIONARIO!$J$198</definedName>
    <definedName name="Z_TX_04_3_O">DICCIONARIO!$E$198</definedName>
    <definedName name="Z_TX_04_3_P">DICCIONARIO!$I$198</definedName>
    <definedName name="Z_TX_04_3_S">DICCIONARIO!$F$198</definedName>
    <definedName name="Z_TX_05_1_">DICCIONARIO!$L$199</definedName>
    <definedName name="Z_TX_05_1_D">DICCIONARIO!$K$199</definedName>
    <definedName name="Z_TX_05_1_E">DICCIONARIO!$G$199</definedName>
    <definedName name="Z_TX_05_1_F">DICCIONARIO!$H$199</definedName>
    <definedName name="Z_TX_05_1_I">DICCIONARIO!$J$199</definedName>
    <definedName name="Z_TX_05_1_O">DICCIONARIO!$E$199</definedName>
    <definedName name="Z_TX_05_1_P">DICCIONARIO!$I$199</definedName>
    <definedName name="Z_TX_05_1_S">DICCIONARIO!$F$199</definedName>
    <definedName name="Z_TX_05_2_">DICCIONARIO!$L$200</definedName>
    <definedName name="Z_TX_05_2_D">DICCIONARIO!$K$200</definedName>
    <definedName name="Z_TX_05_2_E">DICCIONARIO!$G$200</definedName>
    <definedName name="Z_TX_05_2_F">DICCIONARIO!$H$200</definedName>
    <definedName name="Z_TX_05_2_I">DICCIONARIO!$J$200</definedName>
    <definedName name="Z_TX_05_2_O">DICCIONARIO!$E$200</definedName>
    <definedName name="Z_TX_05_2_P">DICCIONARIO!$I$200</definedName>
    <definedName name="Z_TX_05_2_S">DICCIONARIO!$F$200</definedName>
    <definedName name="Z_TX_06_">DICCIONARIO!$L$201</definedName>
    <definedName name="Z_TX_06_D">DICCIONARIO!$K$201</definedName>
    <definedName name="Z_TX_06_E">DICCIONARIO!$G$201</definedName>
    <definedName name="Z_TX_06_F">DICCIONARIO!$H$201</definedName>
    <definedName name="Z_TX_06_I">DICCIONARIO!$J$201</definedName>
    <definedName name="Z_TX_06_O">DICCIONARIO!$E$201</definedName>
    <definedName name="Z_TX_06_P">DICCIONARIO!$I$201</definedName>
    <definedName name="Z_TX_06_S">DICCIONARIO!$F$201</definedName>
    <definedName name="Z_TX_07_">DICCIONARIO!$L$202</definedName>
    <definedName name="Z_TX_07_D">DICCIONARIO!$K$202</definedName>
    <definedName name="Z_TX_07_E">DICCIONARIO!$G$202</definedName>
    <definedName name="Z_TX_07_F">DICCIONARIO!$H$202</definedName>
    <definedName name="Z_TX_07_I">DICCIONARIO!$J$202</definedName>
    <definedName name="Z_TX_07_O">DICCIONARIO!$E$202</definedName>
    <definedName name="Z_TX_07_P">DICCIONARIO!$I$202</definedName>
    <definedName name="Z_TX_07_S">DICCIONARIO!$F$202</definedName>
    <definedName name="Z_TX_08_1_">DICCIONARIO!$L$203</definedName>
    <definedName name="Z_TX_08_1_D">DICCIONARIO!$K$203</definedName>
    <definedName name="Z_TX_08_1_E">DICCIONARIO!$G$203</definedName>
    <definedName name="Z_TX_08_1_F">DICCIONARIO!$H$203</definedName>
    <definedName name="Z_TX_08_1_I">DICCIONARIO!$J$203</definedName>
    <definedName name="Z_TX_08_1_O">DICCIONARIO!$E$203</definedName>
    <definedName name="Z_TX_08_1_P">DICCIONARIO!$I$203</definedName>
    <definedName name="Z_TX_08_1_S">DICCIONARIO!$F$203</definedName>
    <definedName name="Z_TX_08_2_">DICCIONARIO!$L$204</definedName>
    <definedName name="Z_TX_08_2_D">DICCIONARIO!$K$204</definedName>
    <definedName name="Z_TX_08_2_E">DICCIONARIO!$G$204</definedName>
    <definedName name="Z_TX_08_2_F">DICCIONARIO!$H$204</definedName>
    <definedName name="Z_TX_08_2_I">DICCIONARIO!$J$204</definedName>
    <definedName name="Z_TX_08_2_O">DICCIONARIO!$E$204</definedName>
    <definedName name="Z_TX_08_2_P">DICCIONARIO!$I$204</definedName>
    <definedName name="Z_TX_08_2_S">DICCIONARIO!$F$204</definedName>
    <definedName name="Z_TX_09_">DICCIONARIO!$L$205</definedName>
    <definedName name="Z_TX_09_D">DICCIONARIO!$K$205</definedName>
    <definedName name="Z_TX_09_E">DICCIONARIO!$G$205</definedName>
    <definedName name="Z_TX_09_F">DICCIONARIO!$H$205</definedName>
    <definedName name="Z_TX_09_I">DICCIONARIO!$J$205</definedName>
    <definedName name="Z_TX_09_O">DICCIONARIO!$E$205</definedName>
    <definedName name="Z_TX_09_P">DICCIONARIO!$I$205</definedName>
    <definedName name="Z_TX_09_S">DICCIONARIO!$F$205</definedName>
    <definedName name="Z_TX_10_">DICCIONARIO!$L$206</definedName>
    <definedName name="Z_TX_10_D">DICCIONARIO!$K$206</definedName>
    <definedName name="Z_TX_10_E">DICCIONARIO!$G$206</definedName>
    <definedName name="Z_TX_10_F">DICCIONARIO!$H$206</definedName>
    <definedName name="Z_TX_10_I">DICCIONARIO!$J$206</definedName>
    <definedName name="Z_TX_10_O">DICCIONARIO!$E$206</definedName>
    <definedName name="Z_TX_10_P">DICCIONARIO!$I$206</definedName>
    <definedName name="Z_TX_10_S">DICCIONARIO!$F$206</definedName>
    <definedName name="Z_TX_11_">DICCIONARIO!$L$207</definedName>
    <definedName name="Z_TX_11_D">DICCIONARIO!$K$207</definedName>
    <definedName name="Z_TX_11_E">DICCIONARIO!$G$207</definedName>
    <definedName name="Z_TX_11_F">DICCIONARIO!$H$207</definedName>
    <definedName name="Z_TX_11_I">DICCIONARIO!$J$207</definedName>
    <definedName name="Z_TX_11_O">DICCIONARIO!$E$207</definedName>
    <definedName name="Z_TX_11_P">DICCIONARIO!$I$207</definedName>
    <definedName name="Z_TX_11_S">DICCIONARIO!$F$207</definedName>
    <definedName name="Z_TX_12_">DICCIONARIO!$L$208</definedName>
    <definedName name="Z_TX_12_D">DICCIONARIO!$K$208</definedName>
    <definedName name="Z_TX_12_E">DICCIONARIO!$G$208</definedName>
    <definedName name="Z_TX_12_F">DICCIONARIO!$H$208</definedName>
    <definedName name="Z_TX_12_I">DICCIONARIO!$J$208</definedName>
    <definedName name="Z_TX_12_O">DICCIONARIO!$E$208</definedName>
    <definedName name="Z_TX_12_P">DICCIONARIO!$I$208</definedName>
    <definedName name="Z_TX_12_S">DICCIONARIO!$F$208</definedName>
    <definedName name="Z_TX_13_">DICCIONARIO!$L$209</definedName>
    <definedName name="Z_TX_13_D">DICCIONARIO!$K$209</definedName>
    <definedName name="Z_TX_13_E">DICCIONARIO!$G$209</definedName>
    <definedName name="Z_TX_13_F">DICCIONARIO!$H$209</definedName>
    <definedName name="Z_TX_13_I">DICCIONARIO!$J$209</definedName>
    <definedName name="Z_TX_13_O">DICCIONARIO!$E$209</definedName>
    <definedName name="Z_TX_13_P">DICCIONARIO!$I$209</definedName>
    <definedName name="Z_TX_13_S">DICCIONARIO!$F$209</definedName>
    <definedName name="Z_TX_14_">DICCIONARIO!$L$210</definedName>
    <definedName name="Z_TX_14_D">DICCIONARIO!$K$210</definedName>
    <definedName name="Z_TX_14_E">DICCIONARIO!$G$210</definedName>
    <definedName name="Z_TX_14_F">DICCIONARIO!$H$210</definedName>
    <definedName name="Z_TX_14_I">DICCIONARIO!$J$210</definedName>
    <definedName name="Z_TX_14_O">DICCIONARIO!$E$210</definedName>
    <definedName name="Z_TX_14_P">DICCIONARIO!$I$210</definedName>
    <definedName name="Z_TX_14_S">DICCIONARIO!$F$210</definedName>
    <definedName name="Z_TX_15_">DICCIONARIO!$L$211</definedName>
    <definedName name="Z_TX_15_D">DICCIONARIO!$K$211</definedName>
    <definedName name="Z_TX_15_E">DICCIONARIO!$G$211</definedName>
    <definedName name="Z_TX_15_F">DICCIONARIO!$H$211</definedName>
    <definedName name="Z_TX_15_I">DICCIONARIO!$J$211</definedName>
    <definedName name="Z_TX_15_O">DICCIONARIO!$E$211</definedName>
    <definedName name="Z_TX_15_P">DICCIONARIO!$I$211</definedName>
    <definedName name="Z_TX_15_S">DICCIONARIO!$F$211</definedName>
    <definedName name="Z_TX_16_">DICCIONARIO!$L$212</definedName>
    <definedName name="Z_TX_16_D">DICCIONARIO!$K$212</definedName>
    <definedName name="Z_TX_16_E">DICCIONARIO!$G$212</definedName>
    <definedName name="Z_TX_16_F">DICCIONARIO!$H$212</definedName>
    <definedName name="Z_TX_16_I">DICCIONARIO!$J$212</definedName>
    <definedName name="Z_TX_16_O">DICCIONARIO!$E$212</definedName>
    <definedName name="Z_TX_16_P">DICCIONARIO!$I$212</definedName>
    <definedName name="Z_TX_16_S">DICCIONARIO!$F$212</definedName>
    <definedName name="Z_TX_17_">DICCIONARIO!$L$213</definedName>
    <definedName name="Z_TX_17_D">DICCIONARIO!$K$213</definedName>
    <definedName name="Z_TX_17_E">DICCIONARIO!$G$213</definedName>
    <definedName name="Z_TX_17_F">DICCIONARIO!$H$213</definedName>
    <definedName name="Z_TX_17_I">DICCIONARIO!$J$213</definedName>
    <definedName name="Z_TX_17_O">DICCIONARIO!$E$213</definedName>
    <definedName name="Z_TX_17_P">DICCIONARIO!$I$213</definedName>
    <definedName name="Z_TX_17_S">DICCIONARIO!$F$213</definedName>
    <definedName name="Z_TX_18_">DICCIONARIO!$L$214</definedName>
    <definedName name="Z_TX_18_D">DICCIONARIO!$K$214</definedName>
    <definedName name="Z_TX_18_E">DICCIONARIO!$G$214</definedName>
    <definedName name="Z_TX_18_F">DICCIONARIO!$H$214</definedName>
    <definedName name="Z_TX_18_I">DICCIONARIO!$J$214</definedName>
    <definedName name="Z_TX_18_O">DICCIONARIO!$E$214</definedName>
    <definedName name="Z_TX_18_P">DICCIONARIO!$I$214</definedName>
    <definedName name="Z_TX_18_S">DICCIONARIO!$F$214</definedName>
    <definedName name="Z_TX_19_">DICCIONARIO!$L$215</definedName>
    <definedName name="Z_TX_19_D">DICCIONARIO!$K$215</definedName>
    <definedName name="Z_TX_19_E">DICCIONARIO!$G$215</definedName>
    <definedName name="Z_TX_19_F">DICCIONARIO!$H$215</definedName>
    <definedName name="Z_TX_19_I">DICCIONARIO!$J$215</definedName>
    <definedName name="Z_TX_19_O">DICCIONARIO!$E$215</definedName>
    <definedName name="Z_TX_19_P">DICCIONARIO!$I$215</definedName>
    <definedName name="Z_TX_19_S">DICCIONARIO!$F$215</definedName>
    <definedName name="Z_TX_20_">DICCIONARIO!$L$216</definedName>
    <definedName name="Z_TX_20_D">DICCIONARIO!$K$216</definedName>
    <definedName name="Z_TX_20_E">DICCIONARIO!$G$216</definedName>
    <definedName name="Z_TX_20_F">DICCIONARIO!$H$216</definedName>
    <definedName name="Z_TX_20_I">DICCIONARIO!$J$216</definedName>
    <definedName name="Z_TX_20_O">DICCIONARIO!$E$216</definedName>
    <definedName name="Z_TX_20_P">DICCIONARIO!$I$216</definedName>
    <definedName name="Z_TX_20_S">DICCIONARIO!$F$216</definedName>
    <definedName name="Z_TX_21_">DICCIONARIO!$L$217</definedName>
    <definedName name="Z_TX_21_D">DICCIONARIO!$K$217</definedName>
    <definedName name="Z_TX_21_E">DICCIONARIO!$G$217</definedName>
    <definedName name="Z_TX_21_F">DICCIONARIO!$H$217</definedName>
    <definedName name="Z_TX_21_I">DICCIONARIO!$J$217</definedName>
    <definedName name="Z_TX_21_O">DICCIONARIO!$E$217</definedName>
    <definedName name="Z_TX_21_P">DICCIONARIO!$I$217</definedName>
    <definedName name="Z_TX_21_S">DICCIONARIO!$F$217</definedName>
    <definedName name="Z_TX_22_">DICCIONARIO!$L$218</definedName>
    <definedName name="Z_TX_22_D">DICCIONARIO!$K$218</definedName>
    <definedName name="Z_TX_22_E">DICCIONARIO!$G$218</definedName>
    <definedName name="Z_TX_22_F">DICCIONARIO!$H$218</definedName>
    <definedName name="Z_TX_22_I">DICCIONARIO!$J$218</definedName>
    <definedName name="Z_TX_22_O">DICCIONARIO!$E$218</definedName>
    <definedName name="Z_TX_22_P">DICCIONARIO!$I$218</definedName>
    <definedName name="Z_TX_22_S">DICCIONARIO!$F$218</definedName>
    <definedName name="Z_TX_23_1_">DICCIONARIO!$L$219</definedName>
    <definedName name="Z_TX_23_1_D">DICCIONARIO!$K$219</definedName>
    <definedName name="Z_TX_23_1_E">DICCIONARIO!$G$219</definedName>
    <definedName name="Z_TX_23_1_F">DICCIONARIO!$H$219</definedName>
    <definedName name="Z_TX_23_1_I">DICCIONARIO!$J$219</definedName>
    <definedName name="Z_TX_23_1_O">DICCIONARIO!$E$219</definedName>
    <definedName name="Z_TX_23_1_P">DICCIONARIO!$I$219</definedName>
    <definedName name="Z_TX_23_1_S">DICCIONARIO!$F$219</definedName>
    <definedName name="Z_TX_23_2_">DICCIONARIO!$L$220</definedName>
    <definedName name="Z_TX_23_2_D">DICCIONARIO!$K$220</definedName>
    <definedName name="Z_TX_23_2_E">DICCIONARIO!$G$220</definedName>
    <definedName name="Z_TX_23_2_F">DICCIONARIO!$H$220</definedName>
    <definedName name="Z_TX_23_2_I">DICCIONARIO!$J$220</definedName>
    <definedName name="Z_TX_23_2_O">DICCIONARIO!$E$220</definedName>
    <definedName name="Z_TX_23_2_P">DICCIONARIO!$I$220</definedName>
    <definedName name="Z_TX_23_2_S">DICCIONARIO!$F$220</definedName>
    <definedName name="Z_TX_24_">DICCIONARIO!$L$221</definedName>
    <definedName name="Z_TX_24_D">DICCIONARIO!$K$221</definedName>
    <definedName name="Z_TX_24_E">DICCIONARIO!$G$221</definedName>
    <definedName name="Z_TX_24_F">DICCIONARIO!$H$221</definedName>
    <definedName name="Z_TX_24_I">DICCIONARIO!$J$221</definedName>
    <definedName name="Z_TX_24_O">DICCIONARIO!$E$221</definedName>
    <definedName name="Z_TX_24_P">DICCIONARIO!$I$221</definedName>
    <definedName name="Z_TX_24_S">DICCIONARIO!$F$221</definedName>
    <definedName name="Z_TX_25_">DICCIONARIO!$L$222</definedName>
    <definedName name="Z_TX_25_D">DICCIONARIO!$K$222</definedName>
    <definedName name="Z_TX_25_E">DICCIONARIO!$G$222</definedName>
    <definedName name="Z_TX_25_F">DICCIONARIO!$H$222</definedName>
    <definedName name="Z_TX_25_I">DICCIONARIO!$J$222</definedName>
    <definedName name="Z_TX_25_O">DICCIONARIO!$E$222</definedName>
    <definedName name="Z_TX_25_P">DICCIONARIO!$I$222</definedName>
    <definedName name="Z_TX_25_S">DICCIONARIO!$F$222</definedName>
    <definedName name="Z_TX_26_">DICCIONARIO!$L$223</definedName>
    <definedName name="Z_TX_26_D">DICCIONARIO!$K$223</definedName>
    <definedName name="Z_TX_26_E">DICCIONARIO!$G$223</definedName>
    <definedName name="Z_TX_26_F">DICCIONARIO!$H$223</definedName>
    <definedName name="Z_TX_26_I">DICCIONARIO!$J$223</definedName>
    <definedName name="Z_TX_26_O">DICCIONARIO!$E$223</definedName>
    <definedName name="Z_TX_26_P">DICCIONARIO!$I$223</definedName>
    <definedName name="Z_TX_26_S">DICCIONARIO!$F$223</definedName>
    <definedName name="Z_TX_27_1_">DICCIONARIO!$L$224</definedName>
    <definedName name="Z_TX_27_1_D">DICCIONARIO!$K$224</definedName>
    <definedName name="Z_TX_27_1_E">DICCIONARIO!$G$224</definedName>
    <definedName name="Z_TX_27_1_F">DICCIONARIO!$H$224</definedName>
    <definedName name="Z_TX_27_1_I">DICCIONARIO!$J$224</definedName>
    <definedName name="Z_TX_27_1_O">DICCIONARIO!$E$224</definedName>
    <definedName name="Z_TX_27_1_P">DICCIONARIO!$I$224</definedName>
    <definedName name="Z_TX_27_1_S">DICCIONARIO!$F$224</definedName>
    <definedName name="Z_TX_27_2_">DICCIONARIO!$L$225</definedName>
    <definedName name="Z_TX_27_2_D">DICCIONARIO!$K$225</definedName>
    <definedName name="Z_TX_27_2_E">DICCIONARIO!$G$225</definedName>
    <definedName name="Z_TX_27_2_F">DICCIONARIO!$H$225</definedName>
    <definedName name="Z_TX_27_2_I">DICCIONARIO!$J$225</definedName>
    <definedName name="Z_TX_27_2_O">DICCIONARIO!$E$225</definedName>
    <definedName name="Z_TX_27_2_P">DICCIONARIO!$I$225</definedName>
    <definedName name="Z_TX_27_2_S">DICCIONARIO!$F$225</definedName>
    <definedName name="Z_TX_28_1_">DICCIONARIO!$L$226</definedName>
    <definedName name="Z_TX_28_1_D">DICCIONARIO!$K$226</definedName>
    <definedName name="Z_TX_28_1_E">DICCIONARIO!$G$226</definedName>
    <definedName name="Z_TX_28_1_F">DICCIONARIO!$H$226</definedName>
    <definedName name="Z_TX_28_1_I">DICCIONARIO!$J$226</definedName>
    <definedName name="Z_TX_28_1_O">DICCIONARIO!$E$226</definedName>
    <definedName name="Z_TX_28_1_P">DICCIONARIO!$I$226</definedName>
    <definedName name="Z_TX_28_1_S">DICCIONARIO!$F$226</definedName>
    <definedName name="Z_TX_28_2_">DICCIONARIO!$L$227</definedName>
    <definedName name="Z_TX_28_2_D">DICCIONARIO!$K$227</definedName>
    <definedName name="Z_TX_28_2_E">DICCIONARIO!$G$227</definedName>
    <definedName name="Z_TX_28_2_F">DICCIONARIO!$H$227</definedName>
    <definedName name="Z_TX_28_2_I">DICCIONARIO!$J$227</definedName>
    <definedName name="Z_TX_28_2_O">DICCIONARIO!$E$227</definedName>
    <definedName name="Z_TX_28_2_P">DICCIONARIO!$I$227</definedName>
    <definedName name="Z_TX_28_2_S">DICCIONARIO!$F$227</definedName>
    <definedName name="Z_TX_28_3_">DICCIONARIO!$L$228</definedName>
    <definedName name="Z_TX_28_3_D">DICCIONARIO!$K$228</definedName>
    <definedName name="Z_TX_28_3_E">DICCIONARIO!$G$228</definedName>
    <definedName name="Z_TX_28_3_F">DICCIONARIO!$H$228</definedName>
    <definedName name="Z_TX_28_3_I">DICCIONARIO!$J$228</definedName>
    <definedName name="Z_TX_28_3_O">DICCIONARIO!$E$228</definedName>
    <definedName name="Z_TX_28_3_P">DICCIONARIO!$I$228</definedName>
    <definedName name="Z_TX_28_3_S">DICCIONARIO!$F$228</definedName>
    <definedName name="Z_TX_29_">DICCIONARIO!$L$229</definedName>
    <definedName name="Z_TX_29_D">DICCIONARIO!$K$229</definedName>
    <definedName name="Z_TX_29_E">DICCIONARIO!$G$229</definedName>
    <definedName name="Z_TX_29_F">DICCIONARIO!$H$229</definedName>
    <definedName name="Z_TX_29_I">DICCIONARIO!$J$229</definedName>
    <definedName name="Z_TX_29_O">DICCIONARIO!$E$229</definedName>
    <definedName name="Z_TX_29_P">DICCIONARIO!$I$229</definedName>
    <definedName name="Z_TX_29_S">DICCIONARIO!$F$229</definedName>
    <definedName name="Z_TX_30_">DICCIONARIO!$L$230</definedName>
    <definedName name="Z_TX_30_D">DICCIONARIO!$K$230</definedName>
    <definedName name="Z_TX_30_E">DICCIONARIO!$G$230</definedName>
    <definedName name="Z_TX_30_F">DICCIONARIO!$H$230</definedName>
    <definedName name="Z_TX_30_I">DICCIONARIO!$J$230</definedName>
    <definedName name="Z_TX_30_O">DICCIONARIO!$E$230</definedName>
    <definedName name="Z_TX_30_P">DICCIONARIO!$I$230</definedName>
    <definedName name="Z_TX_30_S">DICCIONARIO!$F$230</definedName>
    <definedName name="Z_TX_31_">DICCIONARIO!$L$231</definedName>
    <definedName name="Z_TX_31_D">DICCIONARIO!$K$231</definedName>
    <definedName name="Z_TX_31_E">DICCIONARIO!$G$231</definedName>
    <definedName name="Z_TX_31_F">DICCIONARIO!$H$231</definedName>
    <definedName name="Z_TX_31_I">DICCIONARIO!$J$231</definedName>
    <definedName name="Z_TX_31_O">DICCIONARIO!$E$231</definedName>
    <definedName name="Z_TX_31_P">DICCIONARIO!$I$231</definedName>
    <definedName name="Z_TX_31_S">DICCIONARIO!$F$231</definedName>
    <definedName name="Z_TX_32_">DICCIONARIO!$L$232</definedName>
    <definedName name="Z_TX_32_D">DICCIONARIO!$K$232</definedName>
    <definedName name="Z_TX_32_E">DICCIONARIO!$G$232</definedName>
    <definedName name="Z_TX_32_F">DICCIONARIO!$H$232</definedName>
    <definedName name="Z_TX_32_I">DICCIONARIO!$J$232</definedName>
    <definedName name="Z_TX_32_O">DICCIONARIO!$E$232</definedName>
    <definedName name="Z_TX_32_P">DICCIONARIO!$I$232</definedName>
    <definedName name="Z_TX_32_S">DICCIONARIO!$F$232</definedName>
    <definedName name="Z_TX_33_">DICCIONARIO!$L$233</definedName>
    <definedName name="Z_TX_33_D">DICCIONARIO!$K$233</definedName>
    <definedName name="Z_TX_33_E">DICCIONARIO!$G$233</definedName>
    <definedName name="Z_TX_33_F">DICCIONARIO!$H$233</definedName>
    <definedName name="Z_TX_33_I">DICCIONARIO!$J$233</definedName>
    <definedName name="Z_TX_33_O">DICCIONARIO!$E$233</definedName>
    <definedName name="Z_TX_33_P">DICCIONARIO!$I$233</definedName>
    <definedName name="Z_TX_33_S">DICCIONARIO!$F$233</definedName>
    <definedName name="Z_TX_34_">DICCIONARIO!$L$234</definedName>
    <definedName name="Z_TX_34_D">DICCIONARIO!$K$234</definedName>
    <definedName name="Z_TX_34_E">DICCIONARIO!$G$234</definedName>
    <definedName name="Z_TX_34_F">DICCIONARIO!$H$234</definedName>
    <definedName name="Z_TX_34_I">DICCIONARIO!$J$234</definedName>
    <definedName name="Z_TX_34_O">DICCIONARIO!$E$234</definedName>
    <definedName name="Z_TX_34_P">DICCIONARIO!$I$234</definedName>
    <definedName name="Z_TX_34_S">DICCIONARIO!$F$234</definedName>
    <definedName name="Z_TX_35_">DICCIONARIO!$L$235</definedName>
    <definedName name="Z_TX_35_1_">DICCIONARIO!$L$236</definedName>
    <definedName name="Z_TX_35_1_D">DICCIONARIO!$K$236</definedName>
    <definedName name="Z_TX_35_1_E">DICCIONARIO!$G$236</definedName>
    <definedName name="Z_TX_35_1_F">DICCIONARIO!$H$236</definedName>
    <definedName name="Z_TX_35_1_I">DICCIONARIO!$J$236</definedName>
    <definedName name="Z_TX_35_1_O">DICCIONARIO!$E$236</definedName>
    <definedName name="Z_TX_35_1_P">DICCIONARIO!$I$236</definedName>
    <definedName name="Z_TX_35_1_S">DICCIONARIO!$F$236</definedName>
    <definedName name="Z_TX_35_2_">DICCIONARIO!$L$237</definedName>
    <definedName name="Z_TX_35_2_D">DICCIONARIO!$K$237</definedName>
    <definedName name="Z_TX_35_2_E">DICCIONARIO!$G$237</definedName>
    <definedName name="Z_TX_35_2_F">DICCIONARIO!$H$237</definedName>
    <definedName name="Z_TX_35_2_I">DICCIONARIO!$J$237</definedName>
    <definedName name="Z_TX_35_2_O">DICCIONARIO!$E$237</definedName>
    <definedName name="Z_TX_35_2_P">DICCIONARIO!$I$237</definedName>
    <definedName name="Z_TX_35_2_S">DICCIONARIO!$F$237</definedName>
    <definedName name="Z_TX_35_D">DICCIONARIO!$K$235</definedName>
    <definedName name="Z_TX_35_E">DICCIONARIO!$G$235</definedName>
    <definedName name="Z_TX_35_F">DICCIONARIO!$H$235</definedName>
    <definedName name="Z_TX_35_I">DICCIONARIO!$J$235</definedName>
    <definedName name="Z_TX_35_O">DICCIONARIO!$E$235</definedName>
    <definedName name="Z_TX_35_P">DICCIONARIO!$I$235</definedName>
    <definedName name="Z_TX_35_S">DICCIONARIO!$F$235</definedName>
    <definedName name="Z_TX_36_">DICCIONARIO!$L$238</definedName>
    <definedName name="Z_TX_36_D">DICCIONARIO!$K$238</definedName>
    <definedName name="Z_TX_36_E">DICCIONARIO!$G$238</definedName>
    <definedName name="Z_TX_36_F">DICCIONARIO!$H$238</definedName>
    <definedName name="Z_TX_36_I">DICCIONARIO!$J$238</definedName>
    <definedName name="Z_TX_36_O">DICCIONARIO!$E$238</definedName>
    <definedName name="Z_TX_36_P">DICCIONARIO!$I$238</definedName>
    <definedName name="Z_TX_36_S">DICCIONARIO!$F$238</definedName>
    <definedName name="Z_TX_37_">DICCIONARIO!$L$239</definedName>
    <definedName name="Z_TX_37_D">DICCIONARIO!$K$239</definedName>
    <definedName name="Z_TX_37_E">DICCIONARIO!$G$239</definedName>
    <definedName name="Z_TX_37_F">DICCIONARIO!$H$239</definedName>
    <definedName name="Z_TX_37_I">DICCIONARIO!$J$239</definedName>
    <definedName name="Z_TX_37_O">DICCIONARIO!$E$239</definedName>
    <definedName name="Z_TX_37_P">DICCIONARIO!$I$239</definedName>
    <definedName name="Z_TX_37_S">DICCIONARIO!$F$239</definedName>
    <definedName name="Z_TX_38_">DICCIONARIO!$L$240</definedName>
    <definedName name="Z_TX_38_D">DICCIONARIO!$K$240</definedName>
    <definedName name="Z_TX_38_E">DICCIONARIO!$G$240</definedName>
    <definedName name="Z_TX_38_F">DICCIONARIO!$H$240</definedName>
    <definedName name="Z_TX_38_I">DICCIONARIO!$J$240</definedName>
    <definedName name="Z_TX_38_O">DICCIONARIO!$E$240</definedName>
    <definedName name="Z_TX_38_P">DICCIONARIO!$I$240</definedName>
    <definedName name="Z_TX_38_S">DICCIONARIO!$F$240</definedName>
    <definedName name="Z_TX_39_">DICCIONARIO!$L$241</definedName>
    <definedName name="Z_TX_39_D">DICCIONARIO!$K$241</definedName>
    <definedName name="Z_TX_39_E">DICCIONARIO!$G$241</definedName>
    <definedName name="Z_TX_39_F">DICCIONARIO!$H$241</definedName>
    <definedName name="Z_TX_39_I">DICCIONARIO!$J$241</definedName>
    <definedName name="Z_TX_39_O">DICCIONARIO!$E$241</definedName>
    <definedName name="Z_TX_39_P">DICCIONARIO!$I$241</definedName>
    <definedName name="Z_TX_39_S">DICCIONARIO!$F$241</definedName>
    <definedName name="Z_TX_40_">DICCIONARIO!$L$242</definedName>
    <definedName name="Z_TX_40_D">DICCIONARIO!$K$242</definedName>
    <definedName name="Z_TX_40_E">DICCIONARIO!$G$242</definedName>
    <definedName name="Z_TX_40_F">DICCIONARIO!$H$242</definedName>
    <definedName name="Z_TX_40_I">DICCIONARIO!$J$242</definedName>
    <definedName name="Z_TX_40_O">DICCIONARIO!$E$242</definedName>
    <definedName name="Z_TX_40_P">DICCIONARIO!$I$242</definedName>
    <definedName name="Z_TX_40_S">DICCIONARIO!$F$242</definedName>
    <definedName name="Z_TX_41_1_">DICCIONARIO!$L$243</definedName>
    <definedName name="Z_TX_41_1_D">DICCIONARIO!$K$243</definedName>
    <definedName name="Z_TX_41_1_E">DICCIONARIO!$G$243</definedName>
    <definedName name="Z_TX_41_1_F">DICCIONARIO!$H$243</definedName>
    <definedName name="Z_TX_41_1_I">DICCIONARIO!$J$243</definedName>
    <definedName name="Z_TX_41_1_O">DICCIONARIO!$E$243</definedName>
    <definedName name="Z_TX_41_1_P">DICCIONARIO!$I$243</definedName>
    <definedName name="Z_TX_41_1_S">DICCIONARIO!$F$243</definedName>
    <definedName name="Z_TX_41_2_">DICCIONARIO!$L$244</definedName>
    <definedName name="Z_TX_41_2_D">DICCIONARIO!$K$244</definedName>
    <definedName name="Z_TX_41_2_E">DICCIONARIO!$G$244</definedName>
    <definedName name="Z_TX_41_2_F">DICCIONARIO!$H$244</definedName>
    <definedName name="Z_TX_41_2_I">DICCIONARIO!$J$244</definedName>
    <definedName name="Z_TX_41_2_O">DICCIONARIO!$E$244</definedName>
    <definedName name="Z_TX_41_2_P">DICCIONARIO!$I$244</definedName>
    <definedName name="Z_TX_41_2_S">DICCIONARIO!$F$244</definedName>
    <definedName name="Z_TX_41_3_">DICCIONARIO!$L$245</definedName>
    <definedName name="Z_TX_41_3_D">DICCIONARIO!$K$245</definedName>
    <definedName name="Z_TX_41_3_E">DICCIONARIO!$G$245</definedName>
    <definedName name="Z_TX_41_3_F">DICCIONARIO!$H$245</definedName>
    <definedName name="Z_TX_41_3_I">DICCIONARIO!$J$245</definedName>
    <definedName name="Z_TX_41_3_O">DICCIONARIO!$E$245</definedName>
    <definedName name="Z_TX_41_3_P">DICCIONARIO!$I$245</definedName>
    <definedName name="Z_TX_41_3_S">DICCIONARIO!$F$245</definedName>
    <definedName name="Z_TX_41_5_">DICCIONARIO!$L$246</definedName>
    <definedName name="Z_TX_41_5_D">DICCIONARIO!$K$246</definedName>
    <definedName name="Z_TX_41_5_E">DICCIONARIO!$G$246</definedName>
    <definedName name="Z_TX_41_5_F">DICCIONARIO!$H$246</definedName>
    <definedName name="Z_TX_41_5_I">DICCIONARIO!$J$246</definedName>
    <definedName name="Z_TX_41_5_O">DICCIONARIO!$E$246</definedName>
    <definedName name="Z_TX_41_5_P">DICCIONARIO!$I$246</definedName>
    <definedName name="Z_TX_41_5_S">DICCIONARIO!$F$246</definedName>
    <definedName name="Z_TX_41_6_">DICCIONARIO!$L$247</definedName>
    <definedName name="Z_TX_41_6_D">DICCIONARIO!$K$247</definedName>
    <definedName name="Z_TX_41_6_E">DICCIONARIO!$G$247</definedName>
    <definedName name="Z_TX_41_6_F">DICCIONARIO!$H$247</definedName>
    <definedName name="Z_TX_41_6_I">DICCIONARIO!$J$247</definedName>
    <definedName name="Z_TX_41_6_O">DICCIONARIO!$E$247</definedName>
    <definedName name="Z_TX_41_6_P">DICCIONARIO!$I$247</definedName>
    <definedName name="Z_TX_41_6_S">DICCIONARIO!$F$247</definedName>
    <definedName name="Z_TX_41_7_">DICCIONARIO!$L$248</definedName>
    <definedName name="Z_TX_41_7_D">DICCIONARIO!$K$248</definedName>
    <definedName name="Z_TX_41_7_E">DICCIONARIO!$G$248</definedName>
    <definedName name="Z_TX_41_7_F">DICCIONARIO!$H$248</definedName>
    <definedName name="Z_TX_41_7_I">DICCIONARIO!$J$248</definedName>
    <definedName name="Z_TX_41_7_O">DICCIONARIO!$E$248</definedName>
    <definedName name="Z_TX_41_7_P">DICCIONARIO!$I$248</definedName>
    <definedName name="Z_TX_41_7_S">DICCIONARIO!$F$248</definedName>
    <definedName name="Z_TX_41_8_">DICCIONARIO!$L$249</definedName>
    <definedName name="Z_TX_41_8_D">DICCIONARIO!$K$249</definedName>
    <definedName name="Z_TX_41_8_E">DICCIONARIO!$G$249</definedName>
    <definedName name="Z_TX_41_8_F">DICCIONARIO!$H$249</definedName>
    <definedName name="Z_TX_41_8_I">DICCIONARIO!$J$249</definedName>
    <definedName name="Z_TX_41_8_O">DICCIONARIO!$E$249</definedName>
    <definedName name="Z_TX_41_8_P">DICCIONARIO!$I$249</definedName>
    <definedName name="Z_TX_41_8_S">DICCIONARIO!$F$249</definedName>
    <definedName name="Z_TX_41_9_">DICCIONARIO!$L$250</definedName>
    <definedName name="Z_TX_41_9_D">DICCIONARIO!$K$250</definedName>
    <definedName name="Z_TX_41_9_E">DICCIONARIO!$G$250</definedName>
    <definedName name="Z_TX_41_9_F">DICCIONARIO!$H$250</definedName>
    <definedName name="Z_TX_41_9_I">DICCIONARIO!$J$250</definedName>
    <definedName name="Z_TX_41_9_O">DICCIONARIO!$E$250</definedName>
    <definedName name="Z_TX_41_9_P">DICCIONARIO!$I$250</definedName>
    <definedName name="Z_TX_41_9_S">DICCIONARIO!$F$250</definedName>
    <definedName name="Z_TX_42_1_">DICCIONARIO!$L$251</definedName>
    <definedName name="Z_TX_42_1_D">DICCIONARIO!$K$251</definedName>
    <definedName name="Z_TX_42_1_E">DICCIONARIO!$G$251</definedName>
    <definedName name="Z_TX_42_1_F">DICCIONARIO!$H$251</definedName>
    <definedName name="Z_TX_42_1_I">DICCIONARIO!$J$251</definedName>
    <definedName name="Z_TX_42_1_O">DICCIONARIO!$E$251</definedName>
    <definedName name="Z_TX_42_1_P">DICCIONARIO!$I$251</definedName>
    <definedName name="Z_TX_42_1_S">DICCIONARIO!$F$251</definedName>
    <definedName name="Z_TX_42_2_">DICCIONARIO!$L$252</definedName>
    <definedName name="Z_TX_42_2_D">DICCIONARIO!$K$252</definedName>
    <definedName name="Z_TX_42_2_E">DICCIONARIO!$G$252</definedName>
    <definedName name="Z_TX_42_2_F">DICCIONARIO!$H$252</definedName>
    <definedName name="Z_TX_42_2_I">DICCIONARIO!$J$252</definedName>
    <definedName name="Z_TX_42_2_O">DICCIONARIO!$E$252</definedName>
    <definedName name="Z_TX_42_2_P">DICCIONARIO!$I$252</definedName>
    <definedName name="Z_TX_42_2_S">DICCIONARIO!$F$252</definedName>
    <definedName name="Z_TX_43_">DICCIONARIO!$L$253</definedName>
    <definedName name="Z_TX_43_D">DICCIONARIO!$K$253</definedName>
    <definedName name="Z_TX_43_E">DICCIONARIO!$G$253</definedName>
    <definedName name="Z_TX_43_F">DICCIONARIO!$H$253</definedName>
    <definedName name="Z_TX_43_I">DICCIONARIO!$J$253</definedName>
    <definedName name="Z_TX_43_O">DICCIONARIO!$E$253</definedName>
    <definedName name="Z_TX_43_P">DICCIONARIO!$I$253</definedName>
    <definedName name="Z_TX_43_S">DICCIONARIO!$F$253</definedName>
    <definedName name="Z_TX_44_">DICCIONARIO!$L$254</definedName>
    <definedName name="Z_TX_44_D">DICCIONARIO!$K$254</definedName>
    <definedName name="Z_TX_44_E">DICCIONARIO!$G$254</definedName>
    <definedName name="Z_TX_44_F">DICCIONARIO!$H$254</definedName>
    <definedName name="Z_TX_44_I">DICCIONARIO!$J$254</definedName>
    <definedName name="Z_TX_44_O">DICCIONARIO!$E$254</definedName>
    <definedName name="Z_TX_44_P">DICCIONARIO!$I$254</definedName>
    <definedName name="Z_TX_44_S">DICCIONARIO!$F$254</definedName>
    <definedName name="Z_TX_45_">DICCIONARIO!$L$255</definedName>
    <definedName name="Z_TX_45_D">DICCIONARIO!$K$255</definedName>
    <definedName name="Z_TX_45_E">DICCIONARIO!$G$255</definedName>
    <definedName name="Z_TX_45_F">DICCIONARIO!$H$255</definedName>
    <definedName name="Z_TX_45_I">DICCIONARIO!$J$255</definedName>
    <definedName name="Z_TX_45_O">DICCIONARIO!$E$255</definedName>
    <definedName name="Z_TX_45_P">DICCIONARIO!$I$255</definedName>
    <definedName name="Z_TX_45_S">DICCIONARIO!$F$255</definedName>
    <definedName name="Z_TX_46_">DICCIONARIO!$L$256</definedName>
    <definedName name="Z_TX_46_D">DICCIONARIO!$K$256</definedName>
    <definedName name="Z_TX_46_E">DICCIONARIO!$G$256</definedName>
    <definedName name="Z_TX_46_F">DICCIONARIO!$H$256</definedName>
    <definedName name="Z_TX_46_I">DICCIONARIO!$J$256</definedName>
    <definedName name="Z_TX_46_O">DICCIONARIO!$E$256</definedName>
    <definedName name="Z_TX_46_P">DICCIONARIO!$I$256</definedName>
    <definedName name="Z_TX_46_S">DICCIONARIO!$F$256</definedName>
    <definedName name="Z_TX_47_">DICCIONARIO!$L$257</definedName>
    <definedName name="Z_TX_47_D">DICCIONARIO!$K$257</definedName>
    <definedName name="Z_TX_47_E">DICCIONARIO!$G$257</definedName>
    <definedName name="Z_TX_47_F">DICCIONARIO!$H$257</definedName>
    <definedName name="Z_TX_47_I">DICCIONARIO!$J$257</definedName>
    <definedName name="Z_TX_47_O">DICCIONARIO!$E$257</definedName>
    <definedName name="Z_TX_47_P">DICCIONARIO!$I$257</definedName>
    <definedName name="Z_TX_47_S">DICCIONARIO!$F$257</definedName>
    <definedName name="Z_TX_48_">DICCIONARIO!$L$258</definedName>
    <definedName name="Z_TX_48_D">DICCIONARIO!$K$258</definedName>
    <definedName name="Z_TX_48_E">DICCIONARIO!$G$258</definedName>
    <definedName name="Z_TX_48_F">DICCIONARIO!$H$258</definedName>
    <definedName name="Z_TX_48_I">DICCIONARIO!$J$258</definedName>
    <definedName name="Z_TX_48_O">DICCIONARIO!$E$258</definedName>
    <definedName name="Z_TX_48_P">DICCIONARIO!$I$258</definedName>
    <definedName name="Z_TX_48_S">DICCIONARIO!$F$258</definedName>
    <definedName name="Z_TX_49_">DICCIONARIO!$L$259</definedName>
    <definedName name="Z_TX_49_D">DICCIONARIO!$K$259</definedName>
    <definedName name="Z_TX_49_E">DICCIONARIO!$G$259</definedName>
    <definedName name="Z_TX_49_F">DICCIONARIO!$H$259</definedName>
    <definedName name="Z_TX_49_I">DICCIONARIO!$J$259</definedName>
    <definedName name="Z_TX_49_O">DICCIONARIO!$E$259</definedName>
    <definedName name="Z_TX_49_P">DICCIONARIO!$I$259</definedName>
    <definedName name="Z_TX_49_S">DICCIONARIO!$F$259</definedName>
    <definedName name="Z_TX_50_">DICCIONARIO!$L$260</definedName>
    <definedName name="Z_TX_50_D">DICCIONARIO!$K$260</definedName>
    <definedName name="Z_TX_50_E">DICCIONARIO!$G$260</definedName>
    <definedName name="Z_TX_50_F">DICCIONARIO!$H$260</definedName>
    <definedName name="Z_TX_50_I">DICCIONARIO!$J$260</definedName>
    <definedName name="Z_TX_50_O">DICCIONARIO!$E$260</definedName>
    <definedName name="Z_TX_50_P">DICCIONARIO!$I$260</definedName>
    <definedName name="Z_TX_50_S">DICCIONARIO!$F$260</definedName>
    <definedName name="Z_TX_51_">DICCIONARIO!$L$261</definedName>
    <definedName name="Z_TX_51_D">DICCIONARIO!$K$261</definedName>
    <definedName name="Z_TX_51_E">DICCIONARIO!$G$261</definedName>
    <definedName name="Z_TX_51_F">DICCIONARIO!$H$261</definedName>
    <definedName name="Z_TX_51_I">DICCIONARIO!$J$261</definedName>
    <definedName name="Z_TX_51_O">DICCIONARIO!$E$261</definedName>
    <definedName name="Z_TX_51_P">DICCIONARIO!$I$261</definedName>
    <definedName name="Z_TX_51_S">DICCIONARIO!$F$261</definedName>
    <definedName name="Z_TX_52_">DICCIONARIO!$L$262</definedName>
    <definedName name="Z_TX_52_D">DICCIONARIO!$K$262</definedName>
    <definedName name="Z_TX_52_E">DICCIONARIO!$G$262</definedName>
    <definedName name="Z_TX_52_F">DICCIONARIO!$H$262</definedName>
    <definedName name="Z_TX_52_I">DICCIONARIO!$J$262</definedName>
    <definedName name="Z_TX_52_O">DICCIONARIO!$E$262</definedName>
    <definedName name="Z_TX_52_P">DICCIONARIO!$I$262</definedName>
    <definedName name="Z_TX_52_S">DICCIONARIO!$F$262</definedName>
    <definedName name="Z_TX_53_">DICCIONARIO!$L$263</definedName>
    <definedName name="Z_TX_53_D">DICCIONARIO!$K$263</definedName>
    <definedName name="Z_TX_53_E">DICCIONARIO!$G$263</definedName>
    <definedName name="Z_TX_53_F">DICCIONARIO!$H$263</definedName>
    <definedName name="Z_TX_53_I">DICCIONARIO!$J$263</definedName>
    <definedName name="Z_TX_53_O">DICCIONARIO!$E$263</definedName>
    <definedName name="Z_TX_53_P">DICCIONARIO!$I$263</definedName>
    <definedName name="Z_TX_53_S">DICCIONARIO!$F$263</definedName>
    <definedName name="Z_TX_54_">DICCIONARIO!$L$264</definedName>
    <definedName name="Z_TX_54_D">DICCIONARIO!$K$264</definedName>
    <definedName name="Z_TX_54_E">DICCIONARIO!$G$264</definedName>
    <definedName name="Z_TX_54_F">DICCIONARIO!$H$264</definedName>
    <definedName name="Z_TX_54_I">DICCIONARIO!$J$264</definedName>
    <definedName name="Z_TX_54_O">DICCIONARIO!$E$264</definedName>
    <definedName name="Z_TX_54_P">DICCIONARIO!$I$264</definedName>
    <definedName name="Z_TX_54_S">DICCIONARIO!$F$264</definedName>
    <definedName name="Z_TX_55_">DICCIONARIO!$L$265</definedName>
    <definedName name="Z_TX_55_D">DICCIONARIO!$K$265</definedName>
    <definedName name="Z_TX_55_E">DICCIONARIO!$G$265</definedName>
    <definedName name="Z_TX_55_F">DICCIONARIO!$H$265</definedName>
    <definedName name="Z_TX_55_I">DICCIONARIO!$J$265</definedName>
    <definedName name="Z_TX_55_O">DICCIONARIO!$E$265</definedName>
    <definedName name="Z_TX_55_P">DICCIONARIO!$I$265</definedName>
    <definedName name="Z_TX_55_S">DICCIONARIO!$F$265</definedName>
    <definedName name="Z_TX_56_">DICCIONARIO!$L$266</definedName>
    <definedName name="Z_TX_56_D">DICCIONARIO!$K$266</definedName>
    <definedName name="Z_TX_56_E">DICCIONARIO!$G$266</definedName>
    <definedName name="Z_TX_56_F">DICCIONARIO!$H$266</definedName>
    <definedName name="Z_TX_56_I">DICCIONARIO!$J$266</definedName>
    <definedName name="Z_TX_56_O">DICCIONARIO!$E$266</definedName>
    <definedName name="Z_TX_56_P">DICCIONARIO!$I$266</definedName>
    <definedName name="Z_TX_56_S">DICCIONARIO!$F$266</definedName>
    <definedName name="Z_TX_57_">DICCIONARIO!$L$267</definedName>
    <definedName name="Z_TX_57_D">DICCIONARIO!$K$267</definedName>
    <definedName name="Z_TX_57_E">DICCIONARIO!$G$267</definedName>
    <definedName name="Z_TX_57_F">DICCIONARIO!$H$267</definedName>
    <definedName name="Z_TX_57_I">DICCIONARIO!$J$267</definedName>
    <definedName name="Z_TX_57_O">DICCIONARIO!$E$267</definedName>
    <definedName name="Z_TX_57_P">DICCIONARIO!$I$267</definedName>
    <definedName name="Z_TX_57_S">DICCIONARIO!$F$267</definedName>
    <definedName name="Z_TX_58_">DICCIONARIO!$L$268</definedName>
    <definedName name="Z_TX_58_D">DICCIONARIO!$K$268</definedName>
    <definedName name="Z_TX_58_E">DICCIONARIO!$G$268</definedName>
    <definedName name="Z_TX_58_F">DICCIONARIO!$H$268</definedName>
    <definedName name="Z_TX_58_I">DICCIONARIO!$J$268</definedName>
    <definedName name="Z_TX_58_O">DICCIONARIO!$E$268</definedName>
    <definedName name="Z_TX_58_P">DICCIONARIO!$I$268</definedName>
    <definedName name="Z_TX_58_S">DICCIONARIO!$F$268</definedName>
    <definedName name="Z_TX_59_">DICCIONARIO!$L$269</definedName>
    <definedName name="Z_TX_59_D">DICCIONARIO!$K$269</definedName>
    <definedName name="Z_TX_59_E">DICCIONARIO!$G$269</definedName>
    <definedName name="Z_TX_59_F">DICCIONARIO!$H$269</definedName>
    <definedName name="Z_TX_59_I">DICCIONARIO!$J$269</definedName>
    <definedName name="Z_TX_59_O">DICCIONARIO!$E$269</definedName>
    <definedName name="Z_TX_59_P">DICCIONARIO!$I$269</definedName>
    <definedName name="Z_TX_59_S">DICCIONARIO!$F$269</definedName>
    <definedName name="Z_TX_60_">DICCIONARIO!$L$270</definedName>
    <definedName name="Z_TX_60_D">DICCIONARIO!$K$270</definedName>
    <definedName name="Z_TX_60_E">DICCIONARIO!$G$270</definedName>
    <definedName name="Z_TX_60_F">DICCIONARIO!$H$270</definedName>
    <definedName name="Z_TX_60_I">DICCIONARIO!$J$270</definedName>
    <definedName name="Z_TX_60_O">DICCIONARIO!$E$270</definedName>
    <definedName name="Z_TX_60_P">DICCIONARIO!$I$270</definedName>
    <definedName name="Z_TX_60_S">DICCIONARIO!$F$270</definedName>
    <definedName name="Z_TX_61_">DICCIONARIO!$L$271</definedName>
    <definedName name="Z_TX_61_D">DICCIONARIO!$K$271</definedName>
    <definedName name="Z_TX_61_E">DICCIONARIO!$G$271</definedName>
    <definedName name="Z_TX_61_F">DICCIONARIO!$H$271</definedName>
    <definedName name="Z_TX_61_I">DICCIONARIO!$J$271</definedName>
    <definedName name="Z_TX_61_O">DICCIONARIO!$E$271</definedName>
    <definedName name="Z_TX_61_P">DICCIONARIO!$I$271</definedName>
    <definedName name="Z_TX_61_S">DICCIONARIO!$F$271</definedName>
    <definedName name="Z_TX_62_">DICCIONARIO!$L$272</definedName>
    <definedName name="Z_TX_62_D">DICCIONARIO!$K$272</definedName>
    <definedName name="Z_TX_62_E">DICCIONARIO!$G$272</definedName>
    <definedName name="Z_TX_62_F">DICCIONARIO!$H$272</definedName>
    <definedName name="Z_TX_62_I">DICCIONARIO!$J$272</definedName>
    <definedName name="Z_TX_62_O">DICCIONARIO!$E$272</definedName>
    <definedName name="Z_TX_62_P">DICCIONARIO!$I$272</definedName>
    <definedName name="Z_TX_62_S">DICCIONARIO!$F$272</definedName>
    <definedName name="Z_TX_63_">DICCIONARIO!$L$273</definedName>
    <definedName name="Z_TX_63_D">DICCIONARIO!$K$273</definedName>
    <definedName name="Z_TX_63_E">DICCIONARIO!$G$273</definedName>
    <definedName name="Z_TX_63_F">DICCIONARIO!$H$273</definedName>
    <definedName name="Z_TX_63_I">DICCIONARIO!$J$273</definedName>
    <definedName name="Z_TX_63_O">DICCIONARIO!$E$273</definedName>
    <definedName name="Z_TX_63_P">DICCIONARIO!$I$273</definedName>
    <definedName name="Z_TX_63_S">DICCIONARIO!$F$273</definedName>
    <definedName name="Z_TX_64_">DICCIONARIO!$L$274</definedName>
    <definedName name="Z_TX_64_D">DICCIONARIO!$K$274</definedName>
    <definedName name="Z_TX_64_E">DICCIONARIO!$G$274</definedName>
    <definedName name="Z_TX_64_F">DICCIONARIO!$H$274</definedName>
    <definedName name="Z_TX_64_I">DICCIONARIO!$J$274</definedName>
    <definedName name="Z_TX_64_O">DICCIONARIO!$E$274</definedName>
    <definedName name="Z_TX_64_P">DICCIONARIO!$I$274</definedName>
    <definedName name="Z_TX_64_S">DICCIONARIO!$F$274</definedName>
    <definedName name="Z_TX_65_">DICCIONARIO!$L$275</definedName>
    <definedName name="Z_TX_65_D">DICCIONARIO!$K$275</definedName>
    <definedName name="Z_TX_65_E">DICCIONARIO!$G$275</definedName>
    <definedName name="Z_TX_65_F">DICCIONARIO!$H$275</definedName>
    <definedName name="Z_TX_65_I">DICCIONARIO!$J$275</definedName>
    <definedName name="Z_TX_65_O">DICCIONARIO!$E$275</definedName>
    <definedName name="Z_TX_65_P">DICCIONARIO!$I$275</definedName>
    <definedName name="Z_TX_65_S">DICCIONARIO!$F$275</definedName>
    <definedName name="Z_TX_66_">DICCIONARIO!$L$276</definedName>
    <definedName name="Z_TX_66_D">DICCIONARIO!$K$276</definedName>
    <definedName name="Z_TX_66_E">DICCIONARIO!$G$276</definedName>
    <definedName name="Z_TX_66_F">DICCIONARIO!$H$276</definedName>
    <definedName name="Z_TX_66_I">DICCIONARIO!$J$276</definedName>
    <definedName name="Z_TX_66_O">DICCIONARIO!$E$276</definedName>
    <definedName name="Z_TX_66_P">DICCIONARIO!$I$276</definedName>
    <definedName name="Z_TX_66_S">DICCIONARIO!$F$276</definedName>
    <definedName name="Z_TX_67_">DICCIONARIO!$L$277</definedName>
    <definedName name="Z_TX_67_D">DICCIONARIO!$K$277</definedName>
    <definedName name="Z_TX_67_E">DICCIONARIO!$G$277</definedName>
    <definedName name="Z_TX_67_F">DICCIONARIO!$H$277</definedName>
    <definedName name="Z_TX_67_I">DICCIONARIO!$J$277</definedName>
    <definedName name="Z_TX_67_O">DICCIONARIO!$E$277</definedName>
    <definedName name="Z_TX_67_P">DICCIONARIO!$I$277</definedName>
    <definedName name="Z_TX_67_S">DICCIONARIO!$F$277</definedName>
    <definedName name="Z_TX_68_">DICCIONARIO!$L$278</definedName>
    <definedName name="Z_TX_68_D">DICCIONARIO!$K$278</definedName>
    <definedName name="Z_TX_68_E">DICCIONARIO!$G$278</definedName>
    <definedName name="Z_TX_68_F">DICCIONARIO!$H$278</definedName>
    <definedName name="Z_TX_68_I">DICCIONARIO!$J$278</definedName>
    <definedName name="Z_TX_68_O">DICCIONARIO!$E$278</definedName>
    <definedName name="Z_TX_68_P">DICCIONARIO!$I$278</definedName>
    <definedName name="Z_TX_68_S">DICCIONARIO!$F$278</definedName>
    <definedName name="Z_TX_69_">DICCIONARIO!$L$279</definedName>
    <definedName name="Z_TX_69_D">DICCIONARIO!$K$279</definedName>
    <definedName name="Z_TX_69_E">DICCIONARIO!$G$279</definedName>
    <definedName name="Z_TX_69_F">DICCIONARIO!$H$279</definedName>
    <definedName name="Z_TX_69_I">DICCIONARIO!$J$279</definedName>
    <definedName name="Z_TX_69_O">DICCIONARIO!$E$279</definedName>
    <definedName name="Z_TX_69_P">DICCIONARIO!$I$279</definedName>
    <definedName name="Z_TX_69_S">DICCIONARIO!$F$279</definedName>
    <definedName name="Z_TX_70_">DICCIONARIO!$L$280</definedName>
    <definedName name="Z_TX_70_D">DICCIONARIO!$K$280</definedName>
    <definedName name="Z_TX_70_E">DICCIONARIO!$G$280</definedName>
    <definedName name="Z_TX_70_F">DICCIONARIO!$H$280</definedName>
    <definedName name="Z_TX_70_I">DICCIONARIO!$J$280</definedName>
    <definedName name="Z_TX_70_O">DICCIONARIO!$E$280</definedName>
    <definedName name="Z_TX_70_P">DICCIONARIO!$I$280</definedName>
    <definedName name="Z_TX_70_S">DICCIONARIO!$F$280</definedName>
    <definedName name="Z_TX_71_">DICCIONARIO!$L$281</definedName>
    <definedName name="Z_TX_71_D">DICCIONARIO!$K$281</definedName>
    <definedName name="Z_TX_71_E">DICCIONARIO!$G$281</definedName>
    <definedName name="Z_TX_71_F">DICCIONARIO!$H$281</definedName>
    <definedName name="Z_TX_71_I">DICCIONARIO!$J$281</definedName>
    <definedName name="Z_TX_71_O">DICCIONARIO!$E$281</definedName>
    <definedName name="Z_TX_71_P">DICCIONARIO!$I$281</definedName>
    <definedName name="Z_TX_71_S">DICCIONARIO!$F$281</definedName>
    <definedName name="Z_TX_72_">DICCIONARIO!$L$282</definedName>
    <definedName name="Z_TX_72_D">DICCIONARIO!$K$282</definedName>
    <definedName name="Z_TX_72_E">DICCIONARIO!$G$282</definedName>
    <definedName name="Z_TX_72_F">DICCIONARIO!$H$282</definedName>
    <definedName name="Z_TX_72_I">DICCIONARIO!$J$282</definedName>
    <definedName name="Z_TX_72_O">DICCIONARIO!$E$282</definedName>
    <definedName name="Z_TX_72_P">DICCIONARIO!$I$282</definedName>
    <definedName name="Z_TX_72_S">DICCIONARIO!$F$282</definedName>
    <definedName name="Z_TX_73_">DICCIONARIO!$L$283</definedName>
    <definedName name="Z_TX_73_D">DICCIONARIO!$K$283</definedName>
    <definedName name="Z_TX_73_E">DICCIONARIO!$G$283</definedName>
    <definedName name="Z_TX_73_F">DICCIONARIO!$H$283</definedName>
    <definedName name="Z_TX_73_I">DICCIONARIO!$J$283</definedName>
    <definedName name="Z_TX_73_O">DICCIONARIO!$E$283</definedName>
    <definedName name="Z_TX_73_P">DICCIONARIO!$I$283</definedName>
    <definedName name="Z_TX_73_S">DICCIONARIO!$F$283</definedName>
    <definedName name="Z_TX_74_">DICCIONARIO!$L$284</definedName>
    <definedName name="Z_TX_74_D">DICCIONARIO!$K$284</definedName>
    <definedName name="Z_TX_74_E">DICCIONARIO!$G$284</definedName>
    <definedName name="Z_TX_74_F">DICCIONARIO!$H$284</definedName>
    <definedName name="Z_TX_74_I">DICCIONARIO!$J$284</definedName>
    <definedName name="Z_TX_74_O">DICCIONARIO!$E$284</definedName>
    <definedName name="Z_TX_74_P">DICCIONARIO!$I$284</definedName>
    <definedName name="Z_TX_74_S">DICCIONARIO!$F$284</definedName>
    <definedName name="Z_TX_75_">DICCIONARIO!$L$285</definedName>
    <definedName name="Z_TX_75_D">DICCIONARIO!$K$285</definedName>
    <definedName name="Z_TX_75_E">DICCIONARIO!$G$285</definedName>
    <definedName name="Z_TX_75_F">DICCIONARIO!$H$285</definedName>
    <definedName name="Z_TX_75_I">DICCIONARIO!$J$285</definedName>
    <definedName name="Z_TX_75_O">DICCIONARIO!$E$285</definedName>
    <definedName name="Z_TX_75_P">DICCIONARIO!$I$285</definedName>
    <definedName name="Z_TX_75_S">DICCIONARIO!$F$285</definedName>
    <definedName name="Z_TX_76_">DICCIONARIO!$L$286</definedName>
    <definedName name="Z_TX_76_D">DICCIONARIO!$K$286</definedName>
    <definedName name="Z_TX_76_E">DICCIONARIO!$G$286</definedName>
    <definedName name="Z_TX_76_F">DICCIONARIO!$H$286</definedName>
    <definedName name="Z_TX_76_I">DICCIONARIO!$J$286</definedName>
    <definedName name="Z_TX_76_O">DICCIONARIO!$E$286</definedName>
    <definedName name="Z_TX_76_P">DICCIONARIO!$I$286</definedName>
    <definedName name="Z_TX_76_S">DICCIONARIO!$F$286</definedName>
    <definedName name="Z_TX_77_0_">DICCIONARIO!$L$287</definedName>
    <definedName name="Z_TX_77_0_D">DICCIONARIO!$K$287</definedName>
    <definedName name="Z_TX_77_0_E">DICCIONARIO!$G$287</definedName>
    <definedName name="Z_TX_77_0_F">DICCIONARIO!$H$287</definedName>
    <definedName name="Z_TX_77_0_I">DICCIONARIO!$J$287</definedName>
    <definedName name="Z_TX_77_0_O">DICCIONARIO!$E$287</definedName>
    <definedName name="Z_TX_77_0_P">DICCIONARIO!$I$287</definedName>
    <definedName name="Z_TX_77_0_S">DICCIONARIO!$F$287</definedName>
    <definedName name="Z_TX_77_1_">DICCIONARIO!$L$288</definedName>
    <definedName name="Z_TX_77_1_D">DICCIONARIO!$K$288</definedName>
    <definedName name="Z_TX_77_1_E">DICCIONARIO!$G$288</definedName>
    <definedName name="Z_TX_77_1_F">DICCIONARIO!$H$288</definedName>
    <definedName name="Z_TX_77_1_I">DICCIONARIO!$J$288</definedName>
    <definedName name="Z_TX_77_1_O">DICCIONARIO!$E$288</definedName>
    <definedName name="Z_TX_77_1_P">DICCIONARIO!$I$288</definedName>
    <definedName name="Z_TX_77_1_S">DICCIONARIO!$F$288</definedName>
    <definedName name="Z_TX_77_2_">DICCIONARIO!$L$289</definedName>
    <definedName name="Z_TX_77_2_D">DICCIONARIO!$K$289</definedName>
    <definedName name="Z_TX_77_2_E">DICCIONARIO!$G$289</definedName>
    <definedName name="Z_TX_77_2_F">DICCIONARIO!$H$289</definedName>
    <definedName name="Z_TX_77_2_I">DICCIONARIO!$J$289</definedName>
    <definedName name="Z_TX_77_2_O">DICCIONARIO!$E$289</definedName>
    <definedName name="Z_TX_77_2_P">DICCIONARIO!$I$289</definedName>
    <definedName name="Z_TX_77_2_S">DICCIONARIO!$F$289</definedName>
    <definedName name="Z_TX_77_3_">DICCIONARIO!$L$290</definedName>
    <definedName name="Z_TX_77_3_D">DICCIONARIO!$K$290</definedName>
    <definedName name="Z_TX_77_3_E">DICCIONARIO!$G$290</definedName>
    <definedName name="Z_TX_77_3_F">DICCIONARIO!$H$290</definedName>
    <definedName name="Z_TX_77_3_I">DICCIONARIO!$J$290</definedName>
    <definedName name="Z_TX_77_3_O">DICCIONARIO!$E$290</definedName>
    <definedName name="Z_TX_77_3_P">DICCIONARIO!$I$290</definedName>
    <definedName name="Z_TX_77_3_S">DICCIONARIO!$F$290</definedName>
    <definedName name="Z_TX_77_4_">DICCIONARIO!$L$291</definedName>
    <definedName name="Z_TX_77_4_D">DICCIONARIO!$K$291</definedName>
    <definedName name="Z_TX_77_4_E">DICCIONARIO!$G$291</definedName>
    <definedName name="Z_TX_77_4_F">DICCIONARIO!$H$291</definedName>
    <definedName name="Z_TX_77_4_I">DICCIONARIO!$J$291</definedName>
    <definedName name="Z_TX_77_4_O">DICCIONARIO!$E$291</definedName>
    <definedName name="Z_TX_77_4_P">DICCIONARIO!$I$291</definedName>
    <definedName name="Z_TX_77_4_S">DICCIONARIO!$F$291</definedName>
    <definedName name="Z_TX_78_">DICCIONARIO!$L$292</definedName>
    <definedName name="Z_TX_78_D">DICCIONARIO!$K$292</definedName>
    <definedName name="Z_TX_78_E">DICCIONARIO!$G$292</definedName>
    <definedName name="Z_TX_78_F">DICCIONARIO!$H$292</definedName>
    <definedName name="Z_TX_78_I">DICCIONARIO!$J$292</definedName>
    <definedName name="Z_TX_78_O">DICCIONARIO!$E$292</definedName>
    <definedName name="Z_TX_78_P">DICCIONARIO!$I$292</definedName>
    <definedName name="Z_TX_78_S">DICCIONARIO!$F$292</definedName>
    <definedName name="Z_TX_79_">DICCIONARIO!$L$293</definedName>
    <definedName name="Z_TX_79_D">DICCIONARIO!$K$293</definedName>
    <definedName name="Z_TX_79_E">DICCIONARIO!$G$293</definedName>
    <definedName name="Z_TX_79_F">DICCIONARIO!$H$293</definedName>
    <definedName name="Z_TX_79_I">DICCIONARIO!$J$293</definedName>
    <definedName name="Z_TX_79_O">DICCIONARIO!$E$293</definedName>
    <definedName name="Z_TX_79_P">DICCIONARIO!$I$293</definedName>
    <definedName name="Z_TX_79_S">DICCIONARIO!$F$293</definedName>
    <definedName name="Z_TX_80_">DICCIONARIO!$L$294</definedName>
    <definedName name="Z_TX_80_D">DICCIONARIO!$K$294</definedName>
    <definedName name="Z_TX_80_E">DICCIONARIO!$G$294</definedName>
    <definedName name="Z_TX_80_F">DICCIONARIO!$H$294</definedName>
    <definedName name="Z_TX_80_I">DICCIONARIO!$J$294</definedName>
    <definedName name="Z_TX_80_O">DICCIONARIO!$E$294</definedName>
    <definedName name="Z_TX_80_P">DICCIONARIO!$I$294</definedName>
    <definedName name="Z_TX_80_S">DICCIONARIO!$F$294</definedName>
    <definedName name="Z_TX_81_">DICCIONARIO!$L$295</definedName>
    <definedName name="Z_TX_81_D">DICCIONARIO!$K$295</definedName>
    <definedName name="Z_TX_81_E">DICCIONARIO!$G$295</definedName>
    <definedName name="Z_TX_81_F">DICCIONARIO!$H$295</definedName>
    <definedName name="Z_TX_81_I">DICCIONARIO!$J$295</definedName>
    <definedName name="Z_TX_81_O">DICCIONARIO!$E$295</definedName>
    <definedName name="Z_TX_81_P">DICCIONARIO!$I$295</definedName>
    <definedName name="Z_TX_81_S">DICCIONARIO!$F$295</definedName>
    <definedName name="Z_TX_82_">DICCIONARIO!$L$296</definedName>
    <definedName name="Z_TX_82_D">DICCIONARIO!$K$296</definedName>
    <definedName name="Z_TX_82_E">DICCIONARIO!$G$296</definedName>
    <definedName name="Z_TX_82_F">DICCIONARIO!$H$296</definedName>
    <definedName name="Z_TX_82_I">DICCIONARIO!$J$296</definedName>
    <definedName name="Z_TX_82_O">DICCIONARIO!$E$296</definedName>
    <definedName name="Z_TX_82_P">DICCIONARIO!$I$296</definedName>
    <definedName name="Z_TX_82_S">DICCIONARIO!$F$296</definedName>
    <definedName name="Z_TX_83_">DICCIONARIO!$L$297</definedName>
    <definedName name="Z_TX_83_1_">DICCIONARIO!$L$298</definedName>
    <definedName name="Z_TX_83_1_D">DICCIONARIO!$K$298</definedName>
    <definedName name="Z_TX_83_1_E">DICCIONARIO!$G$298</definedName>
    <definedName name="Z_TX_83_1_F">DICCIONARIO!$H$298</definedName>
    <definedName name="Z_TX_83_1_I">DICCIONARIO!$J$298</definedName>
    <definedName name="Z_TX_83_1_O">DICCIONARIO!$E$298</definedName>
    <definedName name="Z_TX_83_1_P">DICCIONARIO!$I$298</definedName>
    <definedName name="Z_TX_83_1_S">DICCIONARIO!$F$298</definedName>
    <definedName name="Z_TX_83_D">DICCIONARIO!$K$297</definedName>
    <definedName name="Z_TX_83_E">DICCIONARIO!$G$297</definedName>
    <definedName name="Z_TX_83_F">DICCIONARIO!$H$297</definedName>
    <definedName name="Z_TX_83_I">DICCIONARIO!$J$297</definedName>
    <definedName name="Z_TX_83_O">DICCIONARIO!$E$297</definedName>
    <definedName name="Z_TX_83_P">DICCIONARIO!$I$297</definedName>
    <definedName name="Z_TX_83_S">DICCIONARIO!$F$297</definedName>
    <definedName name="Z_TX_84_1_">DICCIONARIO!$L$299</definedName>
    <definedName name="Z_TX_84_1_D">DICCIONARIO!$K$299</definedName>
    <definedName name="Z_TX_84_1_E">DICCIONARIO!$G$299</definedName>
    <definedName name="Z_TX_84_1_F">DICCIONARIO!$H$299</definedName>
    <definedName name="Z_TX_84_1_I">DICCIONARIO!$J$299</definedName>
    <definedName name="Z_TX_84_1_O">DICCIONARIO!$E$299</definedName>
    <definedName name="Z_TX_84_1_P">DICCIONARIO!$I$299</definedName>
    <definedName name="Z_TX_84_1_S">DICCIONARIO!$F$299</definedName>
    <definedName name="Z_TX_84_2_">DICCIONARIO!$L$300</definedName>
    <definedName name="Z_TX_84_2_D">DICCIONARIO!$K$300</definedName>
    <definedName name="Z_TX_84_2_E">DICCIONARIO!$G$300</definedName>
    <definedName name="Z_TX_84_2_F">DICCIONARIO!$H$300</definedName>
    <definedName name="Z_TX_84_2_I">DICCIONARIO!$J$300</definedName>
    <definedName name="Z_TX_84_2_O">DICCIONARIO!$E$300</definedName>
    <definedName name="Z_TX_84_2_P">DICCIONARIO!$I$300</definedName>
    <definedName name="Z_TX_84_2_S">DICCIONARIO!$F$300</definedName>
    <definedName name="Z_TX_84_3_">DICCIONARIO!$L$301</definedName>
    <definedName name="Z_TX_84_3_D">DICCIONARIO!$K$301</definedName>
    <definedName name="Z_TX_84_3_E">DICCIONARIO!$G$301</definedName>
    <definedName name="Z_TX_84_3_F">DICCIONARIO!$H$301</definedName>
    <definedName name="Z_TX_84_3_I">DICCIONARIO!$J$301</definedName>
    <definedName name="Z_TX_84_3_O">DICCIONARIO!$E$301</definedName>
    <definedName name="Z_TX_84_3_P">DICCIONARIO!$I$301</definedName>
    <definedName name="Z_TX_84_3_S">DICCIONARIO!$F$301</definedName>
    <definedName name="Z_TX_85_1_">DICCIONARIO!$L$302</definedName>
    <definedName name="Z_TX_85_1_D">DICCIONARIO!$K$302</definedName>
    <definedName name="Z_TX_85_1_E">DICCIONARIO!$G$302</definedName>
    <definedName name="Z_TX_85_1_F">DICCIONARIO!$H$302</definedName>
    <definedName name="Z_TX_85_1_I">DICCIONARIO!$J$302</definedName>
    <definedName name="Z_TX_85_1_O">DICCIONARIO!$E$302</definedName>
    <definedName name="Z_TX_85_1_P">DICCIONARIO!$I$302</definedName>
    <definedName name="Z_TX_85_1_S">DICCIONARIO!$F$302</definedName>
    <definedName name="Z_TX_85_2_">DICCIONARIO!$L$303</definedName>
    <definedName name="Z_TX_85_2_D">DICCIONARIO!$K$303</definedName>
    <definedName name="Z_TX_85_2_E">DICCIONARIO!$G$303</definedName>
    <definedName name="Z_TX_85_2_F">DICCIONARIO!$H$303</definedName>
    <definedName name="Z_TX_85_2_I">DICCIONARIO!$J$303</definedName>
    <definedName name="Z_TX_85_2_O">DICCIONARIO!$E$303</definedName>
    <definedName name="Z_TX_85_2_P">DICCIONARIO!$I$303</definedName>
    <definedName name="Z_TX_85_2_S">DICCIONARIO!$F$303</definedName>
    <definedName name="Z_TX_85_3_">DICCIONARIO!$L$304</definedName>
    <definedName name="Z_TX_85_3_D">DICCIONARIO!$K$304</definedName>
    <definedName name="Z_TX_85_3_E">DICCIONARIO!$G$304</definedName>
    <definedName name="Z_TX_85_3_F">DICCIONARIO!$H$304</definedName>
    <definedName name="Z_TX_85_3_I">DICCIONARIO!$J$304</definedName>
    <definedName name="Z_TX_85_3_O">DICCIONARIO!$E$304</definedName>
    <definedName name="Z_TX_85_3_P">DICCIONARIO!$I$304</definedName>
    <definedName name="Z_TX_85_3_S">DICCIONARIO!$F$304</definedName>
    <definedName name="Z_TX_85_4_">DICCIONARIO!$L$305</definedName>
    <definedName name="Z_TX_85_4_D">DICCIONARIO!$K$305</definedName>
    <definedName name="Z_TX_85_4_E">DICCIONARIO!$G$305</definedName>
    <definedName name="Z_TX_85_4_F">DICCIONARIO!$H$305</definedName>
    <definedName name="Z_TX_85_4_I">DICCIONARIO!$J$305</definedName>
    <definedName name="Z_TX_85_4_O">DICCIONARIO!$E$305</definedName>
    <definedName name="Z_TX_85_4_P">DICCIONARIO!$I$305</definedName>
    <definedName name="Z_TX_85_4_S">DICCIONARIO!$F$305</definedName>
    <definedName name="Z_TX_86_">DICCIONARIO!$L$306</definedName>
    <definedName name="Z_TX_86_D">DICCIONARIO!$K$306</definedName>
    <definedName name="Z_TX_86_E">DICCIONARIO!$G$306</definedName>
    <definedName name="Z_TX_86_F">DICCIONARIO!$H$306</definedName>
    <definedName name="Z_TX_86_I">DICCIONARIO!$J$306</definedName>
    <definedName name="Z_TX_86_O">DICCIONARIO!$E$306</definedName>
    <definedName name="Z_TX_86_P">DICCIONARIO!$I$306</definedName>
    <definedName name="Z_TX_86_S">DICCIONARIO!$F$306</definedName>
    <definedName name="Z_TX_87_1_">DICCIONARIO!$L$307</definedName>
    <definedName name="Z_TX_87_1_D">DICCIONARIO!$K$307</definedName>
    <definedName name="Z_TX_87_1_E">DICCIONARIO!$G$307</definedName>
    <definedName name="Z_TX_87_1_F">DICCIONARIO!$H$307</definedName>
    <definedName name="Z_TX_87_1_I">DICCIONARIO!$J$307</definedName>
    <definedName name="Z_TX_87_1_O">DICCIONARIO!$E$307</definedName>
    <definedName name="Z_TX_87_1_P">DICCIONARIO!$I$307</definedName>
    <definedName name="Z_TX_87_1_S">DICCIONARIO!$F$307</definedName>
    <definedName name="Z_TX_87_2_">DICCIONARIO!$L$308</definedName>
    <definedName name="Z_TX_87_2_D">DICCIONARIO!$K$308</definedName>
    <definedName name="Z_TX_87_2_E">DICCIONARIO!$G$308</definedName>
    <definedName name="Z_TX_87_2_F">DICCIONARIO!$H$308</definedName>
    <definedName name="Z_TX_87_2_I">DICCIONARIO!$J$308</definedName>
    <definedName name="Z_TX_87_2_O">DICCIONARIO!$E$308</definedName>
    <definedName name="Z_TX_87_2_P">DICCIONARIO!$I$308</definedName>
    <definedName name="Z_TX_87_2_S">DICCIONARIO!$F$308</definedName>
    <definedName name="Z_TX_87_3_">DICCIONARIO!$L$309</definedName>
    <definedName name="Z_TX_87_3_D">DICCIONARIO!$K$309</definedName>
    <definedName name="Z_TX_87_3_E">DICCIONARIO!$G$309</definedName>
    <definedName name="Z_TX_87_3_F">DICCIONARIO!$H$309</definedName>
    <definedName name="Z_TX_87_3_I">DICCIONARIO!$J$309</definedName>
    <definedName name="Z_TX_87_3_O">DICCIONARIO!$E$309</definedName>
    <definedName name="Z_TX_87_3_P">DICCIONARIO!$I$309</definedName>
    <definedName name="Z_TX_87_3_S">DICCIONARIO!$F$309</definedName>
    <definedName name="Z_TX_87_4_">DICCIONARIO!$L$310</definedName>
    <definedName name="Z_TX_87_4_D">DICCIONARIO!$K$310</definedName>
    <definedName name="Z_TX_87_4_E">DICCIONARIO!$G$310</definedName>
    <definedName name="Z_TX_87_4_F">DICCIONARIO!$H$310</definedName>
    <definedName name="Z_TX_87_4_I">DICCIONARIO!$J$310</definedName>
    <definedName name="Z_TX_87_4_O">DICCIONARIO!$E$310</definedName>
    <definedName name="Z_TX_87_4_P">DICCIONARIO!$I$310</definedName>
    <definedName name="Z_TX_87_4_S">DICCIONARIO!$F$310</definedName>
    <definedName name="Z_TX_87_5_">DICCIONARIO!$L$311</definedName>
    <definedName name="Z_TX_87_5_D">DICCIONARIO!$K$311</definedName>
    <definedName name="Z_TX_87_5_E">DICCIONARIO!$G$311</definedName>
    <definedName name="Z_TX_87_5_F">DICCIONARIO!$H$311</definedName>
    <definedName name="Z_TX_87_5_I">DICCIONARIO!$J$311</definedName>
    <definedName name="Z_TX_87_5_O">DICCIONARIO!$E$311</definedName>
    <definedName name="Z_TX_87_5_P">DICCIONARIO!$I$311</definedName>
    <definedName name="Z_TX_87_5_S">DICCIONARIO!$F$311</definedName>
    <definedName name="Z_TX_87_6_">DICCIONARIO!$L$312</definedName>
    <definedName name="Z_TX_87_6_D">DICCIONARIO!$K$312</definedName>
    <definedName name="Z_TX_87_6_E">DICCIONARIO!$G$312</definedName>
    <definedName name="Z_TX_87_6_F">DICCIONARIO!$H$312</definedName>
    <definedName name="Z_TX_87_6_I">DICCIONARIO!$J$312</definedName>
    <definedName name="Z_TX_87_6_O">DICCIONARIO!$E$312</definedName>
    <definedName name="Z_TX_87_6_P">DICCIONARIO!$I$312</definedName>
    <definedName name="Z_TX_87_6_S">DICCIONARIO!$F$312</definedName>
    <definedName name="Z_TX_87_7_">DICCIONARIO!$L$313</definedName>
    <definedName name="Z_TX_87_7_D">DICCIONARIO!$K$313</definedName>
    <definedName name="Z_TX_87_7_E">DICCIONARIO!$G$313</definedName>
    <definedName name="Z_TX_87_7_F">DICCIONARIO!$H$313</definedName>
    <definedName name="Z_TX_87_7_I">DICCIONARIO!$J$313</definedName>
    <definedName name="Z_TX_87_7_O">DICCIONARIO!$E$313</definedName>
    <definedName name="Z_TX_87_7_P">DICCIONARIO!$I$313</definedName>
    <definedName name="Z_TX_87_7_S">DICCIONARIO!$F$313</definedName>
    <definedName name="Z_TX_87_8_">DICCIONARIO!$L$314</definedName>
    <definedName name="Z_TX_87_8_D">DICCIONARIO!$K$314</definedName>
    <definedName name="Z_TX_87_8_E">DICCIONARIO!$G$314</definedName>
    <definedName name="Z_TX_87_8_F">DICCIONARIO!$H$314</definedName>
    <definedName name="Z_TX_87_8_I">DICCIONARIO!$J$314</definedName>
    <definedName name="Z_TX_87_8_O">DICCIONARIO!$E$314</definedName>
    <definedName name="Z_TX_87_8_P">DICCIONARIO!$I$314</definedName>
    <definedName name="Z_TX_87_8_S">DICCIONARIO!$F$314</definedName>
    <definedName name="Z_TX_88_">DICCIONARIO!$L$323</definedName>
    <definedName name="Z_TX_88_1_">DICCIONARIO!$L$315</definedName>
    <definedName name="Z_TX_88_1_D">DICCIONARIO!$K$315</definedName>
    <definedName name="Z_TX_88_1_E">DICCIONARIO!$G$315</definedName>
    <definedName name="Z_TX_88_1_F">DICCIONARIO!$H$315</definedName>
    <definedName name="Z_TX_88_1_I">DICCIONARIO!$J$315</definedName>
    <definedName name="Z_TX_88_1_O">DICCIONARIO!$E$315</definedName>
    <definedName name="Z_TX_88_1_P">DICCIONARIO!$I$315</definedName>
    <definedName name="Z_TX_88_1_S">DICCIONARIO!$F$315</definedName>
    <definedName name="Z_TX_88_2_">DICCIONARIO!$L$316</definedName>
    <definedName name="Z_TX_88_2_D">DICCIONARIO!$K$316</definedName>
    <definedName name="Z_TX_88_2_E">DICCIONARIO!$G$316</definedName>
    <definedName name="Z_TX_88_2_F">DICCIONARIO!$H$316</definedName>
    <definedName name="Z_TX_88_2_I">DICCIONARIO!$J$316</definedName>
    <definedName name="Z_TX_88_2_O">DICCIONARIO!$E$316</definedName>
    <definedName name="Z_TX_88_2_P">DICCIONARIO!$I$316</definedName>
    <definedName name="Z_TX_88_2_S">DICCIONARIO!$F$316</definedName>
    <definedName name="Z_TX_88_3_">DICCIONARIO!$L$317</definedName>
    <definedName name="Z_TX_88_3_D">DICCIONARIO!$K$317</definedName>
    <definedName name="Z_TX_88_3_E">DICCIONARIO!$G$317</definedName>
    <definedName name="Z_TX_88_3_F">DICCIONARIO!$H$317</definedName>
    <definedName name="Z_TX_88_3_I">DICCIONARIO!$J$317</definedName>
    <definedName name="Z_TX_88_3_O">DICCIONARIO!$E$317</definedName>
    <definedName name="Z_TX_88_3_P">DICCIONARIO!$I$317</definedName>
    <definedName name="Z_TX_88_3_S">DICCIONARIO!$F$317</definedName>
    <definedName name="Z_TX_88_4_">DICCIONARIO!$L$318</definedName>
    <definedName name="Z_TX_88_4_D">DICCIONARIO!$K$318</definedName>
    <definedName name="Z_TX_88_4_E">DICCIONARIO!$G$318</definedName>
    <definedName name="Z_TX_88_4_F">DICCIONARIO!$H$318</definedName>
    <definedName name="Z_TX_88_4_I">DICCIONARIO!$J$318</definedName>
    <definedName name="Z_TX_88_4_O">DICCIONARIO!$E$318</definedName>
    <definedName name="Z_TX_88_4_P">DICCIONARIO!$I$318</definedName>
    <definedName name="Z_TX_88_4_S">DICCIONARIO!$F$318</definedName>
    <definedName name="Z_TX_88_5_">DICCIONARIO!$L$319</definedName>
    <definedName name="Z_TX_88_5_D">DICCIONARIO!$K$319</definedName>
    <definedName name="Z_TX_88_5_E">DICCIONARIO!$G$319</definedName>
    <definedName name="Z_TX_88_5_F">DICCIONARIO!$H$319</definedName>
    <definedName name="Z_TX_88_5_I">DICCIONARIO!$J$319</definedName>
    <definedName name="Z_TX_88_5_O">DICCIONARIO!$E$319</definedName>
    <definedName name="Z_TX_88_5_P">DICCIONARIO!$I$319</definedName>
    <definedName name="Z_TX_88_5_S">DICCIONARIO!$F$319</definedName>
    <definedName name="Z_TX_88_6_">DICCIONARIO!$L$320</definedName>
    <definedName name="Z_TX_88_6_D">DICCIONARIO!$K$320</definedName>
    <definedName name="Z_TX_88_6_E">DICCIONARIO!$G$320</definedName>
    <definedName name="Z_TX_88_6_F">DICCIONARIO!$H$320</definedName>
    <definedName name="Z_TX_88_6_I">DICCIONARIO!$J$320</definedName>
    <definedName name="Z_TX_88_6_O">DICCIONARIO!$E$320</definedName>
    <definedName name="Z_TX_88_6_P">DICCIONARIO!$I$320</definedName>
    <definedName name="Z_TX_88_6_S">DICCIONARIO!$F$320</definedName>
    <definedName name="Z_TX_88_7_">DICCIONARIO!$L$321</definedName>
    <definedName name="Z_TX_88_7_D">DICCIONARIO!$K$321</definedName>
    <definedName name="Z_TX_88_7_E">DICCIONARIO!$G$321</definedName>
    <definedName name="Z_TX_88_7_F">DICCIONARIO!$H$321</definedName>
    <definedName name="Z_TX_88_7_I">DICCIONARIO!$J$321</definedName>
    <definedName name="Z_TX_88_7_O">DICCIONARIO!$E$321</definedName>
    <definedName name="Z_TX_88_7_P">DICCIONARIO!$I$321</definedName>
    <definedName name="Z_TX_88_7_S">DICCIONARIO!$F$321</definedName>
    <definedName name="Z_TX_88_8_">DICCIONARIO!$L$322</definedName>
    <definedName name="Z_TX_88_8_D">DICCIONARIO!$K$322</definedName>
    <definedName name="Z_TX_88_8_E">DICCIONARIO!$G$322</definedName>
    <definedName name="Z_TX_88_8_F">DICCIONARIO!$H$322</definedName>
    <definedName name="Z_TX_88_8_I">DICCIONARIO!$J$322</definedName>
    <definedName name="Z_TX_88_8_O">DICCIONARIO!$E$322</definedName>
    <definedName name="Z_TX_88_8_P">DICCIONARIO!$I$322</definedName>
    <definedName name="Z_TX_88_8_S">DICCIONARIO!$F$322</definedName>
    <definedName name="Z_TX_88_D">DICCIONARIO!$K$323</definedName>
    <definedName name="Z_TX_88_E">DICCIONARIO!$G$323</definedName>
    <definedName name="Z_TX_88_F">DICCIONARIO!$H$323</definedName>
    <definedName name="Z_TX_88_I">DICCIONARIO!$J$323</definedName>
    <definedName name="Z_TX_88_O">DICCIONARIO!$E$323</definedName>
    <definedName name="Z_TX_88_P">DICCIONARIO!$I$323</definedName>
    <definedName name="Z_TX_88_S">DICCIONARIO!$F$323</definedName>
    <definedName name="Z_TX_89_1_">DICCIONARIO!$L$324</definedName>
    <definedName name="Z_TX_89_1_D">DICCIONARIO!$K$324</definedName>
    <definedName name="Z_TX_89_1_E">DICCIONARIO!$G$324</definedName>
    <definedName name="Z_TX_89_1_F">DICCIONARIO!$H$324</definedName>
    <definedName name="Z_TX_89_1_I">DICCIONARIO!$J$324</definedName>
    <definedName name="Z_TX_89_1_O">DICCIONARIO!$E$324</definedName>
    <definedName name="Z_TX_89_1_P">DICCIONARIO!$I$324</definedName>
    <definedName name="Z_TX_89_1_S">DICCIONARIO!$F$324</definedName>
    <definedName name="Z_TX_89_2_">DICCIONARIO!$L$325</definedName>
    <definedName name="Z_TX_89_2_D">DICCIONARIO!$K$325</definedName>
    <definedName name="Z_TX_89_2_E">DICCIONARIO!$G$325</definedName>
    <definedName name="Z_TX_89_2_F">DICCIONARIO!$H$325</definedName>
    <definedName name="Z_TX_89_2_I">DICCIONARIO!$J$325</definedName>
    <definedName name="Z_TX_89_2_O">DICCIONARIO!$E$325</definedName>
    <definedName name="Z_TX_89_2_P">DICCIONARIO!$I$325</definedName>
    <definedName name="Z_TX_89_2_S">DICCIONARIO!$F$325</definedName>
    <definedName name="Z_TX_89_3_">DICCIONARIO!$L$326</definedName>
    <definedName name="Z_TX_89_3_D">DICCIONARIO!$K$326</definedName>
    <definedName name="Z_TX_89_3_E">DICCIONARIO!$G$326</definedName>
    <definedName name="Z_TX_89_3_F">DICCIONARIO!$H$326</definedName>
    <definedName name="Z_TX_89_3_I">DICCIONARIO!$J$326</definedName>
    <definedName name="Z_TX_89_3_O">DICCIONARIO!$E$326</definedName>
    <definedName name="Z_TX_89_3_P">DICCIONARIO!$I$326</definedName>
    <definedName name="Z_TX_89_3_S">DICCIONARIO!$F$326</definedName>
    <definedName name="Z_TX_90_1_">DICCIONARIO!$L$327</definedName>
    <definedName name="Z_TX_90_1_D">DICCIONARIO!$K$327</definedName>
    <definedName name="Z_TX_90_1_E">DICCIONARIO!$G$327</definedName>
    <definedName name="Z_TX_90_1_F">DICCIONARIO!$H$327</definedName>
    <definedName name="Z_TX_90_1_I">DICCIONARIO!$J$327</definedName>
    <definedName name="Z_TX_90_1_O">DICCIONARIO!$E$327</definedName>
    <definedName name="Z_TX_90_1_P">DICCIONARIO!$I$327</definedName>
    <definedName name="Z_TX_90_1_S">DICCIONARIO!$F$327</definedName>
    <definedName name="Z_TX_90_2_">DICCIONARIO!$L$328</definedName>
    <definedName name="Z_TX_90_2_D">DICCIONARIO!$K$328</definedName>
    <definedName name="Z_TX_90_2_E">DICCIONARIO!$G$328</definedName>
    <definedName name="Z_TX_90_2_F">DICCIONARIO!$H$328</definedName>
    <definedName name="Z_TX_90_2_I">DICCIONARIO!$J$328</definedName>
    <definedName name="Z_TX_90_2_O">DICCIONARIO!$E$328</definedName>
    <definedName name="Z_TX_90_2_P">DICCIONARIO!$I$328</definedName>
    <definedName name="Z_TX_90_2_S">DICCIONARIO!$F$328</definedName>
    <definedName name="Z_U7_?_">DICCIONARIO!$L$160</definedName>
    <definedName name="Z_U7_?_D">DICCIONARIO!$K$160</definedName>
    <definedName name="Z_U7_?_E">DICCIONARIO!$G$160</definedName>
    <definedName name="Z_U7_?_F">DICCIONARIO!$H$160</definedName>
    <definedName name="Z_U7_?_I">DICCIONARIO!$J$160</definedName>
    <definedName name="Z_U7_?_O">DICCIONARIO!$E$160</definedName>
    <definedName name="Z_U7_?_P">DICCIONARIO!$I$160</definedName>
    <definedName name="Z_U7_?_S">DICCIONARIO!$F$160</definedName>
    <definedName name="Z_VF_00_">DICCIONARIO!$L$104</definedName>
    <definedName name="Z_VF_00_D">DICCIONARIO!$K$104</definedName>
    <definedName name="Z_VF_00_E">DICCIONARIO!$G$104</definedName>
    <definedName name="Z_VF_00_F">DICCIONARIO!$H$104</definedName>
    <definedName name="Z_VF_00_I">DICCIONARIO!$J$104</definedName>
    <definedName name="Z_VF_00_O">DICCIONARIO!$E$104</definedName>
    <definedName name="Z_VF_00_P">DICCIONARIO!$I$104</definedName>
    <definedName name="Z_VF_00_S">DICCIONARIO!$F$104</definedName>
    <definedName name="Z_VF_01_">DICCIONARIO!$L$105</definedName>
    <definedName name="Z_VF_01_D">DICCIONARIO!$K$105</definedName>
    <definedName name="Z_VF_01_E">DICCIONARIO!$G$105</definedName>
    <definedName name="Z_VF_01_F">DICCIONARIO!$H$105</definedName>
    <definedName name="Z_VF_01_I">DICCIONARIO!$J$105</definedName>
    <definedName name="Z_VF_01_O">DICCIONARIO!$E$105</definedName>
    <definedName name="Z_VF_01_P">DICCIONARIO!$I$105</definedName>
    <definedName name="Z_VF_01_S">DICCIONARIO!$F$105</definedName>
    <definedName name="Z_VF_02_">DICCIONARIO!$L$106</definedName>
    <definedName name="Z_VF_02_D">DICCIONARIO!$K$106</definedName>
    <definedName name="Z_VF_02_E">DICCIONARIO!$G$106</definedName>
    <definedName name="Z_VF_02_F">DICCIONARIO!$H$106</definedName>
    <definedName name="Z_VF_02_I">DICCIONARIO!$J$106</definedName>
    <definedName name="Z_VF_02_O">DICCIONARIO!$E$106</definedName>
    <definedName name="Z_VF_02_P">DICCIONARIO!$I$106</definedName>
    <definedName name="Z_VF_02_S">DICCIONARIO!$F$106</definedName>
    <definedName name="za">'Formulario PP'!$AB$5</definedName>
  </definedNames>
  <calcPr calcId="162913"/>
  <extLst>
    <ext xmlns:x15="http://schemas.microsoft.com/office/spreadsheetml/2010/11/main" uri="{140A7094-0E35-4892-8432-C4D2E57EDEB5}">
      <x15:workbookPr chartTrackingRefBase="1"/>
    </ext>
  </extLst>
</workbook>
</file>

<file path=xl/calcChain.xml><?xml version="1.0" encoding="utf-8"?>
<calcChain xmlns="http://schemas.openxmlformats.org/spreadsheetml/2006/main">
  <c r="AC4" i="12" l="1"/>
  <c r="AB1" i="12"/>
  <c r="AC1" i="12" l="1"/>
  <c r="AC3" i="12"/>
  <c r="AC2" i="12"/>
  <c r="AB2" i="12"/>
  <c r="AA59" i="12"/>
  <c r="AA58" i="12"/>
  <c r="AA57" i="12"/>
  <c r="AA56" i="12"/>
  <c r="AA55" i="12"/>
  <c r="AA54" i="12"/>
  <c r="AA53" i="12"/>
  <c r="AA52" i="12"/>
  <c r="AA51" i="12"/>
  <c r="AA50" i="12"/>
  <c r="AA49" i="12"/>
  <c r="AA48" i="12"/>
  <c r="Y67" i="12"/>
  <c r="Y66" i="12"/>
  <c r="Y65" i="12"/>
  <c r="Y64" i="12"/>
  <c r="Y63" i="12"/>
  <c r="Y62" i="12"/>
  <c r="Y61" i="12"/>
  <c r="Y60" i="12"/>
  <c r="Y59" i="12"/>
  <c r="Y58" i="12"/>
  <c r="Y57" i="12"/>
  <c r="Y56" i="12"/>
  <c r="Y55" i="12"/>
  <c r="Y54" i="12"/>
  <c r="Y53" i="12"/>
  <c r="Y52" i="12"/>
  <c r="Y51" i="12"/>
  <c r="Y50" i="12"/>
  <c r="Y49" i="12"/>
  <c r="Y48" i="12"/>
  <c r="A6" i="47"/>
  <c r="AA47" i="12" l="1"/>
  <c r="Y47" i="12"/>
  <c r="A36" i="12" l="1"/>
  <c r="A6" i="14"/>
  <c r="B6" i="14"/>
  <c r="C6" i="14" s="1"/>
  <c r="D6" i="14"/>
  <c r="E6" i="14"/>
  <c r="AD3" i="16" l="1"/>
  <c r="AD2" i="16"/>
  <c r="A6" i="32" l="1"/>
  <c r="B6" i="32"/>
  <c r="C6" i="32" s="1"/>
  <c r="D6" i="32"/>
  <c r="E6" i="32"/>
  <c r="A6" i="17"/>
  <c r="A6" i="23"/>
  <c r="B6" i="23"/>
  <c r="A6" i="29"/>
  <c r="B6" i="29"/>
  <c r="C6" i="29"/>
  <c r="A6" i="30"/>
  <c r="B6" i="30"/>
  <c r="A6" i="44" l="1"/>
  <c r="C6" i="44"/>
  <c r="H1" i="23" l="1"/>
  <c r="H1" i="32"/>
  <c r="G34" i="46" l="1"/>
  <c r="M34" i="46" s="1"/>
  <c r="Z7" i="46"/>
  <c r="Z9" i="46" s="1"/>
  <c r="Z11" i="46" s="1"/>
  <c r="Z13" i="46" s="1"/>
  <c r="Z15" i="46" s="1"/>
  <c r="Z17" i="46" s="1"/>
  <c r="Z19" i="46" s="1"/>
  <c r="Z21" i="46" s="1"/>
  <c r="Z23" i="46" s="1"/>
  <c r="Z25" i="46" s="1"/>
  <c r="Z27" i="46" s="1"/>
  <c r="Z29" i="46" s="1"/>
  <c r="Z31" i="46" s="1"/>
  <c r="Z33" i="46" s="1"/>
  <c r="Z35" i="46" s="1"/>
  <c r="B9" i="19" l="1"/>
  <c r="AC4" i="15" l="1"/>
  <c r="AC1" i="15" l="1"/>
  <c r="AC3" i="15"/>
  <c r="AC2" i="15"/>
  <c r="AC4" i="31"/>
  <c r="AC1" i="31" s="1"/>
  <c r="AC3" i="31"/>
  <c r="AC2" i="31"/>
  <c r="AC4" i="16"/>
  <c r="AD1" i="16" s="1"/>
  <c r="AC3" i="16"/>
  <c r="AC2" i="16"/>
  <c r="AC4" i="22"/>
  <c r="AC3" i="22"/>
  <c r="AC2" i="22"/>
  <c r="AC4" i="28"/>
  <c r="AC1" i="28" s="1"/>
  <c r="AC3" i="28"/>
  <c r="AC2" i="28"/>
  <c r="AC4" i="27"/>
  <c r="AC3" i="27"/>
  <c r="AC2" i="27"/>
  <c r="AC4" i="43"/>
  <c r="AC3" i="43"/>
  <c r="AC2" i="43"/>
  <c r="AC1" i="27" l="1"/>
  <c r="AC1" i="43"/>
  <c r="AC1" i="22"/>
  <c r="AC1" i="16"/>
  <c r="T11" i="1" l="1"/>
  <c r="AC2" i="46" l="1"/>
  <c r="AC4" i="46"/>
  <c r="P5" i="12" l="1"/>
  <c r="AC1" i="46"/>
  <c r="G4" i="47" l="1"/>
  <c r="AC3" i="46" l="1"/>
  <c r="AB1" i="15" l="1"/>
  <c r="AB1" i="31"/>
  <c r="AB1" i="16"/>
  <c r="AB1" i="22"/>
  <c r="AB1" i="28"/>
  <c r="AB1" i="43"/>
  <c r="AB2" i="15"/>
  <c r="A36" i="15" s="1"/>
  <c r="AB2" i="31"/>
  <c r="A36" i="31" s="1"/>
  <c r="AB2" i="16"/>
  <c r="A36" i="16" s="1"/>
  <c r="AB2" i="22"/>
  <c r="A36" i="22" s="1"/>
  <c r="AB2" i="28"/>
  <c r="A36" i="28" s="1"/>
  <c r="AB2" i="27"/>
  <c r="A36" i="27" s="1"/>
  <c r="AB2" i="43"/>
  <c r="A36" i="43" s="1"/>
  <c r="AB1" i="46" l="1"/>
  <c r="AB1" i="27" l="1"/>
  <c r="AB2" i="46" l="1"/>
  <c r="A36" i="46" s="1"/>
  <c r="H4" i="19" l="1"/>
  <c r="H3" i="19"/>
  <c r="H2" i="19"/>
  <c r="J4" i="17" l="1"/>
  <c r="I4" i="17"/>
  <c r="N37" i="46" l="1"/>
  <c r="N37" i="43"/>
  <c r="N37" i="27"/>
  <c r="N37" i="28"/>
  <c r="N37" i="22"/>
  <c r="N37" i="16"/>
  <c r="N37" i="31"/>
  <c r="N37" i="15"/>
  <c r="B8" i="48"/>
  <c r="B8" i="45"/>
  <c r="B8" i="26"/>
  <c r="B8" i="25"/>
  <c r="B8" i="24"/>
  <c r="B8" i="21"/>
  <c r="B8" i="33"/>
  <c r="E4" i="19" l="1"/>
  <c r="E3" i="19"/>
  <c r="E2" i="19"/>
  <c r="C1" i="19" l="1"/>
  <c r="D8" i="19" l="1"/>
  <c r="K25" i="12" l="1"/>
  <c r="K23" i="12"/>
  <c r="E1" i="49" l="1"/>
  <c r="F1" i="49" s="1"/>
  <c r="G1" i="49" s="1"/>
  <c r="H1" i="49" s="1"/>
  <c r="I1" i="49" s="1"/>
  <c r="J1" i="49" s="1"/>
  <c r="K1" i="49" l="1"/>
  <c r="L1" i="49" s="1"/>
  <c r="M1" i="49" s="1"/>
  <c r="N1" i="49" s="1"/>
  <c r="O1" i="49" s="1"/>
  <c r="P1" i="49" s="1"/>
  <c r="C1" i="49"/>
  <c r="A3" i="49"/>
  <c r="B1" i="49" l="1"/>
  <c r="BX4" i="20"/>
  <c r="N3" i="49"/>
  <c r="K3" i="49"/>
  <c r="L3" i="49"/>
  <c r="M3" i="49"/>
  <c r="I3" i="49"/>
  <c r="J3" i="49"/>
  <c r="H3" i="49"/>
  <c r="G3" i="49"/>
  <c r="F3" i="49"/>
  <c r="E3" i="49"/>
  <c r="A4" i="50" l="1"/>
  <c r="O3" i="49"/>
  <c r="P3" i="49"/>
  <c r="B3" i="49" l="1"/>
  <c r="C3" i="49" s="1"/>
  <c r="D3" i="49" s="1"/>
  <c r="H1" i="14"/>
  <c r="B4" i="14"/>
  <c r="A1" i="48" l="1"/>
  <c r="A1" i="45"/>
  <c r="A1" i="26"/>
  <c r="A1" i="25"/>
  <c r="A1" i="24"/>
  <c r="A1" i="21"/>
  <c r="F4" i="47"/>
  <c r="H4" i="47"/>
  <c r="AF4" i="47"/>
  <c r="AG4" i="47"/>
  <c r="AH4" i="47"/>
  <c r="AI4" i="47"/>
  <c r="AJ4" i="47"/>
  <c r="H4" i="30"/>
  <c r="J4" i="30"/>
  <c r="L4" i="30"/>
  <c r="N4" i="30"/>
  <c r="P4" i="30"/>
  <c r="R4" i="30"/>
  <c r="T4" i="30"/>
  <c r="V4" i="30"/>
  <c r="X4" i="30"/>
  <c r="Z4" i="30"/>
  <c r="AB4" i="30"/>
  <c r="AD4" i="30"/>
  <c r="AJ4" i="30"/>
  <c r="E4" i="29"/>
  <c r="I4" i="29"/>
  <c r="L4" i="29"/>
  <c r="O4" i="29"/>
  <c r="R4" i="29"/>
  <c r="U4" i="29"/>
  <c r="X4" i="29"/>
  <c r="AA4" i="29"/>
  <c r="AD4" i="29"/>
  <c r="AJ4" i="29"/>
  <c r="G4" i="23"/>
  <c r="AJ4" i="23"/>
  <c r="X46" i="12"/>
  <c r="N3" i="23"/>
  <c r="AA3" i="14"/>
  <c r="J3" i="32"/>
  <c r="X3" i="14"/>
  <c r="K3" i="23"/>
  <c r="AC3" i="14"/>
  <c r="N3" i="44"/>
  <c r="X3" i="23"/>
  <c r="W3" i="32"/>
  <c r="B4" i="32" l="1"/>
  <c r="B4" i="30"/>
  <c r="B4" i="47"/>
  <c r="B4" i="23"/>
  <c r="B4" i="17"/>
  <c r="B4" i="29"/>
  <c r="B4" i="44"/>
  <c r="A1" i="18"/>
  <c r="A1" i="33"/>
  <c r="XEN5" i="16" l="1"/>
  <c r="XEZ7" i="16"/>
  <c r="XEN21" i="16"/>
  <c r="XEN23" i="16"/>
  <c r="XEN25" i="16"/>
  <c r="XEZ5" i="16"/>
  <c r="XEN27" i="16"/>
  <c r="O4" i="30" l="1"/>
  <c r="M4" i="30"/>
  <c r="K4" i="30"/>
  <c r="F4" i="30"/>
  <c r="H1" i="30"/>
  <c r="H1" i="29"/>
  <c r="J4" i="29"/>
  <c r="T4" i="29"/>
  <c r="Q4" i="29"/>
  <c r="N4" i="29"/>
  <c r="AD4" i="23"/>
  <c r="AB4" i="23"/>
  <c r="AA4" i="23"/>
  <c r="Y4" i="23"/>
  <c r="W4" i="23"/>
  <c r="U4" i="23"/>
  <c r="S4" i="23"/>
  <c r="Q4" i="23"/>
  <c r="O4" i="23"/>
  <c r="M4" i="23"/>
  <c r="K4" i="23"/>
  <c r="G4" i="30" l="1"/>
  <c r="Y4" i="30"/>
  <c r="AE4" i="30"/>
  <c r="AC4" i="30"/>
  <c r="AA4" i="30"/>
  <c r="W4" i="30"/>
  <c r="U4" i="30"/>
  <c r="S4" i="30"/>
  <c r="Q4" i="30"/>
  <c r="I4" i="30"/>
  <c r="AG4" i="30"/>
  <c r="AH4" i="30"/>
  <c r="AI4" i="30"/>
  <c r="AF4" i="30"/>
  <c r="AG4" i="29"/>
  <c r="AI4" i="29"/>
  <c r="AH4" i="29"/>
  <c r="AF4" i="29"/>
  <c r="AE4" i="29"/>
  <c r="AB4" i="29"/>
  <c r="Y4" i="29"/>
  <c r="S4" i="29"/>
  <c r="V4" i="29"/>
  <c r="P4" i="29"/>
  <c r="M4" i="29"/>
  <c r="F4" i="29"/>
  <c r="G4" i="29"/>
  <c r="H4" i="29"/>
  <c r="K4" i="29"/>
  <c r="AE4" i="23"/>
  <c r="I4" i="23"/>
  <c r="AI4" i="23"/>
  <c r="AH4" i="23"/>
  <c r="AG4" i="23"/>
  <c r="AF4" i="23"/>
  <c r="V4" i="23"/>
  <c r="Z4" i="23"/>
  <c r="T4" i="23"/>
  <c r="X4" i="23"/>
  <c r="R4" i="23"/>
  <c r="P4" i="23"/>
  <c r="N4" i="23"/>
  <c r="L4" i="23"/>
  <c r="J4" i="23"/>
  <c r="AC4" i="23"/>
  <c r="H4" i="23"/>
  <c r="F4" i="23"/>
  <c r="W4" i="29" l="1"/>
  <c r="AC4" i="29"/>
  <c r="Z4" i="29"/>
  <c r="Y4" i="14"/>
  <c r="H1" i="44" l="1"/>
  <c r="A14" i="35" l="1"/>
  <c r="B15" i="35"/>
  <c r="B16" i="35" s="1"/>
  <c r="A16" i="35" s="1"/>
  <c r="A78" i="35"/>
  <c r="B79" i="35"/>
  <c r="B80" i="35" s="1"/>
  <c r="A33" i="35"/>
  <c r="B34" i="35"/>
  <c r="B35" i="35" s="1"/>
  <c r="A88" i="35"/>
  <c r="B89" i="35"/>
  <c r="B90" i="35" s="1"/>
  <c r="A107" i="35"/>
  <c r="B108" i="35"/>
  <c r="B109" i="35" s="1"/>
  <c r="A109" i="35" s="1"/>
  <c r="A104" i="35"/>
  <c r="B105" i="35"/>
  <c r="B106" i="35" s="1"/>
  <c r="A106" i="35" s="1"/>
  <c r="A110" i="35"/>
  <c r="B111" i="35"/>
  <c r="B112" i="35" s="1"/>
  <c r="A114" i="35"/>
  <c r="B115" i="35"/>
  <c r="A115" i="35" s="1"/>
  <c r="A116" i="35"/>
  <c r="B117" i="35"/>
  <c r="B118" i="35" s="1"/>
  <c r="A135" i="35"/>
  <c r="B136" i="35"/>
  <c r="A3" i="35"/>
  <c r="B4" i="35"/>
  <c r="B5" i="35" s="1"/>
  <c r="A139" i="35"/>
  <c r="A140" i="35"/>
  <c r="B140" i="35"/>
  <c r="B141" i="35" s="1"/>
  <c r="B142" i="35" s="1"/>
  <c r="B143" i="35" s="1"/>
  <c r="B144" i="35" s="1"/>
  <c r="B145" i="35" s="1"/>
  <c r="B146" i="35" s="1"/>
  <c r="B147" i="35" s="1"/>
  <c r="B148" i="35" s="1"/>
  <c r="B149" i="35" s="1"/>
  <c r="B150" i="35" s="1"/>
  <c r="B151" i="35" s="1"/>
  <c r="B152" i="35" s="1"/>
  <c r="B153" i="35" s="1"/>
  <c r="B154" i="35" s="1"/>
  <c r="B155" i="35" s="1"/>
  <c r="B156" i="35" s="1"/>
  <c r="B157" i="35" s="1"/>
  <c r="A141" i="35"/>
  <c r="A142" i="35"/>
  <c r="A143" i="35"/>
  <c r="A144" i="35"/>
  <c r="A145" i="35"/>
  <c r="A146" i="35"/>
  <c r="A147" i="35"/>
  <c r="A148" i="35"/>
  <c r="A149" i="35"/>
  <c r="A150" i="35"/>
  <c r="A151" i="35"/>
  <c r="A152" i="35"/>
  <c r="A153" i="35"/>
  <c r="A154" i="35"/>
  <c r="A155" i="35"/>
  <c r="A156" i="35"/>
  <c r="A157" i="35"/>
  <c r="A158" i="35"/>
  <c r="A159" i="35"/>
  <c r="B159" i="35"/>
  <c r="B160" i="35" s="1"/>
  <c r="B161" i="35" s="1"/>
  <c r="B162" i="35" s="1"/>
  <c r="B163" i="35" s="1"/>
  <c r="B164" i="35" s="1"/>
  <c r="B165" i="35" s="1"/>
  <c r="B166" i="35" s="1"/>
  <c r="B167" i="35" s="1"/>
  <c r="B168" i="35" s="1"/>
  <c r="B169" i="35" s="1"/>
  <c r="B170" i="35" s="1"/>
  <c r="B171" i="35" s="1"/>
  <c r="B172" i="35" s="1"/>
  <c r="B173" i="35" s="1"/>
  <c r="B174" i="35" s="1"/>
  <c r="A160" i="35"/>
  <c r="A161" i="35"/>
  <c r="A162" i="35"/>
  <c r="A163" i="35"/>
  <c r="A164" i="35"/>
  <c r="A165" i="35"/>
  <c r="A166" i="35"/>
  <c r="A167" i="35"/>
  <c r="A168" i="35"/>
  <c r="A169" i="35"/>
  <c r="A170" i="35"/>
  <c r="A171" i="35"/>
  <c r="A172" i="35"/>
  <c r="A173" i="35"/>
  <c r="A174" i="35"/>
  <c r="A175" i="35"/>
  <c r="A176" i="35"/>
  <c r="A177" i="35"/>
  <c r="A178" i="35"/>
  <c r="A179" i="35"/>
  <c r="A180" i="35"/>
  <c r="A181" i="35"/>
  <c r="A182" i="35"/>
  <c r="A183" i="35"/>
  <c r="A184" i="35"/>
  <c r="A185" i="35"/>
  <c r="A186" i="35"/>
  <c r="A187" i="35"/>
  <c r="A188" i="35"/>
  <c r="B190" i="35"/>
  <c r="B191" i="35" s="1"/>
  <c r="B192" i="35" s="1"/>
  <c r="A192" i="35" s="1"/>
  <c r="E1" i="35"/>
  <c r="A136" i="35" l="1"/>
  <c r="B137" i="35"/>
  <c r="A108" i="35"/>
  <c r="A15" i="35"/>
  <c r="B17" i="35"/>
  <c r="B18" i="35" s="1"/>
  <c r="A118" i="35"/>
  <c r="B119" i="35"/>
  <c r="B120" i="35" s="1"/>
  <c r="A117" i="35"/>
  <c r="A111" i="35"/>
  <c r="A79" i="35"/>
  <c r="A35" i="35"/>
  <c r="B36" i="35"/>
  <c r="A36" i="35" s="1"/>
  <c r="A5" i="35"/>
  <c r="B6" i="35"/>
  <c r="B7" i="35" s="1"/>
  <c r="B113" i="35"/>
  <c r="A113" i="35" s="1"/>
  <c r="A112" i="35"/>
  <c r="A190" i="35"/>
  <c r="A4" i="35"/>
  <c r="A34" i="35"/>
  <c r="A105" i="35"/>
  <c r="A89" i="35"/>
  <c r="B175" i="35"/>
  <c r="B179" i="35"/>
  <c r="B178" i="35"/>
  <c r="B193" i="35"/>
  <c r="A80" i="35"/>
  <c r="B81" i="35"/>
  <c r="A191" i="35"/>
  <c r="A90" i="35"/>
  <c r="B91" i="35"/>
  <c r="W3" i="47"/>
  <c r="G3" i="32"/>
  <c r="S3" i="29"/>
  <c r="P3" i="14"/>
  <c r="L3" i="29"/>
  <c r="AA3" i="44"/>
  <c r="AA3" i="29"/>
  <c r="K3" i="44"/>
  <c r="F3" i="23"/>
  <c r="P3" i="30"/>
  <c r="AF3" i="47"/>
  <c r="K3" i="30"/>
  <c r="AF3" i="30"/>
  <c r="AB3" i="47"/>
  <c r="Y3" i="29"/>
  <c r="H3" i="47"/>
  <c r="M3" i="14"/>
  <c r="O3" i="30"/>
  <c r="B3" i="23"/>
  <c r="X3" i="44"/>
  <c r="I3" i="29"/>
  <c r="Q3" i="14"/>
  <c r="I3" i="23"/>
  <c r="AD3" i="17"/>
  <c r="G3" i="30"/>
  <c r="Q3" i="44"/>
  <c r="F3" i="17"/>
  <c r="AD3" i="47"/>
  <c r="T3" i="30"/>
  <c r="AB3" i="14"/>
  <c r="L3" i="30"/>
  <c r="D3" i="47"/>
  <c r="X3" i="32"/>
  <c r="AI3" i="44"/>
  <c r="AI3" i="23"/>
  <c r="M3" i="30"/>
  <c r="R3" i="23"/>
  <c r="I3" i="17"/>
  <c r="M3" i="29"/>
  <c r="A3" i="44"/>
  <c r="P3" i="17"/>
  <c r="R3" i="30"/>
  <c r="AJ3" i="14"/>
  <c r="N3" i="32"/>
  <c r="X3" i="17"/>
  <c r="E3" i="17"/>
  <c r="B3" i="30"/>
  <c r="AD3" i="14"/>
  <c r="H3" i="29"/>
  <c r="AA3" i="17"/>
  <c r="M3" i="32"/>
  <c r="D3" i="14"/>
  <c r="V3" i="44"/>
  <c r="W3" i="30"/>
  <c r="I3" i="44"/>
  <c r="G3" i="23"/>
  <c r="AH3" i="44"/>
  <c r="C3" i="14"/>
  <c r="T3" i="29"/>
  <c r="V3" i="23"/>
  <c r="H3" i="23"/>
  <c r="F3" i="44"/>
  <c r="S3" i="47"/>
  <c r="U3" i="32"/>
  <c r="AD3" i="32"/>
  <c r="R3" i="32"/>
  <c r="E3" i="47"/>
  <c r="W3" i="44"/>
  <c r="T3" i="32"/>
  <c r="B3" i="14"/>
  <c r="H3" i="32"/>
  <c r="X3" i="47"/>
  <c r="L3" i="17"/>
  <c r="AG3" i="44"/>
  <c r="U3" i="29"/>
  <c r="S3" i="32"/>
  <c r="AE3" i="44"/>
  <c r="C3" i="30"/>
  <c r="AC3" i="32"/>
  <c r="M44" i="12"/>
  <c r="AF3" i="29"/>
  <c r="A3" i="47"/>
  <c r="R3" i="14"/>
  <c r="AG3" i="47"/>
  <c r="O3" i="47"/>
  <c r="G3" i="47"/>
  <c r="B3" i="17"/>
  <c r="M39" i="12"/>
  <c r="Z3" i="30"/>
  <c r="O3" i="29"/>
  <c r="G3" i="14"/>
  <c r="AG3" i="14"/>
  <c r="O3" i="44"/>
  <c r="H3" i="44"/>
  <c r="D3" i="23"/>
  <c r="U3" i="30"/>
  <c r="AH3" i="47"/>
  <c r="C3" i="29"/>
  <c r="J3" i="30"/>
  <c r="E3" i="23"/>
  <c r="I3" i="30"/>
  <c r="AA3" i="30"/>
  <c r="AI3" i="29"/>
  <c r="V3" i="14"/>
  <c r="AB3" i="17"/>
  <c r="Y3" i="44"/>
  <c r="AE3" i="23"/>
  <c r="K3" i="32"/>
  <c r="J3" i="17"/>
  <c r="M3" i="47"/>
  <c r="AC3" i="17"/>
  <c r="F3" i="14"/>
  <c r="J3" i="14"/>
  <c r="U3" i="17"/>
  <c r="N3" i="17"/>
  <c r="N3" i="30"/>
  <c r="AF3" i="44"/>
  <c r="I3" i="14"/>
  <c r="Z3" i="14"/>
  <c r="A3" i="32"/>
  <c r="M43" i="12"/>
  <c r="O3" i="14"/>
  <c r="N3" i="29"/>
  <c r="T3" i="44"/>
  <c r="AH3" i="30"/>
  <c r="T3" i="47"/>
  <c r="Y3" i="17"/>
  <c r="AH3" i="32"/>
  <c r="M38" i="12"/>
  <c r="Z3" i="32"/>
  <c r="AC3" i="23"/>
  <c r="N3" i="14"/>
  <c r="AH3" i="29"/>
  <c r="AJ3" i="47"/>
  <c r="F3" i="32"/>
  <c r="AG3" i="17"/>
  <c r="AJ3" i="30"/>
  <c r="T3" i="14"/>
  <c r="O3" i="32"/>
  <c r="Q3" i="17"/>
  <c r="E3" i="14"/>
  <c r="I3" i="47"/>
  <c r="AI3" i="14"/>
  <c r="Q3" i="32"/>
  <c r="T3" i="23"/>
  <c r="AF3" i="32"/>
  <c r="Q3" i="23"/>
  <c r="M3" i="17"/>
  <c r="AC3" i="29"/>
  <c r="AA3" i="47"/>
  <c r="W3" i="14"/>
  <c r="M41" i="12"/>
  <c r="AD3" i="44"/>
  <c r="J3" i="47"/>
  <c r="L3" i="14"/>
  <c r="AI3" i="30"/>
  <c r="A3" i="23"/>
  <c r="R3" i="29"/>
  <c r="Z3" i="23"/>
  <c r="AC3" i="47"/>
  <c r="T3" i="17"/>
  <c r="C3" i="23"/>
  <c r="AF3" i="14"/>
  <c r="E3" i="29"/>
  <c r="L3" i="47"/>
  <c r="Z3" i="17"/>
  <c r="K3" i="17"/>
  <c r="AG3" i="23"/>
  <c r="M3" i="44"/>
  <c r="U3" i="23"/>
  <c r="AC3" i="30"/>
  <c r="R3" i="44"/>
  <c r="G3" i="29"/>
  <c r="D3" i="30"/>
  <c r="AB3" i="32"/>
  <c r="AG3" i="32"/>
  <c r="W3" i="29"/>
  <c r="AF3" i="17"/>
  <c r="J3" i="29"/>
  <c r="AJ3" i="23"/>
  <c r="AJ3" i="44"/>
  <c r="L3" i="32"/>
  <c r="AE3" i="32"/>
  <c r="W3" i="17"/>
  <c r="G3" i="17"/>
  <c r="K3" i="14"/>
  <c r="B3" i="32"/>
  <c r="W3" i="23"/>
  <c r="P3" i="47"/>
  <c r="N3" i="47"/>
  <c r="AG3" i="30"/>
  <c r="M42" i="12"/>
  <c r="D3" i="17"/>
  <c r="AI3" i="17"/>
  <c r="Z3" i="44"/>
  <c r="V3" i="47"/>
  <c r="AJ3" i="17"/>
  <c r="M3" i="23"/>
  <c r="L3" i="23"/>
  <c r="S3" i="44"/>
  <c r="AA3" i="23"/>
  <c r="Y3" i="32"/>
  <c r="AE3" i="47"/>
  <c r="AH3" i="14"/>
  <c r="A3" i="30"/>
  <c r="X3" i="30"/>
  <c r="H3" i="17"/>
  <c r="A3" i="17"/>
  <c r="J3" i="23"/>
  <c r="F3" i="47"/>
  <c r="V3" i="17"/>
  <c r="L3" i="44"/>
  <c r="Z3" i="29"/>
  <c r="P3" i="29"/>
  <c r="B3" i="29"/>
  <c r="F3" i="29"/>
  <c r="AJ3" i="32"/>
  <c r="J3" i="44"/>
  <c r="U3" i="44"/>
  <c r="R3" i="47"/>
  <c r="Y3" i="30"/>
  <c r="U3" i="14"/>
  <c r="AJ3" i="29"/>
  <c r="C3" i="47"/>
  <c r="K3" i="47"/>
  <c r="AB3" i="30"/>
  <c r="O3" i="23"/>
  <c r="AF3" i="23"/>
  <c r="AE3" i="17"/>
  <c r="P3" i="44"/>
  <c r="G3" i="44"/>
  <c r="V3" i="32"/>
  <c r="S3" i="14"/>
  <c r="O3" i="17"/>
  <c r="AH3" i="23"/>
  <c r="S3" i="17"/>
  <c r="I3" i="32"/>
  <c r="AH3" i="17"/>
  <c r="C3" i="17"/>
  <c r="V3" i="29"/>
  <c r="C3" i="32"/>
  <c r="Z3" i="47"/>
  <c r="V3" i="30"/>
  <c r="AE3" i="29"/>
  <c r="Y3" i="23"/>
  <c r="A3" i="14"/>
  <c r="AC3" i="44"/>
  <c r="AD3" i="23"/>
  <c r="B3" i="47"/>
  <c r="AI3" i="47"/>
  <c r="P3" i="32"/>
  <c r="AI3" i="32"/>
  <c r="AE3" i="14"/>
  <c r="R3" i="17"/>
  <c r="Q3" i="47"/>
  <c r="H3" i="14"/>
  <c r="X3" i="29"/>
  <c r="AD3" i="29"/>
  <c r="Y3" i="47"/>
  <c r="E3" i="32"/>
  <c r="AB3" i="29"/>
  <c r="S3" i="30"/>
  <c r="AA3" i="32"/>
  <c r="A3" i="29"/>
  <c r="AG3" i="29"/>
  <c r="D3" i="29"/>
  <c r="H3" i="30"/>
  <c r="P3" i="23"/>
  <c r="S3" i="23"/>
  <c r="AB3" i="44"/>
  <c r="E3" i="30"/>
  <c r="D3" i="32"/>
  <c r="U3" i="47"/>
  <c r="Q3" i="30"/>
  <c r="AB3" i="23"/>
  <c r="Y3" i="14"/>
  <c r="Q3" i="29"/>
  <c r="AE3" i="30"/>
  <c r="F3" i="30"/>
  <c r="K3" i="29"/>
  <c r="AD3" i="30"/>
  <c r="B7" i="21" l="1"/>
  <c r="B7" i="24"/>
  <c r="B7" i="25"/>
  <c r="B7" i="26"/>
  <c r="B7" i="45"/>
  <c r="B7" i="48"/>
  <c r="A137" i="35"/>
  <c r="B138" i="35"/>
  <c r="A138" i="35" s="1"/>
  <c r="A119" i="35"/>
  <c r="A17" i="35"/>
  <c r="A6" i="35"/>
  <c r="B37" i="35"/>
  <c r="A37" i="35" s="1"/>
  <c r="A120" i="35"/>
  <c r="B121" i="35"/>
  <c r="A18" i="35"/>
  <c r="B19" i="35"/>
  <c r="B82" i="35"/>
  <c r="A81" i="35"/>
  <c r="B194" i="35"/>
  <c r="B196" i="35"/>
  <c r="A193" i="35"/>
  <c r="B92" i="35"/>
  <c r="A91" i="35"/>
  <c r="A7" i="35"/>
  <c r="B8" i="35"/>
  <c r="B176" i="35"/>
  <c r="B180" i="35"/>
  <c r="N41" i="12"/>
  <c r="N44" i="12"/>
  <c r="N43" i="12"/>
  <c r="N39" i="12"/>
  <c r="N38" i="12"/>
  <c r="N42" i="12"/>
  <c r="L44" i="12" l="1"/>
  <c r="L38" i="12"/>
  <c r="L43" i="12"/>
  <c r="L42" i="12"/>
  <c r="L39" i="12"/>
  <c r="L41" i="12"/>
  <c r="B38" i="35"/>
  <c r="B39" i="35" s="1"/>
  <c r="B20" i="35"/>
  <c r="A19" i="35"/>
  <c r="A194" i="35"/>
  <c r="B195" i="35"/>
  <c r="A195" i="35" s="1"/>
  <c r="B122" i="35"/>
  <c r="A121" i="35"/>
  <c r="B177" i="35"/>
  <c r="B182" i="35" s="1"/>
  <c r="B184" i="35" s="1"/>
  <c r="B186" i="35" s="1"/>
  <c r="B181" i="35"/>
  <c r="B183" i="35" s="1"/>
  <c r="B185" i="35" s="1"/>
  <c r="B187" i="35" s="1"/>
  <c r="A196" i="35"/>
  <c r="B197" i="35"/>
  <c r="A92" i="35"/>
  <c r="B93" i="35"/>
  <c r="B9" i="35"/>
  <c r="A8" i="35"/>
  <c r="A82" i="35"/>
  <c r="B83" i="35"/>
  <c r="B85" i="35"/>
  <c r="A85" i="35" s="1"/>
  <c r="A38" i="35" l="1"/>
  <c r="A39" i="35"/>
  <c r="B40" i="35"/>
  <c r="B198" i="35"/>
  <c r="A197" i="35"/>
  <c r="A9" i="35"/>
  <c r="B10" i="35"/>
  <c r="A122" i="35"/>
  <c r="B123" i="35"/>
  <c r="B84" i="35"/>
  <c r="A84" i="35" s="1"/>
  <c r="B86" i="35"/>
  <c r="A83" i="35"/>
  <c r="B94" i="35"/>
  <c r="A93" i="35"/>
  <c r="A20" i="35"/>
  <c r="B21" i="35"/>
  <c r="A94" i="35" l="1"/>
  <c r="B95" i="35"/>
  <c r="B124" i="35"/>
  <c r="A123" i="35"/>
  <c r="B22" i="35"/>
  <c r="A21" i="35"/>
  <c r="A198" i="35"/>
  <c r="B199" i="35"/>
  <c r="A86" i="35"/>
  <c r="B87" i="35"/>
  <c r="A87" i="35" s="1"/>
  <c r="B11" i="35"/>
  <c r="A10" i="35"/>
  <c r="B41" i="35"/>
  <c r="A40" i="35"/>
  <c r="A11" i="35" l="1"/>
  <c r="B12" i="35"/>
  <c r="A124" i="35"/>
  <c r="B125" i="35"/>
  <c r="B200" i="35"/>
  <c r="A200" i="35" s="1"/>
  <c r="A199" i="35"/>
  <c r="B201" i="35"/>
  <c r="B96" i="35"/>
  <c r="A95" i="35"/>
  <c r="A41" i="35"/>
  <c r="B42" i="35"/>
  <c r="A22" i="35"/>
  <c r="B23" i="35"/>
  <c r="A96" i="35" l="1"/>
  <c r="B97" i="35"/>
  <c r="B126" i="35"/>
  <c r="A125" i="35"/>
  <c r="B43" i="35"/>
  <c r="A42" i="35"/>
  <c r="B202" i="35"/>
  <c r="A201" i="35"/>
  <c r="B13" i="35"/>
  <c r="A13" i="35" s="1"/>
  <c r="A12" i="35"/>
  <c r="B24" i="35"/>
  <c r="A23" i="35"/>
  <c r="A24" i="35" l="1"/>
  <c r="B25" i="35"/>
  <c r="A202" i="35"/>
  <c r="B203" i="35"/>
  <c r="A126" i="35"/>
  <c r="B127" i="35"/>
  <c r="B98" i="35"/>
  <c r="A97" i="35"/>
  <c r="A43" i="35"/>
  <c r="B44" i="35"/>
  <c r="B204" i="35" l="1"/>
  <c r="A204" i="35" s="1"/>
  <c r="A203" i="35"/>
  <c r="B205" i="35"/>
  <c r="A98" i="35"/>
  <c r="B99" i="35"/>
  <c r="B45" i="35"/>
  <c r="A44" i="35"/>
  <c r="B128" i="35"/>
  <c r="A127" i="35"/>
  <c r="B26" i="35"/>
  <c r="A25" i="35"/>
  <c r="A128" i="35" l="1"/>
  <c r="B129" i="35"/>
  <c r="B206" i="35"/>
  <c r="A205" i="35"/>
  <c r="A26" i="35"/>
  <c r="B27" i="35"/>
  <c r="A45" i="35"/>
  <c r="B46" i="35"/>
  <c r="B100" i="35"/>
  <c r="A99" i="35"/>
  <c r="B47" i="35" l="1"/>
  <c r="A46" i="35"/>
  <c r="B207" i="35"/>
  <c r="A206" i="35"/>
  <c r="B130" i="35"/>
  <c r="A129" i="35"/>
  <c r="B28" i="35"/>
  <c r="A27" i="35"/>
  <c r="A100" i="35"/>
  <c r="B102" i="35"/>
  <c r="A102" i="35" s="1"/>
  <c r="B101" i="35"/>
  <c r="B103" i="35" l="1"/>
  <c r="A103" i="35" s="1"/>
  <c r="A101" i="35"/>
  <c r="A28" i="35"/>
  <c r="B29" i="35"/>
  <c r="B208" i="35"/>
  <c r="A207" i="35"/>
  <c r="A130" i="35"/>
  <c r="B131" i="35"/>
  <c r="A47" i="35"/>
  <c r="B48" i="35"/>
  <c r="B132" i="35" l="1"/>
  <c r="A131" i="35"/>
  <c r="B30" i="35"/>
  <c r="A29" i="35"/>
  <c r="B49" i="35"/>
  <c r="A48" i="35"/>
  <c r="B209" i="35"/>
  <c r="A208" i="35"/>
  <c r="B210" i="35" l="1"/>
  <c r="A209" i="35"/>
  <c r="A30" i="35"/>
  <c r="B31" i="35"/>
  <c r="A49" i="35"/>
  <c r="B50" i="35"/>
  <c r="A132" i="35"/>
  <c r="B133" i="35"/>
  <c r="B134" i="35" l="1"/>
  <c r="A134" i="35" s="1"/>
  <c r="A133" i="35"/>
  <c r="B32" i="35"/>
  <c r="A32" i="35" s="1"/>
  <c r="A31" i="35"/>
  <c r="B51" i="35"/>
  <c r="A50" i="35"/>
  <c r="A210" i="35"/>
  <c r="B211" i="35"/>
  <c r="B212" i="35" l="1"/>
  <c r="A211" i="35"/>
  <c r="A51" i="35"/>
  <c r="B52" i="35"/>
  <c r="B53" i="35" l="1"/>
  <c r="A52" i="35"/>
  <c r="A212" i="35"/>
  <c r="B213" i="35"/>
  <c r="B214" i="35" l="1"/>
  <c r="A213" i="35"/>
  <c r="A53" i="35"/>
  <c r="B54" i="35"/>
  <c r="B55" i="35" l="1"/>
  <c r="A54" i="35"/>
  <c r="A214" i="35"/>
  <c r="B215" i="35"/>
  <c r="B216" i="35" l="1"/>
  <c r="A215" i="35"/>
  <c r="A55" i="35"/>
  <c r="B56" i="35"/>
  <c r="B57" i="35" l="1"/>
  <c r="A56" i="35"/>
  <c r="B217" i="35"/>
  <c r="A216" i="35"/>
  <c r="B218" i="35" l="1"/>
  <c r="A217" i="35"/>
  <c r="A57" i="35"/>
  <c r="B58" i="35"/>
  <c r="B59" i="35" l="1"/>
  <c r="A58" i="35"/>
  <c r="A218" i="35"/>
  <c r="B219" i="35"/>
  <c r="B220" i="35" l="1"/>
  <c r="A219" i="35"/>
  <c r="A59" i="35"/>
  <c r="B60" i="35"/>
  <c r="B61" i="35" l="1"/>
  <c r="A60" i="35"/>
  <c r="A220" i="35"/>
  <c r="B221" i="35"/>
  <c r="B222" i="35" l="1"/>
  <c r="A221" i="35"/>
  <c r="A61" i="35"/>
  <c r="B62" i="35"/>
  <c r="B63" i="35" l="1"/>
  <c r="A62" i="35"/>
  <c r="A222" i="35"/>
  <c r="B223" i="35"/>
  <c r="B224" i="35" l="1"/>
  <c r="A223" i="35"/>
  <c r="A63" i="35"/>
  <c r="B64" i="35"/>
  <c r="B65" i="35" l="1"/>
  <c r="A64" i="35"/>
  <c r="B225" i="35"/>
  <c r="A224" i="35"/>
  <c r="B226" i="35" l="1"/>
  <c r="A225" i="35"/>
  <c r="A65" i="35"/>
  <c r="B66" i="35"/>
  <c r="B67" i="35" l="1"/>
  <c r="A67" i="35" s="1"/>
  <c r="A66" i="35"/>
  <c r="B68" i="35"/>
  <c r="B227" i="35"/>
  <c r="A226" i="35"/>
  <c r="B228" i="35" l="1"/>
  <c r="A227" i="35"/>
  <c r="B69" i="35"/>
  <c r="A68" i="35"/>
  <c r="A69" i="35" l="1"/>
  <c r="B70" i="35"/>
  <c r="A228" i="35"/>
  <c r="B229" i="35"/>
  <c r="B71" i="35" l="1"/>
  <c r="A70" i="35"/>
  <c r="B74" i="35"/>
  <c r="A74" i="35" s="1"/>
  <c r="B230" i="35"/>
  <c r="A229" i="35"/>
  <c r="B231" i="35" l="1"/>
  <c r="A230" i="35"/>
  <c r="B75" i="35"/>
  <c r="A75" i="35" s="1"/>
  <c r="A71" i="35"/>
  <c r="B72" i="35"/>
  <c r="B73" i="35" l="1"/>
  <c r="A72" i="35"/>
  <c r="B76" i="35"/>
  <c r="A76" i="35" s="1"/>
  <c r="B232" i="35"/>
  <c r="B237" i="35" s="1"/>
  <c r="A237" i="35" s="1"/>
  <c r="A231" i="35"/>
  <c r="B233" i="35" l="1"/>
  <c r="B236" i="35" s="1"/>
  <c r="A236" i="35" s="1"/>
  <c r="A232" i="35"/>
  <c r="B77" i="35"/>
  <c r="A77" i="35" s="1"/>
  <c r="A73" i="35"/>
  <c r="B234" i="35" l="1"/>
  <c r="A233" i="35"/>
  <c r="A234" i="35" l="1"/>
  <c r="B235" i="35"/>
  <c r="B238" i="35" l="1"/>
  <c r="A235" i="35"/>
  <c r="B239" i="35" l="1"/>
  <c r="A238" i="35"/>
  <c r="A239" i="35" l="1"/>
  <c r="B240" i="35"/>
  <c r="B241" i="35" l="1"/>
  <c r="A240" i="35"/>
  <c r="B242" i="35" l="1"/>
  <c r="A241" i="35"/>
  <c r="B243" i="35" l="1"/>
  <c r="A242" i="35"/>
  <c r="A243" i="35" l="1"/>
  <c r="B244" i="35"/>
  <c r="B245" i="35" l="1"/>
  <c r="A244" i="35"/>
  <c r="B246" i="35" l="1"/>
  <c r="A245" i="35"/>
  <c r="B247" i="35" l="1"/>
  <c r="A246" i="35"/>
  <c r="A247" i="35" l="1"/>
  <c r="B248" i="35"/>
  <c r="B249" i="35" l="1"/>
  <c r="A248" i="35"/>
  <c r="B250" i="35" l="1"/>
  <c r="A249" i="35"/>
  <c r="B251" i="35" l="1"/>
  <c r="A250" i="35"/>
  <c r="A251" i="35" l="1"/>
  <c r="B252" i="35"/>
  <c r="B253" i="35" l="1"/>
  <c r="A252" i="35"/>
  <c r="B254" i="35" l="1"/>
  <c r="A253" i="35"/>
  <c r="B255" i="35" l="1"/>
  <c r="A254" i="35"/>
  <c r="A255" i="35" l="1"/>
  <c r="B256" i="35"/>
  <c r="B257" i="35" l="1"/>
  <c r="A256" i="35"/>
  <c r="B258" i="35" l="1"/>
  <c r="A257" i="35"/>
  <c r="B259" i="35" l="1"/>
  <c r="A258" i="35"/>
  <c r="B260" i="35" l="1"/>
  <c r="A259" i="35"/>
  <c r="B261" i="35" l="1"/>
  <c r="A260" i="35"/>
  <c r="B262" i="35" l="1"/>
  <c r="A261" i="35"/>
  <c r="B263" i="35" l="1"/>
  <c r="A262" i="35"/>
  <c r="B264" i="35" l="1"/>
  <c r="A263" i="35"/>
  <c r="B265" i="35" l="1"/>
  <c r="A264" i="35"/>
  <c r="A265" i="35" l="1"/>
  <c r="B189" i="35"/>
  <c r="A189" i="35" l="1"/>
  <c r="B266" i="35"/>
  <c r="B267" i="35" l="1"/>
  <c r="A266" i="35"/>
  <c r="B268" i="35" l="1"/>
  <c r="A267" i="35"/>
  <c r="B269" i="35" l="1"/>
  <c r="A268" i="35"/>
  <c r="B270" i="35" l="1"/>
  <c r="A269" i="35"/>
  <c r="B271" i="35" l="1"/>
  <c r="A270" i="35"/>
  <c r="B272" i="35" l="1"/>
  <c r="A271" i="35"/>
  <c r="B273" i="35" l="1"/>
  <c r="A272" i="35"/>
  <c r="A273" i="35" l="1"/>
  <c r="B274" i="35"/>
  <c r="B275" i="35" l="1"/>
  <c r="A274" i="35"/>
  <c r="B276" i="35" l="1"/>
  <c r="A275" i="35"/>
  <c r="B277" i="35" l="1"/>
  <c r="A276" i="35"/>
  <c r="A277" i="35" l="1"/>
  <c r="B278" i="35"/>
  <c r="B279" i="35" l="1"/>
  <c r="A278" i="35"/>
  <c r="B280" i="35" l="1"/>
  <c r="A279" i="35"/>
  <c r="B281" i="35" l="1"/>
  <c r="A280" i="35"/>
  <c r="A281" i="35" l="1"/>
  <c r="B282" i="35"/>
  <c r="B283" i="35" l="1"/>
  <c r="A282" i="35"/>
  <c r="B284" i="35" l="1"/>
  <c r="A283" i="35"/>
  <c r="B285" i="35" l="1"/>
  <c r="B287" i="35" s="1"/>
  <c r="A287" i="35" s="1"/>
  <c r="A284" i="35"/>
  <c r="A285" i="35" l="1"/>
  <c r="B286" i="35"/>
  <c r="B288" i="35" s="1"/>
  <c r="A288" i="35" s="1"/>
  <c r="B292" i="35" l="1"/>
  <c r="A292" i="35" s="1"/>
  <c r="A286" i="35"/>
  <c r="B289" i="35" l="1"/>
  <c r="A289" i="35" l="1"/>
  <c r="B290" i="35"/>
  <c r="B293" i="35"/>
  <c r="A290" i="35" l="1"/>
  <c r="B291" i="35"/>
  <c r="A291" i="35" s="1"/>
  <c r="A293" i="35"/>
  <c r="B294" i="35"/>
  <c r="B295" i="35" l="1"/>
  <c r="A294" i="35"/>
  <c r="A295" i="35" l="1"/>
  <c r="B296" i="35"/>
  <c r="A296" i="35" l="1"/>
  <c r="B297" i="35"/>
  <c r="B298" i="35" s="1"/>
  <c r="A298" i="35" s="1"/>
  <c r="AB2" i="20"/>
  <c r="AA1" i="20"/>
  <c r="AY1" i="20" s="1"/>
  <c r="B299" i="35" l="1"/>
  <c r="A297" i="35"/>
  <c r="AC2" i="20"/>
  <c r="B300" i="35" l="1"/>
  <c r="A299" i="35"/>
  <c r="AD2" i="20"/>
  <c r="AB1" i="20"/>
  <c r="AZ1" i="20" s="1"/>
  <c r="B301" i="35" l="1"/>
  <c r="A300" i="35"/>
  <c r="AE2" i="20"/>
  <c r="AC1" i="20"/>
  <c r="BA1" i="20" s="1"/>
  <c r="A301" i="35" l="1"/>
  <c r="B302" i="35"/>
  <c r="AF2" i="20"/>
  <c r="AD1" i="20"/>
  <c r="BB1" i="20" s="1"/>
  <c r="B303" i="35" l="1"/>
  <c r="A302" i="35"/>
  <c r="AG2" i="20"/>
  <c r="AE1" i="20"/>
  <c r="BC1" i="20" s="1"/>
  <c r="L5" i="31"/>
  <c r="J39" i="16"/>
  <c r="I39" i="16"/>
  <c r="U29" i="31"/>
  <c r="N29" i="31"/>
  <c r="W29" i="31" s="1"/>
  <c r="U29" i="15"/>
  <c r="N29" i="15"/>
  <c r="W29" i="15" s="1"/>
  <c r="L29" i="15"/>
  <c r="L29" i="31"/>
  <c r="B304" i="35" l="1"/>
  <c r="A303" i="35"/>
  <c r="AH2" i="20"/>
  <c r="AF1" i="20"/>
  <c r="BD1" i="20" s="1"/>
  <c r="B305" i="35" l="1"/>
  <c r="A304" i="35"/>
  <c r="AI2" i="20"/>
  <c r="AG1" i="20"/>
  <c r="BE1" i="20" s="1"/>
  <c r="B306" i="35" l="1"/>
  <c r="A306" i="35" s="1"/>
  <c r="B307" i="35"/>
  <c r="A305" i="35"/>
  <c r="AJ2" i="20"/>
  <c r="AH1" i="20"/>
  <c r="BF1" i="20" s="1"/>
  <c r="A307" i="35" l="1"/>
  <c r="B308" i="35"/>
  <c r="AK2" i="20"/>
  <c r="AI1" i="20"/>
  <c r="BG1" i="20" s="1"/>
  <c r="I18" i="21"/>
  <c r="H18" i="21"/>
  <c r="G18" i="21"/>
  <c r="F18" i="21"/>
  <c r="E18" i="21"/>
  <c r="D18" i="21"/>
  <c r="I17" i="21"/>
  <c r="I19" i="21" s="1"/>
  <c r="H17" i="21"/>
  <c r="H19" i="21" s="1"/>
  <c r="G17" i="21"/>
  <c r="G19" i="21" s="1"/>
  <c r="F17" i="21"/>
  <c r="F19" i="21" s="1"/>
  <c r="E17" i="21"/>
  <c r="E19" i="21" s="1"/>
  <c r="D17" i="21"/>
  <c r="D19" i="21" s="1"/>
  <c r="K189" i="35"/>
  <c r="I189" i="35"/>
  <c r="J189" i="35" s="1"/>
  <c r="A308" i="35" l="1"/>
  <c r="B309" i="35"/>
  <c r="AL2" i="20"/>
  <c r="AJ1" i="20"/>
  <c r="BH1" i="20" s="1"/>
  <c r="L5" i="46"/>
  <c r="L5" i="27"/>
  <c r="L5" i="28"/>
  <c r="L5" i="22"/>
  <c r="L5" i="16"/>
  <c r="L5" i="15"/>
  <c r="R127" i="15" s="1"/>
  <c r="A309" i="35" l="1"/>
  <c r="B310" i="35"/>
  <c r="AM2" i="20"/>
  <c r="AK1" i="20"/>
  <c r="BI1" i="20" s="1"/>
  <c r="A310" i="35" l="1"/>
  <c r="B311" i="35"/>
  <c r="AN2" i="20"/>
  <c r="AL1" i="20"/>
  <c r="AM1" i="20" s="1"/>
  <c r="BK1" i="20" s="1"/>
  <c r="D13" i="43"/>
  <c r="D13" i="27"/>
  <c r="D13" i="28"/>
  <c r="D13" i="22"/>
  <c r="D13" i="16"/>
  <c r="D13" i="46"/>
  <c r="A311" i="35" l="1"/>
  <c r="B312" i="35"/>
  <c r="AO2" i="20"/>
  <c r="BJ1" i="20"/>
  <c r="AN1" i="20"/>
  <c r="BL1" i="20" s="1"/>
  <c r="H5" i="15"/>
  <c r="A312" i="35" l="1"/>
  <c r="B313" i="35"/>
  <c r="AP2" i="20"/>
  <c r="AO1" i="20"/>
  <c r="BM1" i="20" s="1"/>
  <c r="H5" i="31"/>
  <c r="Q9" i="31"/>
  <c r="H7" i="31"/>
  <c r="A313" i="35" l="1"/>
  <c r="B314" i="35"/>
  <c r="AQ2" i="20"/>
  <c r="AP1" i="20"/>
  <c r="BN1" i="20" s="1"/>
  <c r="A314" i="35" l="1"/>
  <c r="B315" i="35"/>
  <c r="AR2" i="20"/>
  <c r="AQ1" i="20"/>
  <c r="BO1" i="20" s="1"/>
  <c r="C1" i="20"/>
  <c r="A315" i="35" l="1"/>
  <c r="B316" i="35"/>
  <c r="AS2" i="20"/>
  <c r="AR1" i="20"/>
  <c r="BP1" i="20" s="1"/>
  <c r="B317" i="35" l="1"/>
  <c r="A316" i="35"/>
  <c r="AT2" i="20"/>
  <c r="AS1" i="20"/>
  <c r="BQ1" i="20" s="1"/>
  <c r="B6" i="19"/>
  <c r="B1" i="19"/>
  <c r="A317" i="35" l="1"/>
  <c r="B318" i="35"/>
  <c r="AU2" i="20"/>
  <c r="AT1" i="20"/>
  <c r="BR1" i="20" s="1"/>
  <c r="A318" i="35" l="1"/>
  <c r="B319" i="35"/>
  <c r="AV2" i="20"/>
  <c r="AU1" i="20"/>
  <c r="BS1" i="20" s="1"/>
  <c r="A319" i="35" l="1"/>
  <c r="B320" i="35"/>
  <c r="AW2" i="20"/>
  <c r="AV1" i="20"/>
  <c r="BT1" i="20" s="1"/>
  <c r="B321" i="35" l="1"/>
  <c r="A320" i="35"/>
  <c r="AX2" i="20"/>
  <c r="AW1" i="20"/>
  <c r="BU1" i="20" s="1"/>
  <c r="A321" i="35" l="1"/>
  <c r="B322" i="35"/>
  <c r="AX1" i="20"/>
  <c r="BV1" i="20" s="1"/>
  <c r="A322" i="35" l="1"/>
  <c r="B323" i="35"/>
  <c r="G4" i="17"/>
  <c r="A323" i="35" l="1"/>
  <c r="B324" i="35"/>
  <c r="AJ4" i="32"/>
  <c r="AJ4" i="17"/>
  <c r="AJ4" i="44"/>
  <c r="AJ4" i="14"/>
  <c r="B325" i="35" l="1"/>
  <c r="A324" i="35"/>
  <c r="S30" i="1"/>
  <c r="B326" i="35" l="1"/>
  <c r="A325" i="35"/>
  <c r="C9" i="12"/>
  <c r="C36" i="28"/>
  <c r="C36" i="15"/>
  <c r="C36" i="43"/>
  <c r="C36" i="16"/>
  <c r="C36" i="22"/>
  <c r="C36" i="46"/>
  <c r="C36" i="27"/>
  <c r="C36" i="31"/>
  <c r="A1" i="47"/>
  <c r="A1" i="30"/>
  <c r="A1" i="17"/>
  <c r="A1" i="32"/>
  <c r="A1" i="23"/>
  <c r="A1" i="44"/>
  <c r="A1" i="29"/>
  <c r="A1" i="14"/>
  <c r="A326" i="35" l="1"/>
  <c r="B327" i="35"/>
  <c r="D2" i="48"/>
  <c r="B328" i="35" l="1"/>
  <c r="A328" i="35" s="1"/>
  <c r="A327" i="35"/>
  <c r="Y3" i="31"/>
  <c r="Y2" i="31"/>
  <c r="C4" i="48" l="1"/>
  <c r="E5" i="48" l="1"/>
  <c r="C5" i="48" s="1"/>
  <c r="C2" i="48"/>
  <c r="C7" i="48" l="1"/>
  <c r="D13" i="31" l="1"/>
  <c r="D13" i="15"/>
  <c r="AB5" i="46"/>
  <c r="AB7" i="46" s="1"/>
  <c r="AB9" i="46" s="1"/>
  <c r="AB11" i="46" s="1"/>
  <c r="AB13" i="46" s="1"/>
  <c r="AB15" i="46" s="1"/>
  <c r="AB17" i="46" s="1"/>
  <c r="AB19" i="46" s="1"/>
  <c r="Z7" i="43"/>
  <c r="Z9" i="43" s="1"/>
  <c r="Z11" i="43" s="1"/>
  <c r="Z13" i="43" s="1"/>
  <c r="Z15" i="43" s="1"/>
  <c r="Z17" i="43" s="1"/>
  <c r="Z19" i="43" s="1"/>
  <c r="Z21" i="43" s="1"/>
  <c r="Z23" i="43" s="1"/>
  <c r="Z25" i="43" s="1"/>
  <c r="Z27" i="43" s="1"/>
  <c r="Z29" i="43" s="1"/>
  <c r="Z31" i="43" s="1"/>
  <c r="Z33" i="43" s="1"/>
  <c r="Z35" i="43" s="1"/>
  <c r="AB5" i="43" s="1"/>
  <c r="Z7" i="27"/>
  <c r="Z9" i="27" s="1"/>
  <c r="Z11" i="27" s="1"/>
  <c r="Z13" i="27" s="1"/>
  <c r="Z15" i="27" s="1"/>
  <c r="Z17" i="27" s="1"/>
  <c r="Z19" i="27" s="1"/>
  <c r="Z21" i="27" s="1"/>
  <c r="Z23" i="27" s="1"/>
  <c r="Z25" i="27" s="1"/>
  <c r="Z27" i="27" s="1"/>
  <c r="Z29" i="27" s="1"/>
  <c r="Z31" i="27" s="1"/>
  <c r="Z33" i="27" s="1"/>
  <c r="Z35" i="27" s="1"/>
  <c r="AB5" i="27" s="1"/>
  <c r="AB7" i="27" s="1"/>
  <c r="AB9" i="27" s="1"/>
  <c r="AB11" i="27" s="1"/>
  <c r="AB13" i="27" s="1"/>
  <c r="AB15" i="27" s="1"/>
  <c r="AB17" i="27" s="1"/>
  <c r="AB19" i="27" s="1"/>
  <c r="AB21" i="27" s="1"/>
  <c r="AB23" i="27" s="1"/>
  <c r="AB25" i="27" s="1"/>
  <c r="AB27" i="27" s="1"/>
  <c r="AB29" i="27" s="1"/>
  <c r="AB31" i="27" s="1"/>
  <c r="AB33" i="27" s="1"/>
  <c r="AB35" i="27" s="1"/>
  <c r="Z7" i="28"/>
  <c r="Z9" i="28" s="1"/>
  <c r="Z11" i="28" s="1"/>
  <c r="Z13" i="28" s="1"/>
  <c r="Z15" i="28" s="1"/>
  <c r="Z17" i="28" s="1"/>
  <c r="Z19" i="28" s="1"/>
  <c r="Z21" i="28" s="1"/>
  <c r="Z23" i="28" s="1"/>
  <c r="Z25" i="28" s="1"/>
  <c r="Z27" i="28" s="1"/>
  <c r="Z29" i="28" s="1"/>
  <c r="Z31" i="28" s="1"/>
  <c r="Z33" i="28" s="1"/>
  <c r="Z35" i="28" s="1"/>
  <c r="AB5" i="28" s="1"/>
  <c r="Z7" i="22"/>
  <c r="Z9" i="22" s="1"/>
  <c r="Z11" i="22" s="1"/>
  <c r="Z13" i="22" s="1"/>
  <c r="Z15" i="22" s="1"/>
  <c r="Z17" i="22" s="1"/>
  <c r="Z19" i="22" s="1"/>
  <c r="Z21" i="22" s="1"/>
  <c r="Z23" i="22" s="1"/>
  <c r="Z25" i="22" s="1"/>
  <c r="Z27" i="22" s="1"/>
  <c r="Z29" i="22" s="1"/>
  <c r="Z31" i="22" s="1"/>
  <c r="Z33" i="22" s="1"/>
  <c r="Z35" i="22" s="1"/>
  <c r="AB5" i="22" s="1"/>
  <c r="Z7" i="16"/>
  <c r="Z9" i="16" s="1"/>
  <c r="Z11" i="16" s="1"/>
  <c r="Z13" i="16" s="1"/>
  <c r="Z15" i="16" s="1"/>
  <c r="Z17" i="16" s="1"/>
  <c r="Z19" i="16" s="1"/>
  <c r="Z21" i="16" s="1"/>
  <c r="Z23" i="16" s="1"/>
  <c r="Z25" i="16" s="1"/>
  <c r="Z27" i="16" s="1"/>
  <c r="Z29" i="16" s="1"/>
  <c r="Z31" i="16" s="1"/>
  <c r="Z33" i="16" s="1"/>
  <c r="Z35" i="16" s="1"/>
  <c r="AB5" i="16" s="1"/>
  <c r="Z7" i="31"/>
  <c r="Z9" i="31" s="1"/>
  <c r="Z11" i="31" s="1"/>
  <c r="Z13" i="31" s="1"/>
  <c r="Z15" i="31" s="1"/>
  <c r="Z17" i="31" s="1"/>
  <c r="Z19" i="31" s="1"/>
  <c r="Z21" i="31" s="1"/>
  <c r="Z23" i="31" s="1"/>
  <c r="Z25" i="31" s="1"/>
  <c r="Z27" i="31" s="1"/>
  <c r="Z29" i="31" s="1"/>
  <c r="Z31" i="31" s="1"/>
  <c r="Z33" i="31" s="1"/>
  <c r="Z35" i="31" s="1"/>
  <c r="AB5" i="31" s="1"/>
  <c r="Z27" i="12"/>
  <c r="Z29" i="12" s="1"/>
  <c r="Z31" i="12" s="1"/>
  <c r="Z33" i="12" s="1"/>
  <c r="Z35" i="12" s="1"/>
  <c r="AB25" i="12" s="1"/>
  <c r="AB27" i="12" s="1"/>
  <c r="AB29" i="12" s="1"/>
  <c r="AB31" i="12" s="1"/>
  <c r="AB33" i="12" s="1"/>
  <c r="AB35" i="12" s="1"/>
  <c r="Z7" i="12"/>
  <c r="Z9" i="12" s="1"/>
  <c r="Z11" i="12" s="1"/>
  <c r="Z13" i="12" s="1"/>
  <c r="Z15" i="12" s="1"/>
  <c r="Z17" i="12" s="1"/>
  <c r="Z19" i="12" s="1"/>
  <c r="Z21" i="12" s="1"/>
  <c r="Z23" i="12" s="1"/>
  <c r="AB5" i="12" s="1"/>
  <c r="AB7" i="12" s="1"/>
  <c r="AB9" i="12" s="1"/>
  <c r="AB11" i="12" s="1"/>
  <c r="AB13" i="12" s="1"/>
  <c r="AB15" i="12" s="1"/>
  <c r="AB17" i="12" s="1"/>
  <c r="AB19" i="12" s="1"/>
  <c r="AB21" i="12" s="1"/>
  <c r="AB23" i="12" s="1"/>
  <c r="Z7" i="15"/>
  <c r="Z9" i="15" s="1"/>
  <c r="Z11" i="15" s="1"/>
  <c r="Z13" i="15" s="1"/>
  <c r="Z15" i="15" s="1"/>
  <c r="Z17" i="15" s="1"/>
  <c r="Z19" i="15" s="1"/>
  <c r="Z21" i="15" s="1"/>
  <c r="Z23" i="15" s="1"/>
  <c r="Z25" i="15" s="1"/>
  <c r="Z27" i="15" s="1"/>
  <c r="Z29" i="15" s="1"/>
  <c r="Z31" i="15" s="1"/>
  <c r="Z33" i="15" s="1"/>
  <c r="Z35" i="15" s="1"/>
  <c r="AB5" i="15" s="1"/>
  <c r="AB21" i="46" l="1"/>
  <c r="AB7" i="15"/>
  <c r="AB9" i="15" s="1"/>
  <c r="AB11" i="15" s="1"/>
  <c r="AB13" i="15" s="1"/>
  <c r="AB15" i="15" s="1"/>
  <c r="AB17" i="15" s="1"/>
  <c r="AB19" i="15" s="1"/>
  <c r="AB21" i="15" s="1"/>
  <c r="AB7" i="16"/>
  <c r="AB9" i="16" s="1"/>
  <c r="AB11" i="16" s="1"/>
  <c r="AB13" i="16" s="1"/>
  <c r="AB15" i="16" s="1"/>
  <c r="AB17" i="16" s="1"/>
  <c r="AB19" i="16" s="1"/>
  <c r="AB21" i="16" s="1"/>
  <c r="AB23" i="16" s="1"/>
  <c r="AB25" i="16" s="1"/>
  <c r="AB27" i="16" s="1"/>
  <c r="AB29" i="16" s="1"/>
  <c r="AB31" i="16" s="1"/>
  <c r="AB33" i="16" s="1"/>
  <c r="AB35" i="16" s="1"/>
  <c r="AB7" i="43"/>
  <c r="AB9" i="43" s="1"/>
  <c r="AB11" i="43" s="1"/>
  <c r="AB13" i="43" s="1"/>
  <c r="AB15" i="43" s="1"/>
  <c r="AB17" i="43" s="1"/>
  <c r="AB19" i="43" s="1"/>
  <c r="AB21" i="43" s="1"/>
  <c r="AB23" i="43" s="1"/>
  <c r="AB25" i="43" s="1"/>
  <c r="AB27" i="43" s="1"/>
  <c r="AB29" i="43" s="1"/>
  <c r="AB31" i="43" s="1"/>
  <c r="AB33" i="43" s="1"/>
  <c r="AB35" i="43" s="1"/>
  <c r="AB7" i="22"/>
  <c r="AB9" i="22" s="1"/>
  <c r="AB11" i="22" s="1"/>
  <c r="AB13" i="22" s="1"/>
  <c r="AB15" i="22" s="1"/>
  <c r="AB17" i="22" s="1"/>
  <c r="AB19" i="22" s="1"/>
  <c r="AB21" i="22" s="1"/>
  <c r="AB7" i="28"/>
  <c r="AB9" i="28" s="1"/>
  <c r="AB11" i="28" s="1"/>
  <c r="AB13" i="28" s="1"/>
  <c r="AB15" i="28" s="1"/>
  <c r="AB17" i="28" s="1"/>
  <c r="AB19" i="28" s="1"/>
  <c r="AB21" i="28" s="1"/>
  <c r="AB23" i="28" s="1"/>
  <c r="AB25" i="28" s="1"/>
  <c r="AB27" i="28" s="1"/>
  <c r="AB29" i="28" s="1"/>
  <c r="AB31" i="28" s="1"/>
  <c r="AB33" i="28" s="1"/>
  <c r="AB35" i="28" s="1"/>
  <c r="AB7" i="31"/>
  <c r="AB9" i="31" s="1"/>
  <c r="AB11" i="31" s="1"/>
  <c r="AB13" i="31" s="1"/>
  <c r="AB15" i="31" s="1"/>
  <c r="AB17" i="31" s="1"/>
  <c r="AB19" i="31" s="1"/>
  <c r="AB21" i="31" s="1"/>
  <c r="AB23" i="31" s="1"/>
  <c r="AB25" i="31" s="1"/>
  <c r="AB27" i="31" s="1"/>
  <c r="AB29" i="31" s="1"/>
  <c r="AB31" i="31" s="1"/>
  <c r="AB33" i="31" s="1"/>
  <c r="AB35" i="31" s="1"/>
  <c r="AB23" i="46"/>
  <c r="H5" i="46"/>
  <c r="AB23" i="22" l="1"/>
  <c r="AB23" i="15"/>
  <c r="AB25" i="46"/>
  <c r="B15" i="48"/>
  <c r="A15" i="48" s="1"/>
  <c r="B14" i="48"/>
  <c r="A14" i="48" s="1"/>
  <c r="B13" i="48"/>
  <c r="A13" i="48" s="1"/>
  <c r="B12" i="48"/>
  <c r="A12" i="48" s="1"/>
  <c r="B10" i="48"/>
  <c r="A10" i="48" s="1"/>
  <c r="W2" i="46"/>
  <c r="U2" i="46"/>
  <c r="S2" i="46"/>
  <c r="Q2" i="46"/>
  <c r="O2" i="46"/>
  <c r="M2" i="46"/>
  <c r="AB25" i="22" l="1"/>
  <c r="AB25" i="15"/>
  <c r="AB27" i="46"/>
  <c r="AB27" i="22" l="1"/>
  <c r="AB27" i="15"/>
  <c r="AB29" i="46"/>
  <c r="K4" i="44"/>
  <c r="AB29" i="22" l="1"/>
  <c r="AB29" i="15"/>
  <c r="AB31" i="46"/>
  <c r="O4" i="44"/>
  <c r="N4" i="44"/>
  <c r="M4" i="44"/>
  <c r="L4" i="44"/>
  <c r="J4" i="44"/>
  <c r="I4" i="44"/>
  <c r="H4" i="44"/>
  <c r="O2" i="44"/>
  <c r="AB31" i="22" l="1"/>
  <c r="AB31" i="15"/>
  <c r="AB33" i="46"/>
  <c r="H5" i="43"/>
  <c r="H7" i="43"/>
  <c r="AB35" i="46" l="1"/>
  <c r="AB33" i="22"/>
  <c r="AB35" i="22" s="1"/>
  <c r="AB33" i="15"/>
  <c r="AB35" i="15" s="1"/>
  <c r="G4" i="44"/>
  <c r="F4" i="44"/>
  <c r="B15" i="45"/>
  <c r="A15" i="45" s="1"/>
  <c r="B14" i="45"/>
  <c r="A14" i="45" s="1"/>
  <c r="B13" i="45"/>
  <c r="A13" i="45" s="1"/>
  <c r="B12" i="45"/>
  <c r="A12" i="45" s="1"/>
  <c r="B10" i="45"/>
  <c r="A10" i="45" s="1"/>
  <c r="G29" i="43"/>
  <c r="W2" i="43"/>
  <c r="U2" i="43"/>
  <c r="S2" i="43"/>
  <c r="Q2" i="43"/>
  <c r="O2" i="43"/>
  <c r="M2" i="43"/>
  <c r="B19" i="31" l="1"/>
  <c r="B21" i="31" s="1"/>
  <c r="B23" i="31" s="1"/>
  <c r="B25" i="31" s="1"/>
  <c r="B27" i="31" s="1"/>
  <c r="X4" i="14" l="1"/>
  <c r="W4" i="14"/>
  <c r="T4" i="14"/>
  <c r="Y4" i="32" l="1"/>
  <c r="X4" i="32"/>
  <c r="W4" i="32"/>
  <c r="V4" i="32"/>
  <c r="U4" i="32"/>
  <c r="T4" i="32"/>
  <c r="S4" i="14" l="1"/>
  <c r="N4" i="14"/>
  <c r="K1" i="35" l="1"/>
  <c r="J1" i="35"/>
  <c r="AI4" i="14" l="1"/>
  <c r="V29" i="31" l="1"/>
  <c r="M29" i="31"/>
  <c r="AE2" i="32" l="1"/>
  <c r="AD2" i="32"/>
  <c r="AC2" i="32"/>
  <c r="AB2" i="32"/>
  <c r="AA2" i="32"/>
  <c r="Z2" i="32"/>
  <c r="I1" i="35"/>
  <c r="H1" i="35"/>
  <c r="G1" i="35"/>
  <c r="F1" i="35"/>
  <c r="A17" i="1" l="1"/>
  <c r="A45" i="1" s="1"/>
  <c r="A27" i="15"/>
  <c r="A26" i="15"/>
  <c r="A31" i="15"/>
  <c r="A30" i="15"/>
  <c r="A37" i="1" l="1"/>
  <c r="D2" i="35"/>
  <c r="N5" i="22"/>
  <c r="E2" i="35" l="1"/>
  <c r="N5" i="46"/>
  <c r="N5" i="27"/>
  <c r="N5" i="15"/>
  <c r="N5" i="16"/>
  <c r="N5" i="31"/>
  <c r="N5" i="28"/>
  <c r="P2" i="12"/>
  <c r="N5" i="43"/>
  <c r="E237" i="35" l="1"/>
  <c r="L237" i="35" s="1"/>
  <c r="E236" i="35"/>
  <c r="L236" i="35" s="1"/>
  <c r="E327" i="35"/>
  <c r="L327" i="35" s="1"/>
  <c r="E328" i="35"/>
  <c r="L328" i="35" s="1"/>
  <c r="E323" i="35"/>
  <c r="E326" i="35"/>
  <c r="L326" i="35" s="1"/>
  <c r="E325" i="35"/>
  <c r="L325" i="35" s="1"/>
  <c r="E324" i="35"/>
  <c r="L324" i="35" s="1"/>
  <c r="E70" i="35"/>
  <c r="L70" i="35" s="1"/>
  <c r="E186" i="35"/>
  <c r="L186" i="35" s="1"/>
  <c r="E174" i="35"/>
  <c r="L174" i="35" s="1"/>
  <c r="E162" i="35"/>
  <c r="L162" i="35" s="1"/>
  <c r="E247" i="35"/>
  <c r="L247" i="35" s="1"/>
  <c r="E27" i="35"/>
  <c r="L27" i="35" s="1"/>
  <c r="E91" i="35"/>
  <c r="E155" i="35"/>
  <c r="L155" i="35" s="1"/>
  <c r="E219" i="35"/>
  <c r="L219" i="35" s="1"/>
  <c r="E284" i="35"/>
  <c r="E64" i="35"/>
  <c r="L64" i="35" s="1"/>
  <c r="E128" i="35"/>
  <c r="E98" i="35"/>
  <c r="L98" i="35" s="1"/>
  <c r="E11" i="35"/>
  <c r="E203" i="35"/>
  <c r="L203" i="35" s="1"/>
  <c r="E36" i="35"/>
  <c r="L36" i="35" s="1"/>
  <c r="E166" i="35"/>
  <c r="L166" i="35" s="1"/>
  <c r="E251" i="35"/>
  <c r="L251" i="35" s="1"/>
  <c r="E239" i="35"/>
  <c r="L239" i="35" s="1"/>
  <c r="E226" i="35"/>
  <c r="L226" i="35" s="1"/>
  <c r="E283" i="35"/>
  <c r="E43" i="35"/>
  <c r="L43" i="35" s="1"/>
  <c r="E107" i="35"/>
  <c r="L107" i="35" s="1"/>
  <c r="E171" i="35"/>
  <c r="L171" i="35" s="1"/>
  <c r="E235" i="35"/>
  <c r="L235" i="35" s="1"/>
  <c r="E300" i="35"/>
  <c r="L300" i="35" s="1"/>
  <c r="E80" i="35"/>
  <c r="L80" i="35" s="1"/>
  <c r="E144" i="35"/>
  <c r="L144" i="35" s="1"/>
  <c r="E122" i="35"/>
  <c r="E110" i="35"/>
  <c r="L110" i="35" s="1"/>
  <c r="E182" i="35"/>
  <c r="L182" i="35" s="1"/>
  <c r="E75" i="35"/>
  <c r="E139" i="35"/>
  <c r="L139" i="35" s="1"/>
  <c r="E268" i="35"/>
  <c r="L268" i="35" s="1"/>
  <c r="E112" i="35"/>
  <c r="L112" i="35" s="1"/>
  <c r="E58" i="35"/>
  <c r="L58" i="35" s="1"/>
  <c r="E46" i="35"/>
  <c r="L46" i="35" s="1"/>
  <c r="E34" i="35"/>
  <c r="L34" i="35" s="1"/>
  <c r="E6" i="35"/>
  <c r="E303" i="35"/>
  <c r="L303" i="35" s="1"/>
  <c r="E59" i="35"/>
  <c r="L59" i="35" s="1"/>
  <c r="E123" i="35"/>
  <c r="E187" i="35"/>
  <c r="L187" i="35" s="1"/>
  <c r="E252" i="35"/>
  <c r="L252" i="35" s="1"/>
  <c r="E4" i="35"/>
  <c r="E96" i="35"/>
  <c r="E160" i="35"/>
  <c r="L160" i="35" s="1"/>
  <c r="E86" i="35"/>
  <c r="L86" i="35" s="1"/>
  <c r="E74" i="35"/>
  <c r="E267" i="35"/>
  <c r="L267" i="35" s="1"/>
  <c r="E126" i="35"/>
  <c r="E255" i="35"/>
  <c r="L255" i="35" s="1"/>
  <c r="E114" i="35"/>
  <c r="L114" i="35" s="1"/>
  <c r="E243" i="35"/>
  <c r="L243" i="35" s="1"/>
  <c r="E54" i="35"/>
  <c r="L54" i="35" s="1"/>
  <c r="E198" i="35"/>
  <c r="L198" i="35" s="1"/>
  <c r="E263" i="35"/>
  <c r="L263" i="35" s="1"/>
  <c r="E291" i="35"/>
  <c r="L291" i="35" s="1"/>
  <c r="E307" i="35"/>
  <c r="L307" i="35" s="1"/>
  <c r="E15" i="35"/>
  <c r="L15" i="35" s="1"/>
  <c r="E31" i="35"/>
  <c r="E47" i="35"/>
  <c r="L47" i="35" s="1"/>
  <c r="E63" i="35"/>
  <c r="L63" i="35" s="1"/>
  <c r="E79" i="35"/>
  <c r="L79" i="35" s="1"/>
  <c r="E95" i="35"/>
  <c r="E111" i="35"/>
  <c r="E127" i="35"/>
  <c r="E143" i="35"/>
  <c r="L143" i="35" s="1"/>
  <c r="E159" i="35"/>
  <c r="L159" i="35" s="1"/>
  <c r="E175" i="35"/>
  <c r="L175" i="35" s="1"/>
  <c r="E191" i="35"/>
  <c r="L191" i="35" s="1"/>
  <c r="E207" i="35"/>
  <c r="L207" i="35" s="1"/>
  <c r="E223" i="35"/>
  <c r="L223" i="35" s="1"/>
  <c r="E240" i="35"/>
  <c r="L240" i="35" s="1"/>
  <c r="E256" i="35"/>
  <c r="L256" i="35" s="1"/>
  <c r="E272" i="35"/>
  <c r="L272" i="35" s="1"/>
  <c r="E288" i="35"/>
  <c r="L288" i="35" s="1"/>
  <c r="E304" i="35"/>
  <c r="L304" i="35" s="1"/>
  <c r="E12" i="35"/>
  <c r="E48" i="35"/>
  <c r="E68" i="35"/>
  <c r="L68" i="35" s="1"/>
  <c r="E84" i="35"/>
  <c r="L84" i="35" s="1"/>
  <c r="E100" i="35"/>
  <c r="L100" i="35" s="1"/>
  <c r="E116" i="35"/>
  <c r="L116" i="35" s="1"/>
  <c r="E132" i="35"/>
  <c r="L132" i="35" s="1"/>
  <c r="E148" i="35"/>
  <c r="L148" i="35" s="1"/>
  <c r="E164" i="35"/>
  <c r="L164" i="35" s="1"/>
  <c r="E180" i="35"/>
  <c r="L180" i="35" s="1"/>
  <c r="E196" i="35"/>
  <c r="L196" i="35" s="1"/>
  <c r="E212" i="35"/>
  <c r="L212" i="35" s="1"/>
  <c r="E228" i="35"/>
  <c r="L228" i="35" s="1"/>
  <c r="E245" i="35"/>
  <c r="L245" i="35" s="1"/>
  <c r="E261" i="35"/>
  <c r="L261" i="35" s="1"/>
  <c r="E277" i="35"/>
  <c r="L277" i="35" s="1"/>
  <c r="E293" i="35"/>
  <c r="L293" i="35" s="1"/>
  <c r="E309" i="35"/>
  <c r="L309" i="35" s="1"/>
  <c r="E24" i="35"/>
  <c r="L24" i="35" s="1"/>
  <c r="E56" i="35"/>
  <c r="L56" i="35" s="1"/>
  <c r="E17" i="35"/>
  <c r="L17" i="35" s="1"/>
  <c r="E33" i="35"/>
  <c r="L33" i="35" s="1"/>
  <c r="E49" i="35"/>
  <c r="E65" i="35"/>
  <c r="L65" i="35" s="1"/>
  <c r="E81" i="35"/>
  <c r="L81" i="35" s="1"/>
  <c r="E109" i="35"/>
  <c r="E141" i="35"/>
  <c r="L141" i="35" s="1"/>
  <c r="E254" i="35"/>
  <c r="L254" i="35" s="1"/>
  <c r="E192" i="35"/>
  <c r="L192" i="35" s="1"/>
  <c r="E224" i="35"/>
  <c r="L224" i="35" s="1"/>
  <c r="E257" i="35"/>
  <c r="L257" i="35" s="1"/>
  <c r="E289" i="35"/>
  <c r="L289" i="35" s="1"/>
  <c r="E305" i="35"/>
  <c r="L305" i="35" s="1"/>
  <c r="E44" i="35"/>
  <c r="L44" i="35" s="1"/>
  <c r="E29" i="35"/>
  <c r="L29" i="35" s="1"/>
  <c r="E61" i="35"/>
  <c r="L61" i="35" s="1"/>
  <c r="E97" i="35"/>
  <c r="E129" i="35"/>
  <c r="E10" i="35"/>
  <c r="E138" i="35"/>
  <c r="L138" i="35" s="1"/>
  <c r="E202" i="35"/>
  <c r="L202" i="35" s="1"/>
  <c r="E62" i="35"/>
  <c r="L62" i="35" s="1"/>
  <c r="E190" i="35"/>
  <c r="L190" i="35" s="1"/>
  <c r="E50" i="35"/>
  <c r="L50" i="35" s="1"/>
  <c r="E178" i="35"/>
  <c r="L178" i="35" s="1"/>
  <c r="E22" i="35"/>
  <c r="L22" i="35" s="1"/>
  <c r="E118" i="35"/>
  <c r="E26" i="35"/>
  <c r="L26" i="35" s="1"/>
  <c r="E90" i="35"/>
  <c r="E154" i="35"/>
  <c r="L154" i="35" s="1"/>
  <c r="E218" i="35"/>
  <c r="L218" i="35" s="1"/>
  <c r="E14" i="35"/>
  <c r="L14" i="35" s="1"/>
  <c r="E78" i="35"/>
  <c r="L78" i="35" s="1"/>
  <c r="E142" i="35"/>
  <c r="L142" i="35" s="1"/>
  <c r="E206" i="35"/>
  <c r="L206" i="35" s="1"/>
  <c r="E271" i="35"/>
  <c r="L271" i="35" s="1"/>
  <c r="E66" i="35"/>
  <c r="L66" i="35" s="1"/>
  <c r="E130" i="35"/>
  <c r="E194" i="35"/>
  <c r="L194" i="35" s="1"/>
  <c r="E259" i="35"/>
  <c r="L259" i="35" s="1"/>
  <c r="E102" i="35"/>
  <c r="E214" i="35"/>
  <c r="L214" i="35" s="1"/>
  <c r="E287" i="35"/>
  <c r="L287" i="35" s="1"/>
  <c r="E295" i="35"/>
  <c r="L295" i="35" s="1"/>
  <c r="E311" i="35"/>
  <c r="L311" i="35" s="1"/>
  <c r="E19" i="35"/>
  <c r="L19" i="35" s="1"/>
  <c r="E35" i="35"/>
  <c r="L35" i="35" s="1"/>
  <c r="E51" i="35"/>
  <c r="L51" i="35" s="1"/>
  <c r="E67" i="35"/>
  <c r="E83" i="35"/>
  <c r="L83" i="35" s="1"/>
  <c r="E99" i="35"/>
  <c r="E115" i="35"/>
  <c r="L115" i="35" s="1"/>
  <c r="E131" i="35"/>
  <c r="E147" i="35"/>
  <c r="L147" i="35" s="1"/>
  <c r="E163" i="35"/>
  <c r="L163" i="35" s="1"/>
  <c r="E179" i="35"/>
  <c r="L179" i="35" s="1"/>
  <c r="E195" i="35"/>
  <c r="L195" i="35" s="1"/>
  <c r="E211" i="35"/>
  <c r="L211" i="35" s="1"/>
  <c r="E227" i="35"/>
  <c r="L227" i="35" s="1"/>
  <c r="E244" i="35"/>
  <c r="L244" i="35" s="1"/>
  <c r="E260" i="35"/>
  <c r="L260" i="35" s="1"/>
  <c r="E276" i="35"/>
  <c r="L276" i="35" s="1"/>
  <c r="E292" i="35"/>
  <c r="L292" i="35" s="1"/>
  <c r="E308" i="35"/>
  <c r="L308" i="35" s="1"/>
  <c r="E20" i="35"/>
  <c r="L20" i="35" s="1"/>
  <c r="E52" i="35"/>
  <c r="L52" i="35" s="1"/>
  <c r="E72" i="35"/>
  <c r="L72" i="35" s="1"/>
  <c r="E88" i="35"/>
  <c r="L88" i="35" s="1"/>
  <c r="E104" i="35"/>
  <c r="L104" i="35" s="1"/>
  <c r="E120" i="35"/>
  <c r="E136" i="35"/>
  <c r="E152" i="35"/>
  <c r="L152" i="35" s="1"/>
  <c r="E168" i="35"/>
  <c r="L168" i="35" s="1"/>
  <c r="E184" i="35"/>
  <c r="L184" i="35" s="1"/>
  <c r="E200" i="35"/>
  <c r="L200" i="35" s="1"/>
  <c r="E216" i="35"/>
  <c r="L216" i="35" s="1"/>
  <c r="E232" i="35"/>
  <c r="L232" i="35" s="1"/>
  <c r="E249" i="35"/>
  <c r="L249" i="35" s="1"/>
  <c r="E265" i="35"/>
  <c r="L265" i="35" s="1"/>
  <c r="E281" i="35"/>
  <c r="E297" i="35"/>
  <c r="L297" i="35" s="1"/>
  <c r="E313" i="35"/>
  <c r="L313" i="35" s="1"/>
  <c r="E32" i="35"/>
  <c r="E5" i="35"/>
  <c r="E21" i="35"/>
  <c r="L21" i="35" s="1"/>
  <c r="E37" i="35"/>
  <c r="L37" i="35" s="1"/>
  <c r="E53" i="35"/>
  <c r="L53" i="35" s="1"/>
  <c r="E69" i="35"/>
  <c r="L69" i="35" s="1"/>
  <c r="E85" i="35"/>
  <c r="E113" i="35"/>
  <c r="L113" i="35" s="1"/>
  <c r="E157" i="35"/>
  <c r="L157" i="35" s="1"/>
  <c r="E286" i="35"/>
  <c r="L286" i="35" s="1"/>
  <c r="E176" i="35"/>
  <c r="L176" i="35" s="1"/>
  <c r="E208" i="35"/>
  <c r="L208" i="35" s="1"/>
  <c r="E241" i="35"/>
  <c r="L241" i="35" s="1"/>
  <c r="E273" i="35"/>
  <c r="L273" i="35" s="1"/>
  <c r="E16" i="35"/>
  <c r="L16" i="35" s="1"/>
  <c r="E13" i="35"/>
  <c r="E45" i="35"/>
  <c r="L45" i="35" s="1"/>
  <c r="E77" i="35"/>
  <c r="E221" i="35"/>
  <c r="L221" i="35" s="1"/>
  <c r="E38" i="35"/>
  <c r="L38" i="35" s="1"/>
  <c r="E150" i="35"/>
  <c r="L150" i="35" s="1"/>
  <c r="E42" i="35"/>
  <c r="L42" i="35" s="1"/>
  <c r="E106" i="35"/>
  <c r="E170" i="35"/>
  <c r="L170" i="35" s="1"/>
  <c r="E234" i="35"/>
  <c r="L234" i="35" s="1"/>
  <c r="E30" i="35"/>
  <c r="L30" i="35" s="1"/>
  <c r="E94" i="35"/>
  <c r="L94" i="35" s="1"/>
  <c r="E158" i="35"/>
  <c r="L158" i="35" s="1"/>
  <c r="E222" i="35"/>
  <c r="L222" i="35" s="1"/>
  <c r="E18" i="35"/>
  <c r="L18" i="35" s="1"/>
  <c r="E82" i="35"/>
  <c r="L82" i="35" s="1"/>
  <c r="E146" i="35"/>
  <c r="L146" i="35" s="1"/>
  <c r="E210" i="35"/>
  <c r="L210" i="35" s="1"/>
  <c r="E279" i="35"/>
  <c r="E134" i="35"/>
  <c r="E230" i="35"/>
  <c r="L230" i="35" s="1"/>
  <c r="E275" i="35"/>
  <c r="L275" i="35" s="1"/>
  <c r="E299" i="35"/>
  <c r="L299" i="35" s="1"/>
  <c r="E7" i="35"/>
  <c r="E23" i="35"/>
  <c r="L23" i="35" s="1"/>
  <c r="E39" i="35"/>
  <c r="L39" i="35" s="1"/>
  <c r="E55" i="35"/>
  <c r="L55" i="35" s="1"/>
  <c r="E71" i="35"/>
  <c r="E87" i="35"/>
  <c r="L87" i="35" s="1"/>
  <c r="E103" i="35"/>
  <c r="E119" i="35"/>
  <c r="E135" i="35"/>
  <c r="L135" i="35" s="1"/>
  <c r="E151" i="35"/>
  <c r="L151" i="35" s="1"/>
  <c r="E167" i="35"/>
  <c r="L167" i="35" s="1"/>
  <c r="E183" i="35"/>
  <c r="L183" i="35" s="1"/>
  <c r="E199" i="35"/>
  <c r="L199" i="35" s="1"/>
  <c r="E215" i="35"/>
  <c r="L215" i="35" s="1"/>
  <c r="E231" i="35"/>
  <c r="L231" i="35" s="1"/>
  <c r="E248" i="35"/>
  <c r="L248" i="35" s="1"/>
  <c r="E264" i="35"/>
  <c r="L264" i="35" s="1"/>
  <c r="E280" i="35"/>
  <c r="E296" i="35"/>
  <c r="L296" i="35" s="1"/>
  <c r="E312" i="35"/>
  <c r="L312" i="35" s="1"/>
  <c r="E28" i="35"/>
  <c r="L28" i="35" s="1"/>
  <c r="E60" i="35"/>
  <c r="L60" i="35" s="1"/>
  <c r="E76" i="35"/>
  <c r="E92" i="35"/>
  <c r="E108" i="35"/>
  <c r="L108" i="35" s="1"/>
  <c r="E124" i="35"/>
  <c r="E140" i="35"/>
  <c r="L140" i="35" s="1"/>
  <c r="E156" i="35"/>
  <c r="L156" i="35" s="1"/>
  <c r="E172" i="35"/>
  <c r="L172" i="35" s="1"/>
  <c r="E188" i="35"/>
  <c r="L188" i="35" s="1"/>
  <c r="E204" i="35"/>
  <c r="L204" i="35" s="1"/>
  <c r="E220" i="35"/>
  <c r="L220" i="35" s="1"/>
  <c r="E253" i="35"/>
  <c r="L253" i="35" s="1"/>
  <c r="E269" i="35"/>
  <c r="L269" i="35" s="1"/>
  <c r="E285" i="35"/>
  <c r="L285" i="35" s="1"/>
  <c r="E301" i="35"/>
  <c r="L301" i="35" s="1"/>
  <c r="E8" i="35"/>
  <c r="E40" i="35"/>
  <c r="L40" i="35" s="1"/>
  <c r="E9" i="35"/>
  <c r="E25" i="35"/>
  <c r="L25" i="35" s="1"/>
  <c r="E41" i="35"/>
  <c r="L41" i="35" s="1"/>
  <c r="E57" i="35"/>
  <c r="L57" i="35" s="1"/>
  <c r="E73" i="35"/>
  <c r="L73" i="35" s="1"/>
  <c r="E93" i="35"/>
  <c r="E125" i="35"/>
  <c r="E189" i="35"/>
  <c r="L189" i="35" s="1"/>
  <c r="E315" i="35"/>
  <c r="L315" i="35" s="1"/>
  <c r="E145" i="35"/>
  <c r="L145" i="35" s="1"/>
  <c r="E161" i="35"/>
  <c r="L161" i="35" s="1"/>
  <c r="E193" i="35"/>
  <c r="L193" i="35" s="1"/>
  <c r="E225" i="35"/>
  <c r="L225" i="35" s="1"/>
  <c r="E258" i="35"/>
  <c r="L258" i="35" s="1"/>
  <c r="E290" i="35"/>
  <c r="L290" i="35" s="1"/>
  <c r="E316" i="35"/>
  <c r="L316" i="35" s="1"/>
  <c r="E101" i="35"/>
  <c r="L101" i="35" s="1"/>
  <c r="E117" i="35"/>
  <c r="E133" i="35"/>
  <c r="E149" i="35"/>
  <c r="L149" i="35" s="1"/>
  <c r="E173" i="35"/>
  <c r="L173" i="35" s="1"/>
  <c r="E205" i="35"/>
  <c r="L205" i="35" s="1"/>
  <c r="E238" i="35"/>
  <c r="L238" i="35" s="1"/>
  <c r="E270" i="35"/>
  <c r="L270" i="35" s="1"/>
  <c r="E302" i="35"/>
  <c r="L302" i="35" s="1"/>
  <c r="E320" i="35"/>
  <c r="L320" i="35" s="1"/>
  <c r="E89" i="35"/>
  <c r="E105" i="35"/>
  <c r="J17" i="21" s="1"/>
  <c r="J19" i="21" s="1"/>
  <c r="E121" i="35"/>
  <c r="E137" i="35"/>
  <c r="E153" i="35"/>
  <c r="L153" i="35" s="1"/>
  <c r="E177" i="35"/>
  <c r="L177" i="35" s="1"/>
  <c r="E209" i="35"/>
  <c r="L209" i="35" s="1"/>
  <c r="E242" i="35"/>
  <c r="L242" i="35" s="1"/>
  <c r="E274" i="35"/>
  <c r="L274" i="35" s="1"/>
  <c r="E306" i="35"/>
  <c r="L306" i="35" s="1"/>
  <c r="E317" i="35"/>
  <c r="L317" i="35" s="1"/>
  <c r="E165" i="35"/>
  <c r="L165" i="35" s="1"/>
  <c r="E181" i="35"/>
  <c r="L181" i="35" s="1"/>
  <c r="E197" i="35"/>
  <c r="L197" i="35" s="1"/>
  <c r="E213" i="35"/>
  <c r="L213" i="35" s="1"/>
  <c r="E229" i="35"/>
  <c r="L229" i="35" s="1"/>
  <c r="E246" i="35"/>
  <c r="L246" i="35" s="1"/>
  <c r="E262" i="35"/>
  <c r="L262" i="35" s="1"/>
  <c r="E278" i="35"/>
  <c r="E294" i="35"/>
  <c r="L294" i="35" s="1"/>
  <c r="E310" i="35"/>
  <c r="L310" i="35" s="1"/>
  <c r="E321" i="35"/>
  <c r="L321" i="35" s="1"/>
  <c r="E318" i="35"/>
  <c r="L318" i="35" s="1"/>
  <c r="E169" i="35"/>
  <c r="L169" i="35" s="1"/>
  <c r="E185" i="35"/>
  <c r="L185" i="35" s="1"/>
  <c r="E201" i="35"/>
  <c r="L201" i="35" s="1"/>
  <c r="E217" i="35"/>
  <c r="L217" i="35" s="1"/>
  <c r="E233" i="35"/>
  <c r="L233" i="35" s="1"/>
  <c r="E250" i="35"/>
  <c r="L250" i="35" s="1"/>
  <c r="E266" i="35"/>
  <c r="L266" i="35" s="1"/>
  <c r="E282" i="35"/>
  <c r="E298" i="35"/>
  <c r="L298" i="35" s="1"/>
  <c r="E314" i="35"/>
  <c r="L314" i="35" s="1"/>
  <c r="E319" i="35"/>
  <c r="L319" i="35" s="1"/>
  <c r="E322" i="35"/>
  <c r="L322" i="35" s="1"/>
  <c r="E13" i="12"/>
  <c r="A13" i="12"/>
  <c r="J45" i="12"/>
  <c r="N7" i="31"/>
  <c r="E14" i="28"/>
  <c r="E27" i="46"/>
  <c r="L2" i="15"/>
  <c r="J2" i="14"/>
  <c r="B9" i="27"/>
  <c r="E7" i="12"/>
  <c r="N7" i="16"/>
  <c r="R17" i="15"/>
  <c r="J43" i="12"/>
  <c r="C29" i="15"/>
  <c r="C7" i="18"/>
  <c r="A7" i="12"/>
  <c r="Y41" i="12"/>
  <c r="B9" i="46"/>
  <c r="S27" i="12"/>
  <c r="B9" i="22"/>
  <c r="H41" i="43"/>
  <c r="B11" i="27"/>
  <c r="A25" i="12"/>
  <c r="S23" i="12"/>
  <c r="C17" i="31"/>
  <c r="M27" i="12"/>
  <c r="S40" i="43"/>
  <c r="N9" i="28"/>
  <c r="B25" i="12"/>
  <c r="H49" i="43"/>
  <c r="S39" i="43"/>
  <c r="V2" i="15"/>
  <c r="I5" i="15"/>
  <c r="J38" i="16"/>
  <c r="M2" i="14"/>
  <c r="AA2" i="15"/>
  <c r="A15" i="12"/>
  <c r="B5" i="22"/>
  <c r="E18" i="22"/>
  <c r="E23" i="46"/>
  <c r="C7" i="33"/>
  <c r="B7" i="28"/>
  <c r="B5" i="46"/>
  <c r="B11" i="43"/>
  <c r="R5" i="22"/>
  <c r="C21" i="31"/>
  <c r="L2" i="14"/>
  <c r="B5" i="27"/>
  <c r="R15" i="12"/>
  <c r="B11" i="22"/>
  <c r="J42" i="12"/>
  <c r="S29" i="12"/>
  <c r="H2" i="47"/>
  <c r="S19" i="12"/>
  <c r="R2" i="15"/>
  <c r="P2" i="15"/>
  <c r="B7" i="31"/>
  <c r="H44" i="43"/>
  <c r="N2" i="15"/>
  <c r="B9" i="28"/>
  <c r="U2" i="12"/>
  <c r="R5" i="28"/>
  <c r="B7" i="46"/>
  <c r="E17" i="27"/>
  <c r="Y1" i="12"/>
  <c r="C17" i="15"/>
  <c r="B9" i="43"/>
  <c r="A5" i="12"/>
  <c r="B7" i="15"/>
  <c r="P11" i="12"/>
  <c r="I38" i="16"/>
  <c r="B11" i="28"/>
  <c r="G31" i="27"/>
  <c r="C27" i="31"/>
  <c r="A35" i="12"/>
  <c r="Y43" i="12"/>
  <c r="B7" i="43"/>
  <c r="B21" i="12"/>
  <c r="J39" i="12"/>
  <c r="S41" i="43"/>
  <c r="U40" i="12"/>
  <c r="G18" i="15"/>
  <c r="T11" i="12"/>
  <c r="B9" i="16"/>
  <c r="I1" i="14"/>
  <c r="R5" i="27"/>
  <c r="E5" i="12"/>
  <c r="A17" i="12"/>
  <c r="A23" i="12"/>
  <c r="I5" i="31"/>
  <c r="B2" i="23"/>
  <c r="B11" i="46"/>
  <c r="E27" i="18"/>
  <c r="C27" i="16"/>
  <c r="N7" i="15"/>
  <c r="I1" i="44"/>
  <c r="Y45" i="12"/>
  <c r="B5" i="31"/>
  <c r="O29" i="15"/>
  <c r="B7" i="27"/>
  <c r="B31" i="12"/>
  <c r="A9" i="12"/>
  <c r="D27" i="18"/>
  <c r="S38" i="43"/>
  <c r="C23" i="31"/>
  <c r="D27" i="33"/>
  <c r="B11" i="31"/>
  <c r="Y44" i="12"/>
  <c r="B23" i="12"/>
  <c r="A1" i="12"/>
  <c r="B17" i="12"/>
  <c r="S21" i="12"/>
  <c r="H43" i="43"/>
  <c r="I1" i="30"/>
  <c r="H50" i="43"/>
  <c r="B9" i="15"/>
  <c r="T2" i="15"/>
  <c r="E19" i="46"/>
  <c r="B2" i="14"/>
  <c r="B5" i="15"/>
  <c r="J41" i="12"/>
  <c r="B19" i="12"/>
  <c r="B9" i="31"/>
  <c r="G31" i="28"/>
  <c r="B7" i="22"/>
  <c r="B11" i="15"/>
  <c r="B7" i="16"/>
  <c r="B27" i="12"/>
  <c r="C25" i="31"/>
  <c r="K2" i="14"/>
  <c r="A19" i="12"/>
  <c r="F38" i="43"/>
  <c r="N9" i="46"/>
  <c r="I2" i="14"/>
  <c r="S25" i="12"/>
  <c r="T4" i="1"/>
  <c r="P9" i="12"/>
  <c r="U44" i="12"/>
  <c r="F27" i="18"/>
  <c r="C19" i="31"/>
  <c r="U43" i="12"/>
  <c r="S17" i="12"/>
  <c r="F45" i="43"/>
  <c r="Y42" i="12"/>
  <c r="G31" i="16"/>
  <c r="G1" i="14"/>
  <c r="E2" i="29"/>
  <c r="A29" i="12"/>
  <c r="H42" i="43"/>
  <c r="I1" i="23"/>
  <c r="E17" i="22"/>
  <c r="F28" i="15"/>
  <c r="G31" i="46"/>
  <c r="F27" i="33"/>
  <c r="J40" i="12"/>
  <c r="I1" i="29"/>
  <c r="J44" i="12"/>
  <c r="I1" i="17"/>
  <c r="D1" i="35"/>
  <c r="G31" i="22"/>
  <c r="A21" i="12"/>
  <c r="A29" i="15"/>
  <c r="N9" i="15"/>
  <c r="R5" i="43"/>
  <c r="H39" i="43"/>
  <c r="B11" i="16"/>
  <c r="F50" i="43"/>
  <c r="B5" i="28"/>
  <c r="A33" i="12"/>
  <c r="B5" i="43"/>
  <c r="G31" i="15"/>
  <c r="J38" i="12"/>
  <c r="B29" i="12"/>
  <c r="B5" i="16"/>
  <c r="H38" i="43"/>
  <c r="G31" i="31"/>
  <c r="I1" i="32"/>
  <c r="F43" i="43"/>
  <c r="B15" i="12"/>
  <c r="E9" i="12"/>
  <c r="E27" i="33"/>
  <c r="AF1" i="47"/>
  <c r="A11" i="12"/>
  <c r="Q13" i="12"/>
  <c r="C17" i="46"/>
  <c r="E11" i="12"/>
  <c r="P7" i="12"/>
  <c r="B1" i="12"/>
  <c r="N9" i="31"/>
  <c r="C2" i="14"/>
  <c r="H40" i="43"/>
  <c r="H2" i="14"/>
  <c r="B7" i="18" l="1"/>
  <c r="B7" i="33"/>
  <c r="L106" i="35"/>
  <c r="K18" i="21" s="1"/>
  <c r="J18" i="21"/>
  <c r="Y1" i="28"/>
  <c r="L323" i="35"/>
  <c r="B27" i="43"/>
  <c r="N2" i="44" s="1"/>
  <c r="V19" i="43"/>
  <c r="G1" i="17"/>
  <c r="G1" i="23"/>
  <c r="G1" i="44"/>
  <c r="G1" i="32"/>
  <c r="G1" i="47"/>
  <c r="G1" i="30"/>
  <c r="G1" i="29"/>
  <c r="B17" i="43"/>
  <c r="H2" i="44" s="1"/>
  <c r="AA2" i="46"/>
  <c r="AA2" i="22"/>
  <c r="AA2" i="28"/>
  <c r="AA2" i="43"/>
  <c r="AA2" i="16"/>
  <c r="AA2" i="27"/>
  <c r="AA2" i="31"/>
  <c r="B1" i="43"/>
  <c r="G2" i="44" s="1"/>
  <c r="N7" i="43"/>
  <c r="N7" i="27"/>
  <c r="N7" i="46"/>
  <c r="N7" i="22"/>
  <c r="N7" i="28"/>
  <c r="C2" i="32"/>
  <c r="Y46" i="12"/>
  <c r="B21" i="43"/>
  <c r="K2" i="44" s="1"/>
  <c r="A2" i="14"/>
  <c r="A2" i="44" s="1"/>
  <c r="P19" i="43"/>
  <c r="B2" i="29"/>
  <c r="B2" i="32"/>
  <c r="B23" i="43"/>
  <c r="M2" i="44" s="1"/>
  <c r="AH2" i="14"/>
  <c r="AH2" i="44" s="1"/>
  <c r="AG2" i="14"/>
  <c r="AG2" i="47" s="1"/>
  <c r="AI2" i="14"/>
  <c r="AI2" i="44" s="1"/>
  <c r="AF2" i="14"/>
  <c r="AF2" i="44" s="1"/>
  <c r="B19" i="43"/>
  <c r="I2" i="44" s="1"/>
  <c r="J21" i="43"/>
  <c r="L2" i="44" s="1"/>
  <c r="L89" i="35"/>
  <c r="L133" i="35"/>
  <c r="L125" i="35"/>
  <c r="L124" i="35"/>
  <c r="L280" i="35"/>
  <c r="L120" i="35"/>
  <c r="L130" i="35"/>
  <c r="L129" i="35"/>
  <c r="L109" i="35"/>
  <c r="L48" i="35"/>
  <c r="L75" i="35"/>
  <c r="L128" i="35"/>
  <c r="L137" i="35"/>
  <c r="L117" i="35"/>
  <c r="L93" i="35"/>
  <c r="L71" i="35"/>
  <c r="L134" i="35"/>
  <c r="L85" i="35"/>
  <c r="L131" i="35"/>
  <c r="L67" i="35"/>
  <c r="L102" i="35"/>
  <c r="L90" i="35"/>
  <c r="L97" i="35"/>
  <c r="L127" i="35"/>
  <c r="L126" i="35"/>
  <c r="L91" i="35"/>
  <c r="L282" i="35"/>
  <c r="L278" i="35"/>
  <c r="L121" i="35"/>
  <c r="L92" i="35"/>
  <c r="L119" i="35"/>
  <c r="L279" i="35"/>
  <c r="L77" i="35"/>
  <c r="L281" i="35"/>
  <c r="L111" i="35"/>
  <c r="L96" i="35"/>
  <c r="L123" i="35"/>
  <c r="L284" i="35"/>
  <c r="L105" i="35"/>
  <c r="K17" i="21" s="1"/>
  <c r="K19" i="21" s="1"/>
  <c r="L76" i="35"/>
  <c r="L103" i="35"/>
  <c r="L32" i="35"/>
  <c r="L136" i="35"/>
  <c r="L99" i="35"/>
  <c r="L118" i="35"/>
  <c r="L49" i="35"/>
  <c r="L95" i="35"/>
  <c r="L31" i="35"/>
  <c r="L74" i="35"/>
  <c r="L122" i="35"/>
  <c r="L283" i="35"/>
  <c r="N2" i="31"/>
  <c r="F1" i="32"/>
  <c r="F1" i="14"/>
  <c r="I5" i="28"/>
  <c r="I5" i="27"/>
  <c r="P27" i="16"/>
  <c r="Y1" i="27"/>
  <c r="P2" i="43"/>
  <c r="Y1" i="46"/>
  <c r="Y1" i="43"/>
  <c r="Y1" i="22"/>
  <c r="Y1" i="15"/>
  <c r="Y1" i="31" s="1"/>
  <c r="Y1" i="16"/>
  <c r="I5" i="46"/>
  <c r="B1" i="46"/>
  <c r="G2" i="47" s="1"/>
  <c r="A29" i="46"/>
  <c r="L2" i="46"/>
  <c r="P2" i="46"/>
  <c r="N2" i="46"/>
  <c r="V2" i="46"/>
  <c r="R2" i="46"/>
  <c r="T2" i="46"/>
  <c r="V2" i="43"/>
  <c r="T2" i="43"/>
  <c r="I5" i="43"/>
  <c r="L2" i="43"/>
  <c r="N2" i="43"/>
  <c r="R2" i="43"/>
  <c r="A29" i="43"/>
  <c r="Y2" i="14"/>
  <c r="X2" i="14"/>
  <c r="W2" i="14"/>
  <c r="V2" i="14"/>
  <c r="U2" i="14"/>
  <c r="T2" i="14"/>
  <c r="O29" i="28"/>
  <c r="AD2" i="29" s="1"/>
  <c r="O27" i="28"/>
  <c r="AA2" i="29" s="1"/>
  <c r="O25" i="28"/>
  <c r="X2" i="29" s="1"/>
  <c r="O23" i="28"/>
  <c r="U2" i="29" s="1"/>
  <c r="O21" i="28"/>
  <c r="R2" i="29" s="1"/>
  <c r="O19" i="28"/>
  <c r="O17" i="28"/>
  <c r="L2" i="29" s="1"/>
  <c r="O15" i="28"/>
  <c r="B29" i="28"/>
  <c r="AC2" i="29" s="1"/>
  <c r="B27" i="28"/>
  <c r="Z2" i="29" s="1"/>
  <c r="B25" i="28"/>
  <c r="W2" i="29" s="1"/>
  <c r="B23" i="28"/>
  <c r="T2" i="29" s="1"/>
  <c r="B21" i="28"/>
  <c r="Q2" i="29" s="1"/>
  <c r="B19" i="28"/>
  <c r="B17" i="28"/>
  <c r="K2" i="29" s="1"/>
  <c r="B15" i="28"/>
  <c r="F17" i="27"/>
  <c r="P17" i="27" s="1"/>
  <c r="J17" i="22"/>
  <c r="T17" i="22" s="1"/>
  <c r="F17" i="22"/>
  <c r="P17" i="22" s="1"/>
  <c r="S2" i="14"/>
  <c r="R2" i="14"/>
  <c r="Q2" i="14"/>
  <c r="P2" i="14"/>
  <c r="O2" i="14"/>
  <c r="N2" i="14"/>
  <c r="F2" i="14"/>
  <c r="A17" i="15"/>
  <c r="A1" i="15"/>
  <c r="A23" i="15"/>
  <c r="A25" i="15"/>
  <c r="A15" i="15"/>
  <c r="N29" i="27"/>
  <c r="AE2" i="30" s="1"/>
  <c r="D21" i="27"/>
  <c r="M2" i="30" s="1"/>
  <c r="N27" i="27"/>
  <c r="AA2" i="30" s="1"/>
  <c r="N21" i="27"/>
  <c r="O2" i="30" s="1"/>
  <c r="D19" i="27"/>
  <c r="I2" i="30" s="1"/>
  <c r="N19" i="27"/>
  <c r="D23" i="27"/>
  <c r="Q2" i="30" s="1"/>
  <c r="N25" i="27"/>
  <c r="W2" i="30" s="1"/>
  <c r="D25" i="27"/>
  <c r="U2" i="30" s="1"/>
  <c r="D29" i="27"/>
  <c r="AC2" i="30" s="1"/>
  <c r="H17" i="27"/>
  <c r="B2" i="30" s="1"/>
  <c r="N23" i="27"/>
  <c r="S2" i="30" s="1"/>
  <c r="D27" i="27"/>
  <c r="Y2" i="30" s="1"/>
  <c r="A13" i="15"/>
  <c r="A19" i="15"/>
  <c r="A5" i="15"/>
  <c r="A35" i="15"/>
  <c r="A11" i="15"/>
  <c r="A33" i="15"/>
  <c r="A21" i="15"/>
  <c r="N27" i="22"/>
  <c r="N23" i="22"/>
  <c r="C29" i="22"/>
  <c r="C27" i="22"/>
  <c r="N21" i="22"/>
  <c r="C21" i="22"/>
  <c r="N29" i="22"/>
  <c r="C25" i="22"/>
  <c r="N25" i="22"/>
  <c r="C19" i="22"/>
  <c r="C23" i="22"/>
  <c r="N19" i="22"/>
  <c r="A7" i="15"/>
  <c r="A9" i="15"/>
  <c r="A9" i="16" s="1"/>
  <c r="R15" i="28"/>
  <c r="R19" i="15"/>
  <c r="A29" i="16"/>
  <c r="A29" i="27"/>
  <c r="A29" i="22"/>
  <c r="A29" i="31"/>
  <c r="A29" i="28"/>
  <c r="E2" i="14"/>
  <c r="D2" i="14"/>
  <c r="AG2" i="23" l="1"/>
  <c r="AI2" i="17"/>
  <c r="AH2" i="17"/>
  <c r="AG2" i="44"/>
  <c r="J2" i="44"/>
  <c r="AH2" i="47"/>
  <c r="A2" i="29"/>
  <c r="A2" i="23"/>
  <c r="A2" i="17"/>
  <c r="AF2" i="47"/>
  <c r="AG2" i="17"/>
  <c r="A2" i="32"/>
  <c r="AF2" i="17"/>
  <c r="AI2" i="47"/>
  <c r="A2" i="30"/>
  <c r="A2" i="47"/>
  <c r="I2" i="17"/>
  <c r="R21" i="15"/>
  <c r="R23" i="15" s="1"/>
  <c r="R25" i="15" s="1"/>
  <c r="R27" i="15" s="1"/>
  <c r="H1" i="17"/>
  <c r="F1" i="29"/>
  <c r="F1" i="44"/>
  <c r="F1" i="47"/>
  <c r="F1" i="30"/>
  <c r="F1" i="17"/>
  <c r="F1" i="23"/>
  <c r="Y2" i="29"/>
  <c r="V2" i="29"/>
  <c r="R2" i="30"/>
  <c r="V2" i="30"/>
  <c r="P2" i="30"/>
  <c r="Z2" i="30"/>
  <c r="T2" i="30"/>
  <c r="AD2" i="30"/>
  <c r="AB2" i="30"/>
  <c r="X2" i="30"/>
  <c r="N2" i="30"/>
  <c r="F2" i="47"/>
  <c r="Q2" i="32"/>
  <c r="V2" i="32"/>
  <c r="N2" i="32"/>
  <c r="R2" i="32"/>
  <c r="W2" i="32"/>
  <c r="O2" i="32"/>
  <c r="S2" i="32"/>
  <c r="X2" i="32"/>
  <c r="P2" i="32"/>
  <c r="U2" i="32"/>
  <c r="Y2" i="32"/>
  <c r="D2" i="32"/>
  <c r="E2" i="32"/>
  <c r="T2" i="32"/>
  <c r="A5" i="43"/>
  <c r="A5" i="46"/>
  <c r="A15" i="43"/>
  <c r="A15" i="46"/>
  <c r="A17" i="43"/>
  <c r="A17" i="46"/>
  <c r="A9" i="43"/>
  <c r="A9" i="46"/>
  <c r="A33" i="43"/>
  <c r="A33" i="46"/>
  <c r="A19" i="43"/>
  <c r="A19" i="46"/>
  <c r="A25" i="43"/>
  <c r="A25" i="46"/>
  <c r="A7" i="43"/>
  <c r="A7" i="46"/>
  <c r="A11" i="43"/>
  <c r="A11" i="46"/>
  <c r="A13" i="43"/>
  <c r="A13" i="46"/>
  <c r="A23" i="43"/>
  <c r="A23" i="46"/>
  <c r="A21" i="43"/>
  <c r="A21" i="46"/>
  <c r="A35" i="43"/>
  <c r="A35" i="46"/>
  <c r="A1" i="43"/>
  <c r="A1" i="46"/>
  <c r="F2" i="44"/>
  <c r="F2" i="30"/>
  <c r="A7" i="31"/>
  <c r="A11" i="28"/>
  <c r="A13" i="27"/>
  <c r="A23" i="22"/>
  <c r="A21" i="31"/>
  <c r="A35" i="31"/>
  <c r="A1" i="27"/>
  <c r="A5" i="28"/>
  <c r="A15" i="28"/>
  <c r="A17" i="31"/>
  <c r="A9" i="27"/>
  <c r="A33" i="28"/>
  <c r="A19" i="31"/>
  <c r="A25" i="28"/>
  <c r="AF2" i="23"/>
  <c r="AB2" i="29"/>
  <c r="AE2" i="29"/>
  <c r="S2" i="29"/>
  <c r="O2" i="29"/>
  <c r="N2" i="29"/>
  <c r="M2" i="29"/>
  <c r="P2" i="29"/>
  <c r="H2" i="29"/>
  <c r="I2" i="29"/>
  <c r="R17" i="27"/>
  <c r="L2" i="30"/>
  <c r="K2" i="30"/>
  <c r="J2" i="29"/>
  <c r="A23" i="16"/>
  <c r="A35" i="27"/>
  <c r="F2" i="23"/>
  <c r="F2" i="29"/>
  <c r="F2" i="32"/>
  <c r="F2" i="17"/>
  <c r="AD2" i="23"/>
  <c r="AE2" i="23"/>
  <c r="AC2" i="23"/>
  <c r="AB2" i="23"/>
  <c r="Z2" i="23"/>
  <c r="AA2" i="23"/>
  <c r="Y2" i="23"/>
  <c r="X2" i="23"/>
  <c r="W2" i="23"/>
  <c r="V2" i="23"/>
  <c r="U2" i="23"/>
  <c r="T2" i="23"/>
  <c r="Q2" i="23"/>
  <c r="P2" i="23"/>
  <c r="S2" i="23"/>
  <c r="R2" i="23"/>
  <c r="O2" i="23"/>
  <c r="N2" i="23"/>
  <c r="M2" i="23"/>
  <c r="L2" i="23"/>
  <c r="K2" i="23"/>
  <c r="J2" i="23"/>
  <c r="H2" i="23"/>
  <c r="I2" i="23"/>
  <c r="AH2" i="29"/>
  <c r="AH2" i="30"/>
  <c r="AI2" i="29"/>
  <c r="AI2" i="30"/>
  <c r="AF2" i="29"/>
  <c r="AF2" i="30"/>
  <c r="AG2" i="29"/>
  <c r="AG2" i="30"/>
  <c r="AH2" i="32"/>
  <c r="AH2" i="23"/>
  <c r="AI2" i="32"/>
  <c r="AI2" i="23"/>
  <c r="AF2" i="32"/>
  <c r="AG2" i="32"/>
  <c r="A17" i="22"/>
  <c r="A17" i="28"/>
  <c r="A17" i="27"/>
  <c r="A17" i="16"/>
  <c r="A11" i="27"/>
  <c r="A23" i="31"/>
  <c r="A19" i="22"/>
  <c r="A19" i="16"/>
  <c r="A11" i="16"/>
  <c r="A23" i="27"/>
  <c r="A9" i="31"/>
  <c r="A1" i="16"/>
  <c r="A9" i="28"/>
  <c r="A11" i="22"/>
  <c r="A19" i="28"/>
  <c r="A15" i="27"/>
  <c r="A1" i="22"/>
  <c r="A15" i="31"/>
  <c r="A15" i="22"/>
  <c r="A25" i="27"/>
  <c r="A33" i="16"/>
  <c r="A25" i="31"/>
  <c r="A5" i="27"/>
  <c r="A5" i="31"/>
  <c r="A21" i="28"/>
  <c r="A25" i="16"/>
  <c r="A9" i="22"/>
  <c r="A11" i="31"/>
  <c r="A13" i="31"/>
  <c r="A19" i="27"/>
  <c r="A7" i="16"/>
  <c r="A35" i="16"/>
  <c r="A33" i="31"/>
  <c r="A5" i="22"/>
  <c r="A23" i="28"/>
  <c r="A21" i="22"/>
  <c r="A33" i="27"/>
  <c r="A7" i="28"/>
  <c r="A13" i="16"/>
  <c r="A35" i="22"/>
  <c r="A5" i="16"/>
  <c r="A7" i="27"/>
  <c r="A7" i="22"/>
  <c r="A13" i="28"/>
  <c r="A15" i="16"/>
  <c r="A21" i="27"/>
  <c r="A25" i="22"/>
  <c r="A35" i="28"/>
  <c r="A1" i="28"/>
  <c r="A1" i="31"/>
  <c r="A13" i="22"/>
  <c r="A21" i="16"/>
  <c r="A33" i="22"/>
  <c r="M40" i="12"/>
  <c r="J2" i="30" l="1"/>
  <c r="XEN23" i="43"/>
  <c r="XEZ7" i="43"/>
  <c r="XEN5" i="43"/>
  <c r="XEN27" i="43"/>
  <c r="XEN25" i="43"/>
  <c r="XEN21" i="43"/>
  <c r="XEZ5" i="43"/>
  <c r="N40" i="12"/>
  <c r="L40" i="12" l="1"/>
  <c r="I5" i="22"/>
  <c r="W2" i="27"/>
  <c r="V2" i="27"/>
  <c r="U2" i="27"/>
  <c r="T2" i="27"/>
  <c r="S2" i="27"/>
  <c r="R2" i="27"/>
  <c r="Q2" i="27"/>
  <c r="P2" i="27"/>
  <c r="O2" i="27"/>
  <c r="N2" i="27"/>
  <c r="M2" i="27"/>
  <c r="L2" i="27"/>
  <c r="W2" i="28"/>
  <c r="V2" i="28"/>
  <c r="U2" i="28"/>
  <c r="T2" i="28"/>
  <c r="S2" i="28"/>
  <c r="R2" i="28"/>
  <c r="Q2" i="28"/>
  <c r="P2" i="28"/>
  <c r="O2" i="28"/>
  <c r="N2" i="28"/>
  <c r="M2" i="28"/>
  <c r="L2" i="28"/>
  <c r="W2" i="22"/>
  <c r="V2" i="22"/>
  <c r="U2" i="22"/>
  <c r="T2" i="22"/>
  <c r="S2" i="22"/>
  <c r="R2" i="22"/>
  <c r="Q2" i="22"/>
  <c r="P2" i="22"/>
  <c r="O2" i="22"/>
  <c r="N2" i="22"/>
  <c r="M2" i="22"/>
  <c r="L2" i="22"/>
  <c r="V2" i="16"/>
  <c r="W2" i="16"/>
  <c r="U2" i="16"/>
  <c r="T2" i="16"/>
  <c r="S2" i="16"/>
  <c r="R2" i="16"/>
  <c r="Q2" i="16"/>
  <c r="P2" i="16"/>
  <c r="O2" i="16"/>
  <c r="N2" i="16"/>
  <c r="M2" i="16"/>
  <c r="L2" i="16"/>
  <c r="I5" i="16"/>
  <c r="V2" i="31"/>
  <c r="W2" i="31"/>
  <c r="U2" i="31"/>
  <c r="T2" i="31"/>
  <c r="S2" i="31"/>
  <c r="R2" i="31"/>
  <c r="Q2" i="31"/>
  <c r="P2" i="31"/>
  <c r="O2" i="31"/>
  <c r="M2" i="31"/>
  <c r="L2" i="31"/>
  <c r="C29" i="31"/>
  <c r="O29" i="31"/>
  <c r="R27" i="31"/>
  <c r="R25" i="31"/>
  <c r="R23" i="31"/>
  <c r="R21" i="31"/>
  <c r="R19" i="31"/>
  <c r="R17" i="31"/>
  <c r="R5" i="16"/>
  <c r="O4" i="32" l="1"/>
  <c r="N4" i="32"/>
  <c r="B1" i="27" l="1"/>
  <c r="G2" i="30" s="1"/>
  <c r="B1" i="28"/>
  <c r="G2" i="29" s="1"/>
  <c r="B1" i="22"/>
  <c r="G2" i="23" s="1"/>
  <c r="B1" i="16"/>
  <c r="B1" i="31"/>
  <c r="G2" i="32" s="1"/>
  <c r="G2" i="17" l="1"/>
  <c r="B1" i="15"/>
  <c r="G2" i="14" s="1"/>
  <c r="R127" i="27" l="1"/>
  <c r="AI4" i="32" l="1"/>
  <c r="AH4" i="32"/>
  <c r="AG4" i="32"/>
  <c r="AF4" i="32"/>
  <c r="S4" i="32"/>
  <c r="R4" i="32"/>
  <c r="Q4" i="32"/>
  <c r="P4" i="32"/>
  <c r="M4" i="32"/>
  <c r="L4" i="32"/>
  <c r="K4" i="32"/>
  <c r="J4" i="32"/>
  <c r="I4" i="32"/>
  <c r="H4" i="32"/>
  <c r="G4" i="32"/>
  <c r="F4" i="32"/>
  <c r="B34" i="33"/>
  <c r="B40" i="33" s="1"/>
  <c r="B46" i="33" s="1"/>
  <c r="B23" i="33"/>
  <c r="A23" i="33" s="1"/>
  <c r="B20" i="33"/>
  <c r="A20" i="33" s="1"/>
  <c r="B18" i="33"/>
  <c r="A18" i="33" s="1"/>
  <c r="B17" i="33"/>
  <c r="A17" i="33" s="1"/>
  <c r="A16" i="33"/>
  <c r="B15" i="33"/>
  <c r="A15" i="33" s="1"/>
  <c r="B14" i="33"/>
  <c r="A14" i="33" s="1"/>
  <c r="B12" i="33"/>
  <c r="A12" i="33" s="1"/>
  <c r="B10" i="33"/>
  <c r="A10" i="33" s="1"/>
  <c r="B52" i="33" l="1"/>
  <c r="B58" i="33" l="1"/>
  <c r="O46" i="12" l="1"/>
  <c r="B4" i="48" l="1"/>
  <c r="H5" i="16"/>
  <c r="H7" i="16"/>
  <c r="A7" i="48" l="1"/>
  <c r="K5" i="12"/>
  <c r="AH4" i="14" l="1"/>
  <c r="H5" i="28" l="1"/>
  <c r="H7" i="28"/>
  <c r="B27" i="26" l="1"/>
  <c r="B31" i="26" s="1"/>
  <c r="B35" i="26" s="1"/>
  <c r="B39" i="26" s="1"/>
  <c r="B43" i="26" s="1"/>
  <c r="B47" i="26" s="1"/>
  <c r="B51" i="26" s="1"/>
  <c r="B55" i="26" s="1"/>
  <c r="B59" i="26" l="1"/>
  <c r="B63" i="26" l="1"/>
  <c r="B67" i="26" l="1"/>
  <c r="B71" i="26" l="1"/>
  <c r="B10" i="25" l="1"/>
  <c r="H5" i="27" l="1"/>
  <c r="H7" i="27"/>
  <c r="R17" i="28" l="1"/>
  <c r="R19" i="28" s="1"/>
  <c r="B12" i="26"/>
  <c r="A12" i="26" s="1"/>
  <c r="B12" i="25"/>
  <c r="A12" i="25" s="1"/>
  <c r="B21" i="26"/>
  <c r="A21" i="26" s="1"/>
  <c r="B18" i="26"/>
  <c r="A18" i="26" s="1"/>
  <c r="B16" i="26"/>
  <c r="A16" i="26" s="1"/>
  <c r="B15" i="26"/>
  <c r="A15" i="26" s="1"/>
  <c r="B14" i="26"/>
  <c r="B10" i="26"/>
  <c r="A10" i="26" s="1"/>
  <c r="B16" i="25"/>
  <c r="A16" i="25" s="1"/>
  <c r="B15" i="25"/>
  <c r="A15" i="25" s="1"/>
  <c r="B14" i="25"/>
  <c r="A10" i="25"/>
  <c r="R21" i="28" l="1"/>
  <c r="R23" i="28" s="1"/>
  <c r="R25" i="28" s="1"/>
  <c r="R27" i="28" s="1"/>
  <c r="R29" i="28" s="1"/>
  <c r="B12" i="24"/>
  <c r="A12" i="24" s="1"/>
  <c r="B21" i="24"/>
  <c r="A21" i="24" s="1"/>
  <c r="B18" i="24"/>
  <c r="A18" i="24" s="1"/>
  <c r="B16" i="24"/>
  <c r="A16" i="24" s="1"/>
  <c r="B15" i="24"/>
  <c r="A15" i="24" s="1"/>
  <c r="B14" i="24"/>
  <c r="B10" i="24"/>
  <c r="A10" i="24" s="1"/>
  <c r="H5" i="22" l="1"/>
  <c r="H7" i="22"/>
  <c r="B12" i="21" l="1"/>
  <c r="A26" i="21" l="1"/>
  <c r="A27" i="21"/>
  <c r="B14" i="21"/>
  <c r="A14" i="21" s="1"/>
  <c r="A12" i="21"/>
  <c r="B10" i="21"/>
  <c r="A10" i="21" s="1"/>
  <c r="AI4" i="17" l="1"/>
  <c r="AH4" i="17"/>
  <c r="AG4" i="17"/>
  <c r="AF4" i="17"/>
  <c r="H4" i="17"/>
  <c r="F4" i="17"/>
  <c r="B34" i="18" l="1"/>
  <c r="B18" i="18"/>
  <c r="A18" i="18" s="1"/>
  <c r="B17" i="18"/>
  <c r="A17" i="18" s="1"/>
  <c r="A16" i="18"/>
  <c r="B14" i="18"/>
  <c r="A14" i="18" s="1"/>
  <c r="B12" i="18"/>
  <c r="A12" i="18" s="1"/>
  <c r="B10" i="18"/>
  <c r="A10" i="18" s="1"/>
  <c r="B23" i="18"/>
  <c r="A23" i="18" s="1"/>
  <c r="B20" i="18"/>
  <c r="A20" i="18" s="1"/>
  <c r="B15" i="18"/>
  <c r="A15" i="18" s="1"/>
  <c r="B40" i="18" l="1"/>
  <c r="J46" i="12"/>
  <c r="K46" i="12"/>
  <c r="AA4" i="20" l="1"/>
  <c r="AB4" i="20"/>
  <c r="AC4" i="20"/>
  <c r="AD4" i="20"/>
  <c r="AE4" i="20"/>
  <c r="AF4" i="20"/>
  <c r="AG4" i="20"/>
  <c r="AH4" i="20"/>
  <c r="AI4" i="20"/>
  <c r="AJ4" i="20"/>
  <c r="AK4" i="20"/>
  <c r="AL4" i="20"/>
  <c r="AM4" i="20"/>
  <c r="AN4" i="20"/>
  <c r="AO4" i="20"/>
  <c r="AP4" i="20"/>
  <c r="AQ4" i="20"/>
  <c r="AR4" i="20"/>
  <c r="AS4" i="20"/>
  <c r="AT4" i="20"/>
  <c r="AU4" i="20"/>
  <c r="AV4" i="20"/>
  <c r="AW4" i="20"/>
  <c r="AX4" i="20"/>
  <c r="B46" i="18"/>
  <c r="G46" i="12"/>
  <c r="D9" i="19"/>
  <c r="B52" i="18" l="1"/>
  <c r="B58" i="18" l="1"/>
  <c r="D1" i="20"/>
  <c r="Q9" i="15"/>
  <c r="K4" i="14" l="1"/>
  <c r="Q4" i="14"/>
  <c r="AF4" i="14"/>
  <c r="G4" i="14"/>
  <c r="R4" i="14"/>
  <c r="AG4" i="14"/>
  <c r="P4" i="14"/>
  <c r="O4" i="14"/>
  <c r="E1" i="20"/>
  <c r="M4" i="14"/>
  <c r="L4" i="14"/>
  <c r="H4" i="14"/>
  <c r="F1" i="20" l="1"/>
  <c r="G1" i="20" l="1"/>
  <c r="R5" i="15"/>
  <c r="H29" i="16" l="1"/>
  <c r="H1" i="20"/>
  <c r="J2" i="17" l="1"/>
  <c r="I1" i="20"/>
  <c r="A4" i="48" l="1"/>
  <c r="B1" i="48" s="1"/>
  <c r="J1" i="20"/>
  <c r="K1" i="20" l="1"/>
  <c r="L1" i="20" l="1"/>
  <c r="M1" i="20" l="1"/>
  <c r="N1" i="20" l="1"/>
  <c r="O1" i="20" l="1"/>
  <c r="P1" i="20" l="1"/>
  <c r="B13" i="33"/>
  <c r="A13" i="33" s="1"/>
  <c r="U38" i="12"/>
  <c r="H2" i="17" s="1"/>
  <c r="B13" i="24" l="1"/>
  <c r="B13" i="25"/>
  <c r="A13" i="25" s="1"/>
  <c r="B13" i="26"/>
  <c r="B13" i="18"/>
  <c r="A13" i="18" s="1"/>
  <c r="B13" i="21"/>
  <c r="A13" i="21" s="1"/>
  <c r="H2" i="32"/>
  <c r="Q1" i="20"/>
  <c r="A13" i="26" l="1"/>
  <c r="A13" i="24"/>
  <c r="R1" i="20"/>
  <c r="I2" i="32"/>
  <c r="R5" i="31"/>
  <c r="J2" i="32" l="1"/>
  <c r="S1" i="20"/>
  <c r="T1" i="20" l="1"/>
  <c r="K2" i="32"/>
  <c r="U1" i="20" l="1"/>
  <c r="V1" i="20" s="1"/>
  <c r="L2" i="32"/>
  <c r="W1" i="20" l="1"/>
  <c r="X1" i="20" s="1"/>
  <c r="M2" i="32"/>
  <c r="Y1" i="20" l="1"/>
  <c r="B29" i="18"/>
  <c r="B44" i="18"/>
  <c r="B56" i="18"/>
  <c r="Z1" i="20" l="1"/>
  <c r="C28" i="18"/>
  <c r="A7" i="18"/>
  <c r="F54" i="18"/>
  <c r="E60" i="18"/>
  <c r="B41" i="18"/>
  <c r="B38" i="18"/>
  <c r="E48" i="18"/>
  <c r="D54" i="18"/>
  <c r="B47" i="18"/>
  <c r="F42" i="18"/>
  <c r="B32" i="18"/>
  <c r="F48" i="18"/>
  <c r="F60" i="18"/>
  <c r="B62" i="18"/>
  <c r="B35" i="18"/>
  <c r="D60" i="18"/>
  <c r="F36" i="18"/>
  <c r="D36" i="18"/>
  <c r="D48" i="18"/>
  <c r="F30" i="18"/>
  <c r="E36" i="18"/>
  <c r="B53" i="18"/>
  <c r="B50" i="18"/>
  <c r="E42" i="18"/>
  <c r="E54" i="18"/>
  <c r="E30" i="18"/>
  <c r="D42" i="18"/>
  <c r="B59" i="18"/>
  <c r="D30" i="18"/>
  <c r="C40" i="18" l="1"/>
  <c r="C46" i="18"/>
  <c r="C52" i="18"/>
  <c r="C58" i="18"/>
  <c r="C34" i="18"/>
  <c r="B36" i="18"/>
  <c r="B60" i="18"/>
  <c r="B30" i="18"/>
  <c r="B48" i="18"/>
  <c r="B54" i="18"/>
  <c r="B42" i="18"/>
  <c r="A53" i="18" l="1"/>
  <c r="A54" i="18" s="1"/>
  <c r="A55" i="18" s="1"/>
  <c r="A56" i="18" s="1"/>
  <c r="A57" i="18" s="1"/>
  <c r="A58" i="18" s="1"/>
  <c r="A41" i="18"/>
  <c r="A42" i="18" s="1"/>
  <c r="A43" i="18" s="1"/>
  <c r="A44" i="18" s="1"/>
  <c r="A45" i="18" s="1"/>
  <c r="A46" i="18" s="1"/>
  <c r="A35" i="18"/>
  <c r="A36" i="18" s="1"/>
  <c r="A37" i="18" s="1"/>
  <c r="A38" i="18" s="1"/>
  <c r="A39" i="18" s="1"/>
  <c r="A40" i="18" s="1"/>
  <c r="A47" i="18"/>
  <c r="A48" i="18" s="1"/>
  <c r="A49" i="18" s="1"/>
  <c r="A50" i="18" s="1"/>
  <c r="A51" i="18" s="1"/>
  <c r="A52" i="18" s="1"/>
  <c r="A59" i="18"/>
  <c r="A60" i="18" s="1"/>
  <c r="A61" i="18" s="1"/>
  <c r="A62" i="18" s="1"/>
  <c r="A63" i="18" s="1"/>
  <c r="A64" i="18" s="1"/>
  <c r="A29" i="18"/>
  <c r="A30" i="18" s="1"/>
  <c r="A31" i="18" s="1"/>
  <c r="A32" i="18" s="1"/>
  <c r="A33" i="18" s="1"/>
  <c r="A34" i="18" s="1"/>
  <c r="F4" i="14" l="1"/>
  <c r="B15" i="21" l="1"/>
  <c r="A15" i="21" s="1"/>
  <c r="B26" i="33" l="1"/>
  <c r="A26" i="33" s="1"/>
  <c r="B24" i="26"/>
  <c r="A24" i="26" s="1"/>
  <c r="B24" i="24"/>
  <c r="A24" i="24" s="1"/>
  <c r="B26" i="18"/>
  <c r="A26" i="18" s="1"/>
  <c r="B2" i="20"/>
  <c r="B2" i="50" s="1"/>
  <c r="I4" i="14"/>
  <c r="H7" i="15"/>
  <c r="J4" i="14" l="1"/>
  <c r="U4" i="14"/>
  <c r="C27" i="15"/>
  <c r="C19" i="15"/>
  <c r="C23" i="15"/>
  <c r="V4" i="14" l="1"/>
  <c r="C25" i="15"/>
  <c r="C21" i="15"/>
  <c r="C30" i="25" l="1"/>
  <c r="C36" i="25" s="1"/>
  <c r="C42" i="25" l="1"/>
  <c r="C48" i="25" l="1"/>
  <c r="C54" i="25" l="1"/>
  <c r="C60" i="25" l="1"/>
  <c r="H2" i="30" l="1"/>
  <c r="C2" i="20"/>
  <c r="B4" i="18" l="1"/>
  <c r="A4" i="18" s="1"/>
  <c r="D2" i="20"/>
  <c r="B1" i="18" l="1"/>
  <c r="E2" i="20"/>
  <c r="E48" i="33"/>
  <c r="B24" i="25"/>
  <c r="D54" i="33"/>
  <c r="D48" i="33"/>
  <c r="B59" i="33"/>
  <c r="C3" i="44"/>
  <c r="E54" i="33"/>
  <c r="B72" i="26"/>
  <c r="F30" i="33"/>
  <c r="D3" i="44"/>
  <c r="F54" i="33"/>
  <c r="B33" i="26"/>
  <c r="D36" i="33"/>
  <c r="B26" i="25"/>
  <c r="B47" i="33"/>
  <c r="E3" i="44"/>
  <c r="E42" i="33"/>
  <c r="B3" i="44"/>
  <c r="F48" i="33"/>
  <c r="B56" i="25"/>
  <c r="B69" i="26"/>
  <c r="D30" i="33"/>
  <c r="D60" i="33"/>
  <c r="B47" i="25"/>
  <c r="E36" i="33"/>
  <c r="E60" i="33"/>
  <c r="B4" i="45" l="1"/>
  <c r="A4" i="45" s="1"/>
  <c r="B18" i="45"/>
  <c r="A18" i="45" s="1"/>
  <c r="B20" i="45"/>
  <c r="A20" i="45" s="1"/>
  <c r="B22" i="45"/>
  <c r="A22" i="45" s="1"/>
  <c r="B16" i="45"/>
  <c r="A16" i="45" s="1"/>
  <c r="B19" i="45"/>
  <c r="A19" i="45" s="1"/>
  <c r="B25" i="45"/>
  <c r="A25" i="45" s="1"/>
  <c r="A7" i="45"/>
  <c r="B17" i="45"/>
  <c r="A17" i="45" s="1"/>
  <c r="B4" i="26"/>
  <c r="A4" i="26" s="1"/>
  <c r="A72" i="26"/>
  <c r="A71" i="26"/>
  <c r="A74" i="26"/>
  <c r="A7" i="26"/>
  <c r="B4" i="25"/>
  <c r="A4" i="25" s="1"/>
  <c r="B18" i="25"/>
  <c r="A25" i="25"/>
  <c r="C23" i="25"/>
  <c r="A24" i="25" s="1"/>
  <c r="A28" i="25"/>
  <c r="A27" i="25"/>
  <c r="A26" i="25"/>
  <c r="B17" i="25"/>
  <c r="A7" i="25"/>
  <c r="B20" i="25"/>
  <c r="B4" i="24"/>
  <c r="A4" i="24" s="1"/>
  <c r="B52" i="24"/>
  <c r="A51" i="24" s="1"/>
  <c r="B28" i="24"/>
  <c r="A27" i="24" s="1"/>
  <c r="B34" i="24"/>
  <c r="A33" i="24" s="1"/>
  <c r="B64" i="24"/>
  <c r="A63" i="24" s="1"/>
  <c r="B40" i="24"/>
  <c r="A39" i="24" s="1"/>
  <c r="B82" i="24"/>
  <c r="A81" i="24" s="1"/>
  <c r="B88" i="24"/>
  <c r="A87" i="24" s="1"/>
  <c r="B76" i="24"/>
  <c r="A75" i="24" s="1"/>
  <c r="B58" i="24"/>
  <c r="A57" i="24" s="1"/>
  <c r="B94" i="24"/>
  <c r="A93" i="24" s="1"/>
  <c r="B42" i="24"/>
  <c r="B78" i="24"/>
  <c r="B60" i="24"/>
  <c r="B70" i="24"/>
  <c r="A69" i="24" s="1"/>
  <c r="B36" i="24"/>
  <c r="B66" i="24"/>
  <c r="B96" i="24"/>
  <c r="B30" i="24"/>
  <c r="B54" i="24"/>
  <c r="B46" i="24"/>
  <c r="A45" i="24" s="1"/>
  <c r="B84" i="24"/>
  <c r="B72" i="24"/>
  <c r="B90" i="24"/>
  <c r="A7" i="24"/>
  <c r="B48" i="24"/>
  <c r="B4" i="21"/>
  <c r="A4" i="21" s="1"/>
  <c r="A7" i="21"/>
  <c r="B25" i="21"/>
  <c r="A25" i="21" s="1"/>
  <c r="B4" i="33"/>
  <c r="A4" i="33" s="1"/>
  <c r="C17" i="21"/>
  <c r="B17" i="21" s="1"/>
  <c r="B19" i="21"/>
  <c r="A19" i="21" s="1"/>
  <c r="C58" i="33"/>
  <c r="A7" i="33"/>
  <c r="C46" i="33"/>
  <c r="B32" i="33"/>
  <c r="B50" i="33"/>
  <c r="B62" i="33"/>
  <c r="B44" i="33"/>
  <c r="B38" i="33"/>
  <c r="B56" i="33"/>
  <c r="F2" i="20"/>
  <c r="B65" i="26"/>
  <c r="B40" i="26"/>
  <c r="B37" i="26"/>
  <c r="B61" i="26"/>
  <c r="B60" i="26"/>
  <c r="B73" i="26"/>
  <c r="B53" i="33"/>
  <c r="B53" i="25"/>
  <c r="B54" i="25"/>
  <c r="B38" i="25"/>
  <c r="E30" i="33"/>
  <c r="B64" i="26"/>
  <c r="B60" i="25"/>
  <c r="F42" i="33"/>
  <c r="B29" i="26"/>
  <c r="F36" i="33"/>
  <c r="B50" i="25"/>
  <c r="B35" i="33"/>
  <c r="B56" i="26"/>
  <c r="B35" i="25"/>
  <c r="B29" i="33"/>
  <c r="B52" i="26"/>
  <c r="B36" i="25"/>
  <c r="B23" i="25"/>
  <c r="B41" i="33"/>
  <c r="B68" i="26"/>
  <c r="B44" i="25"/>
  <c r="B36" i="26"/>
  <c r="B45" i="26"/>
  <c r="B54" i="33"/>
  <c r="B42" i="25"/>
  <c r="F60" i="33"/>
  <c r="B49" i="26"/>
  <c r="B53" i="26"/>
  <c r="B48" i="25"/>
  <c r="B30" i="25"/>
  <c r="B32" i="25"/>
  <c r="B44" i="26"/>
  <c r="B41" i="26"/>
  <c r="B59" i="25"/>
  <c r="B41" i="25"/>
  <c r="B32" i="26"/>
  <c r="B57" i="26"/>
  <c r="B48" i="33"/>
  <c r="B48" i="26"/>
  <c r="B62" i="25"/>
  <c r="B28" i="26"/>
  <c r="B29" i="25"/>
  <c r="D42" i="33"/>
  <c r="A73" i="26" l="1"/>
  <c r="A23" i="25"/>
  <c r="A57" i="26"/>
  <c r="A56" i="26"/>
  <c r="A58" i="26"/>
  <c r="A55" i="26"/>
  <c r="A35" i="25"/>
  <c r="C35" i="25"/>
  <c r="A36" i="25" s="1"/>
  <c r="A38" i="25"/>
  <c r="A37" i="25"/>
  <c r="A39" i="25"/>
  <c r="A40" i="25"/>
  <c r="A58" i="25"/>
  <c r="A55" i="25"/>
  <c r="A57" i="25"/>
  <c r="A53" i="25"/>
  <c r="C53" i="25"/>
  <c r="A54" i="25" s="1"/>
  <c r="A56" i="25"/>
  <c r="A41" i="25"/>
  <c r="C41" i="25"/>
  <c r="A42" i="25" s="1"/>
  <c r="A43" i="25"/>
  <c r="A46" i="25"/>
  <c r="A44" i="25"/>
  <c r="A45" i="25"/>
  <c r="A46" i="26"/>
  <c r="A45" i="26"/>
  <c r="A43" i="26"/>
  <c r="A44" i="26"/>
  <c r="A68" i="26"/>
  <c r="A70" i="26"/>
  <c r="A69" i="26"/>
  <c r="A67" i="26"/>
  <c r="A30" i="26"/>
  <c r="A27" i="26"/>
  <c r="A29" i="26"/>
  <c r="A28" i="26"/>
  <c r="A41" i="26"/>
  <c r="A40" i="26"/>
  <c r="A39" i="26"/>
  <c r="A42" i="26"/>
  <c r="A36" i="26"/>
  <c r="A35" i="26"/>
  <c r="A37" i="26"/>
  <c r="A38" i="26"/>
  <c r="A66" i="26"/>
  <c r="A63" i="26"/>
  <c r="A64" i="26"/>
  <c r="A65" i="26"/>
  <c r="A61" i="25"/>
  <c r="A62" i="25"/>
  <c r="A63" i="25"/>
  <c r="A64" i="25"/>
  <c r="A59" i="25"/>
  <c r="C59" i="25"/>
  <c r="A60" i="25" s="1"/>
  <c r="C28" i="33"/>
  <c r="A34" i="26"/>
  <c r="A31" i="26"/>
  <c r="A33" i="26"/>
  <c r="A32" i="26"/>
  <c r="A62" i="26"/>
  <c r="A60" i="26"/>
  <c r="A59" i="26"/>
  <c r="A61" i="26"/>
  <c r="A31" i="25"/>
  <c r="C29" i="25"/>
  <c r="A30" i="25" s="1"/>
  <c r="A33" i="25"/>
  <c r="A32" i="25"/>
  <c r="A29" i="25"/>
  <c r="A34" i="25"/>
  <c r="A54" i="26"/>
  <c r="A52" i="26"/>
  <c r="A51" i="26"/>
  <c r="A53" i="26"/>
  <c r="C52" i="33"/>
  <c r="A53" i="33" s="1"/>
  <c r="A54" i="33" s="1"/>
  <c r="A55" i="33" s="1"/>
  <c r="A56" i="33" s="1"/>
  <c r="A57" i="33" s="1"/>
  <c r="A58" i="33" s="1"/>
  <c r="A50" i="26"/>
  <c r="A47" i="26"/>
  <c r="A49" i="26"/>
  <c r="A48" i="26"/>
  <c r="C34" i="33"/>
  <c r="C40" i="33"/>
  <c r="A49" i="25"/>
  <c r="A50" i="25"/>
  <c r="A47" i="25"/>
  <c r="A52" i="25"/>
  <c r="A51" i="25"/>
  <c r="C47" i="25"/>
  <c r="A48" i="25" s="1"/>
  <c r="A47" i="33"/>
  <c r="A48" i="33" s="1"/>
  <c r="A49" i="33" s="1"/>
  <c r="A50" i="33" s="1"/>
  <c r="A51" i="33" s="1"/>
  <c r="A52" i="33" s="1"/>
  <c r="A91" i="24"/>
  <c r="A88" i="24"/>
  <c r="A90" i="24"/>
  <c r="A89" i="24"/>
  <c r="A92" i="24"/>
  <c r="A36" i="24"/>
  <c r="A34" i="24"/>
  <c r="A38" i="24"/>
  <c r="A35" i="24"/>
  <c r="A37" i="24"/>
  <c r="B23" i="21"/>
  <c r="A23" i="21" s="1"/>
  <c r="A17" i="21"/>
  <c r="A72" i="24"/>
  <c r="A71" i="24"/>
  <c r="A70" i="24"/>
  <c r="A73" i="24"/>
  <c r="A74" i="24"/>
  <c r="A98" i="24"/>
  <c r="A97" i="24"/>
  <c r="A95" i="24"/>
  <c r="A94" i="24"/>
  <c r="A96" i="24"/>
  <c r="A86" i="24"/>
  <c r="A83" i="24"/>
  <c r="A84" i="24"/>
  <c r="A82" i="24"/>
  <c r="A85" i="24"/>
  <c r="A32" i="24"/>
  <c r="A30" i="24"/>
  <c r="A29" i="24"/>
  <c r="A28" i="24"/>
  <c r="A31" i="24"/>
  <c r="C17" i="25"/>
  <c r="A18" i="25" s="1"/>
  <c r="A22" i="25"/>
  <c r="A20" i="25"/>
  <c r="A17" i="25"/>
  <c r="A21" i="25"/>
  <c r="A19" i="25"/>
  <c r="B1" i="45"/>
  <c r="A59" i="24"/>
  <c r="A61" i="24"/>
  <c r="A60" i="24"/>
  <c r="A58" i="24"/>
  <c r="A62" i="24"/>
  <c r="A40" i="24"/>
  <c r="A42" i="24"/>
  <c r="A44" i="24"/>
  <c r="A41" i="24"/>
  <c r="A43" i="24"/>
  <c r="A55" i="24"/>
  <c r="A56" i="24"/>
  <c r="A53" i="24"/>
  <c r="A54" i="24"/>
  <c r="A52" i="24"/>
  <c r="A47" i="24"/>
  <c r="A49" i="24"/>
  <c r="A50" i="24"/>
  <c r="A48" i="24"/>
  <c r="A46" i="24"/>
  <c r="A76" i="24"/>
  <c r="A77" i="24"/>
  <c r="A79" i="24"/>
  <c r="A80" i="24"/>
  <c r="A78" i="24"/>
  <c r="A64" i="24"/>
  <c r="A68" i="24"/>
  <c r="A65" i="24"/>
  <c r="A66" i="24"/>
  <c r="A67" i="24"/>
  <c r="G2" i="20"/>
  <c r="B42" i="33"/>
  <c r="B36" i="33"/>
  <c r="B30" i="33"/>
  <c r="B60" i="33"/>
  <c r="A59" i="33" l="1"/>
  <c r="A60" i="33" s="1"/>
  <c r="A61" i="33" s="1"/>
  <c r="A62" i="33" s="1"/>
  <c r="A63" i="33" s="1"/>
  <c r="A64" i="33" s="1"/>
  <c r="A35" i="33"/>
  <c r="A36" i="33" s="1"/>
  <c r="A37" i="33" s="1"/>
  <c r="A38" i="33" s="1"/>
  <c r="A39" i="33" s="1"/>
  <c r="A40" i="33" s="1"/>
  <c r="A41" i="33"/>
  <c r="A42" i="33" s="1"/>
  <c r="A43" i="33" s="1"/>
  <c r="A44" i="33" s="1"/>
  <c r="A45" i="33" s="1"/>
  <c r="A46" i="33" s="1"/>
  <c r="B1" i="26"/>
  <c r="A29" i="33"/>
  <c r="A30" i="33" s="1"/>
  <c r="A31" i="33" s="1"/>
  <c r="A32" i="33" s="1"/>
  <c r="A33" i="33" s="1"/>
  <c r="A34" i="33" s="1"/>
  <c r="B1" i="25"/>
  <c r="B1" i="21"/>
  <c r="B1" i="24"/>
  <c r="H2" i="20"/>
  <c r="I2" i="20"/>
  <c r="J2" i="20"/>
  <c r="K2" i="20"/>
  <c r="L2" i="20"/>
  <c r="M2" i="20"/>
  <c r="N2" i="20" s="1"/>
  <c r="O2" i="20"/>
  <c r="P2" i="20"/>
  <c r="Q2" i="20" s="1"/>
  <c r="B1" i="33" l="1"/>
  <c r="R2" i="20"/>
  <c r="S2" i="20"/>
  <c r="T2" i="20"/>
  <c r="U2" i="20"/>
  <c r="V2" i="20" s="1"/>
  <c r="H1" i="47" l="1"/>
  <c r="W2" i="20"/>
  <c r="X2" i="20" s="1"/>
  <c r="Y2" i="20"/>
  <c r="Z2" i="20"/>
  <c r="H7" i="46"/>
  <c r="M45" i="12"/>
  <c r="M46" i="12" l="1"/>
  <c r="N45" i="12"/>
  <c r="N46" i="12" l="1"/>
  <c r="A1" i="20"/>
  <c r="A1" i="49"/>
  <c r="L45" i="12"/>
  <c r="L46" i="12" s="1"/>
  <c r="P47" i="12"/>
  <c r="R5" i="46"/>
  <c r="R5" i="12"/>
  <c r="A2" i="50" l="1"/>
  <c r="A4" i="20"/>
  <c r="M23" i="12"/>
  <c r="L4" i="35" l="1"/>
  <c r="L7" i="35"/>
  <c r="L12" i="35"/>
  <c r="E3" i="35"/>
  <c r="L3" i="35" s="1"/>
  <c r="L9" i="35"/>
  <c r="L13" i="35"/>
  <c r="D26" i="1"/>
  <c r="D13" i="1"/>
  <c r="K9" i="1"/>
  <c r="C11" i="1"/>
  <c r="B4" i="20"/>
  <c r="S4" i="20"/>
  <c r="F4" i="20"/>
  <c r="I4" i="20"/>
  <c r="H5" i="1"/>
  <c r="T8" i="1"/>
  <c r="T7" i="1"/>
  <c r="L4" i="20"/>
  <c r="P4" i="20"/>
  <c r="C5" i="1"/>
  <c r="Q4" i="20"/>
  <c r="T2" i="1"/>
  <c r="K4" i="20"/>
  <c r="N4" i="20"/>
  <c r="O4" i="20"/>
  <c r="M4" i="20"/>
  <c r="C4" i="20"/>
  <c r="G4" i="20"/>
  <c r="W4" i="20"/>
  <c r="Y4" i="20"/>
  <c r="V4" i="20"/>
  <c r="U4" i="20"/>
  <c r="T4" i="20"/>
  <c r="H4" i="20"/>
  <c r="E4" i="20"/>
  <c r="R4" i="20"/>
  <c r="J4" i="20"/>
  <c r="L5" i="35" l="1"/>
  <c r="L8" i="35"/>
  <c r="L6" i="35"/>
  <c r="L10" i="35"/>
  <c r="L11" i="35"/>
  <c r="B4" i="50"/>
  <c r="X4" i="20"/>
  <c r="D4" i="20"/>
  <c r="Z4" i="20"/>
  <c r="BW4" i="20" l="1"/>
  <c r="BY4" i="20" s="1"/>
  <c r="BA4" i="20" l="1"/>
  <c r="AZ4" i="20"/>
  <c r="BG4" i="20"/>
  <c r="BN4" i="20"/>
  <c r="BB4" i="20"/>
  <c r="BD4" i="20"/>
  <c r="BC4" i="20"/>
  <c r="BS4" i="20"/>
  <c r="BP4" i="20"/>
  <c r="BJ4" i="20"/>
  <c r="BI4" i="20"/>
  <c r="BQ4" i="20"/>
  <c r="BH4" i="20"/>
  <c r="BV4" i="20"/>
  <c r="BO4" i="20"/>
  <c r="BT4" i="20"/>
  <c r="BL4" i="20"/>
  <c r="BR4" i="20"/>
  <c r="BE4" i="20"/>
  <c r="BF4" i="20"/>
  <c r="BU4" i="20"/>
  <c r="AY4" i="20"/>
  <c r="BK4" i="20"/>
  <c r="BM4" i="20"/>
  <c r="Q4" i="50" l="1"/>
  <c r="J4" i="50"/>
  <c r="X4" i="50"/>
  <c r="U4" i="50"/>
  <c r="R4" i="50"/>
  <c r="G4" i="50"/>
  <c r="H4" i="50"/>
  <c r="O4" i="50"/>
  <c r="I4" i="50"/>
  <c r="M4" i="50"/>
  <c r="C4" i="50"/>
  <c r="V4" i="50"/>
  <c r="Z4" i="50"/>
  <c r="N4" i="50"/>
  <c r="Y4" i="50"/>
  <c r="P4" i="50"/>
  <c r="L4" i="50"/>
  <c r="T4" i="50"/>
  <c r="F4" i="50"/>
  <c r="E4" i="50"/>
  <c r="W4" i="50"/>
  <c r="S4" i="50"/>
  <c r="K4" i="50"/>
  <c r="D4" i="50"/>
</calcChain>
</file>

<file path=xl/sharedStrings.xml><?xml version="1.0" encoding="utf-8"?>
<sst xmlns="http://schemas.openxmlformats.org/spreadsheetml/2006/main" count="19873" uniqueCount="18822">
  <si>
    <t>MILAGROS HUERTA GÓMEZ DE MERODIO</t>
  </si>
  <si>
    <t>Universidad de Cádiz</t>
  </si>
  <si>
    <t>LEER CON ATENCIÓN</t>
  </si>
  <si>
    <t>.</t>
  </si>
  <si>
    <t>Código</t>
  </si>
  <si>
    <t>Tipo Numeración</t>
  </si>
  <si>
    <t>OM</t>
  </si>
  <si>
    <t>abc</t>
  </si>
  <si>
    <t>VF</t>
  </si>
  <si>
    <t>ABCD</t>
  </si>
  <si>
    <t>Emparejar</t>
  </si>
  <si>
    <t>E</t>
  </si>
  <si>
    <t>true</t>
  </si>
  <si>
    <t>Respuesta Corta</t>
  </si>
  <si>
    <t>RC</t>
  </si>
  <si>
    <t>iii</t>
  </si>
  <si>
    <t>false</t>
  </si>
  <si>
    <t>Palabra Perdida</t>
  </si>
  <si>
    <t>PP</t>
  </si>
  <si>
    <t>IIII</t>
  </si>
  <si>
    <t>none</t>
  </si>
  <si>
    <t>Pregunta Actual a Exportar</t>
  </si>
  <si>
    <t>Este número se incrementará para generar el archivo con TODAS las preguntas.</t>
  </si>
  <si>
    <t>NOMBRE</t>
  </si>
  <si>
    <t>Enunciado</t>
  </si>
  <si>
    <t xml:space="preserve">  &lt;question type="multichoice"&gt;</t>
  </si>
  <si>
    <t>multichoice</t>
  </si>
  <si>
    <t xml:space="preserve">    &lt;name&gt;</t>
  </si>
  <si>
    <t>Nombre de la pregunta</t>
  </si>
  <si>
    <t xml:space="preserve">    &lt;/name&gt;</t>
  </si>
  <si>
    <t xml:space="preserve">    &lt;questiontext format="html"&gt;</t>
  </si>
  <si>
    <t xml:space="preserve">    &lt;/questiontext&gt;</t>
  </si>
  <si>
    <t xml:space="preserve">    &lt;generalfeedback format="html"&gt;</t>
  </si>
  <si>
    <t>RETROALIMENTACIÓN GENERAL</t>
  </si>
  <si>
    <t xml:space="preserve">    &lt;/generalfeedback&gt;</t>
  </si>
  <si>
    <t>Puntuación por defecto para cada pregunta</t>
  </si>
  <si>
    <t>Penalización, en caso de poder hacer más de un intento.</t>
  </si>
  <si>
    <t>OCULTA?</t>
  </si>
  <si>
    <t>Contraseña</t>
  </si>
  <si>
    <t>Una respuesta correcta</t>
  </si>
  <si>
    <t>Baraja las respuestas</t>
  </si>
  <si>
    <t>Numeradas las respuestas por a, b o c</t>
  </si>
  <si>
    <t xml:space="preserve">    &lt;correctfeedback format="html"&gt;</t>
  </si>
  <si>
    <t xml:space="preserve">    &lt;/correctfeedback&gt;</t>
  </si>
  <si>
    <t xml:space="preserve">    &lt;partiallycorrectfeedback format="html"&gt;</t>
  </si>
  <si>
    <t xml:space="preserve">    &lt;/partiallycorrectfeedback&gt;</t>
  </si>
  <si>
    <t xml:space="preserve">    &lt;incorrectfeedback format="html"&gt;</t>
  </si>
  <si>
    <t xml:space="preserve">    &lt;/incorrectfeedback&gt;</t>
  </si>
  <si>
    <t>Puntuación por respuesta correcta</t>
  </si>
  <si>
    <t xml:space="preserve">    &lt;shownumcorrect/&gt;</t>
  </si>
  <si>
    <t xml:space="preserve">    &lt;answer fraction="</t>
  </si>
  <si>
    <t>" format="html"&gt;</t>
  </si>
  <si>
    <t xml:space="preserve">      &lt;feedback format="html"&gt;</t>
  </si>
  <si>
    <t>Puntuación por respuesta incorrecta</t>
  </si>
  <si>
    <t xml:space="preserve">PARA POSICIONARSE EN LA ÚLTIMA FILA </t>
  </si>
  <si>
    <t>&lt;!-- question: 0  --&gt;</t>
  </si>
  <si>
    <t xml:space="preserve">  &lt;question type="category"&gt;</t>
  </si>
  <si>
    <t xml:space="preserve">    &lt;category&gt;</t>
  </si>
  <si>
    <t xml:space="preserve">    &lt;/category&gt;</t>
  </si>
  <si>
    <t xml:space="preserve">    &lt;info format="html"&gt;</t>
  </si>
  <si>
    <t xml:space="preserve">    &lt;/info&gt;</t>
  </si>
  <si>
    <t xml:space="preserve">  &lt;/question&gt;</t>
  </si>
  <si>
    <t xml:space="preserve">    &lt;hidden&gt;0&lt;/hidden&gt;</t>
  </si>
  <si>
    <t xml:space="preserve">      &lt;/feedback&gt;</t>
  </si>
  <si>
    <t xml:space="preserve">    &lt;/answer&gt;</t>
  </si>
  <si>
    <t>H</t>
  </si>
  <si>
    <t xml:space="preserve">  &lt;question type="truefalse"&gt;</t>
  </si>
  <si>
    <t>truefalse</t>
  </si>
  <si>
    <t>&lt;answer fraction="100" format="moodle_auto_format"&gt;</t>
  </si>
  <si>
    <t>&lt;answer fraction="0" format="html"&gt;</t>
  </si>
  <si>
    <t>Retroalimentación general</t>
  </si>
  <si>
    <t>Puntuación por respuesta incorrecta, siempre 0</t>
  </si>
  <si>
    <t>Puntuación por respuesta correcta siempre 100</t>
  </si>
  <si>
    <t xml:space="preserve">  &lt;question type="matching"&gt;</t>
  </si>
  <si>
    <t>matching</t>
  </si>
  <si>
    <t>Pareja 1</t>
  </si>
  <si>
    <t xml:space="preserve">    &lt;subquestion format="html"&gt;</t>
  </si>
  <si>
    <t xml:space="preserve">      &lt;answer&gt;</t>
  </si>
  <si>
    <t xml:space="preserve">      &lt;/answer&gt;</t>
  </si>
  <si>
    <t xml:space="preserve">    &lt;/subquestion&gt;</t>
  </si>
  <si>
    <t>Pareja 2</t>
  </si>
  <si>
    <t>Pareja 3</t>
  </si>
  <si>
    <t>Pareja 4</t>
  </si>
  <si>
    <t>Pareja 5</t>
  </si>
  <si>
    <t>Pareja 6</t>
  </si>
  <si>
    <t>Pareja 7</t>
  </si>
  <si>
    <t>Pareja 8</t>
  </si>
  <si>
    <t>Pareja 9</t>
  </si>
  <si>
    <t>Pareja 10</t>
  </si>
  <si>
    <t>Pareja 11</t>
  </si>
  <si>
    <t>Pareja 12</t>
  </si>
  <si>
    <t xml:space="preserve">  &lt;question type="shortanswer"&gt;</t>
  </si>
  <si>
    <t>shortanswer</t>
  </si>
  <si>
    <t>MAYUSCULAS 1</t>
  </si>
  <si>
    <t xml:space="preserve">    &lt;usecase&gt;1&lt;/usecase&gt;</t>
  </si>
  <si>
    <t>" format="moodle_auto_format"&gt;</t>
  </si>
  <si>
    <t xml:space="preserve">  &lt;question type="gapselect"&gt;</t>
  </si>
  <si>
    <t>gapselect</t>
  </si>
  <si>
    <t>Nº Inicial Pr</t>
  </si>
  <si>
    <t>Cambio</t>
  </si>
  <si>
    <t>Diferen</t>
  </si>
  <si>
    <t>Formulario</t>
  </si>
  <si>
    <t>O2</t>
  </si>
  <si>
    <t>(una respuesta)</t>
  </si>
  <si>
    <t>(varias respuestas)</t>
  </si>
  <si>
    <t>Nombre  Tipos de Cuestionaros:</t>
  </si>
  <si>
    <t>Esta Aplicación ha sido desarrollada, en la primera versión, por:</t>
  </si>
  <si>
    <t>Ir a DATOS GENERALES</t>
  </si>
  <si>
    <t>Ir a INICIO</t>
  </si>
  <si>
    <t>CONCATENAR</t>
  </si>
  <si>
    <t>SUPERÍNDICE</t>
  </si>
  <si>
    <t>SUBÍNDICE</t>
  </si>
  <si>
    <t>FÓRMULA</t>
  </si>
  <si>
    <t>ACTIVAR</t>
  </si>
  <si>
    <t>DESACTIVAR</t>
  </si>
  <si>
    <t>LISTA DESPLEGABLE CATEGORÍAS</t>
  </si>
  <si>
    <t>FastTest PlugIn</t>
  </si>
  <si>
    <t xml:space="preserve"> </t>
  </si>
  <si>
    <t>BANCO DE PREGUNTAS</t>
  </si>
  <si>
    <t>FORMULARIO</t>
  </si>
  <si>
    <t>fasttestplugin@gmail.com</t>
  </si>
  <si>
    <t>ESPAÑOL</t>
  </si>
  <si>
    <t>I</t>
  </si>
  <si>
    <t>F</t>
  </si>
  <si>
    <t>P</t>
  </si>
  <si>
    <t>S</t>
  </si>
  <si>
    <t>MENÚS LATERALES</t>
  </si>
  <si>
    <t>DATOS GENERALES</t>
  </si>
  <si>
    <t>,</t>
  </si>
  <si>
    <t>©</t>
  </si>
  <si>
    <t>SIDEBAR MENUS</t>
  </si>
  <si>
    <t>USAR DATOS VARIABLES</t>
  </si>
  <si>
    <t>GENERAL DATA</t>
  </si>
  <si>
    <t>Description</t>
  </si>
  <si>
    <t>Banco de preguntas</t>
  </si>
  <si>
    <t>Question database</t>
  </si>
  <si>
    <t>Cloze</t>
  </si>
  <si>
    <t>Question name</t>
  </si>
  <si>
    <t>?</t>
  </si>
  <si>
    <t>Feedback</t>
  </si>
  <si>
    <t>FORMULARIO EMPAREJAR</t>
  </si>
  <si>
    <t>MATCHING QUESTION FORM</t>
  </si>
  <si>
    <t>FORMULARIO RESPUESTA CORTA</t>
  </si>
  <si>
    <t>SHORT ANSWER QUESTION FORM</t>
  </si>
  <si>
    <t>FORMULARIO PALABRA PERDIDA</t>
  </si>
  <si>
    <t>LOST WORD QUESTION FORM</t>
  </si>
  <si>
    <t>DADOS GERAIS</t>
  </si>
  <si>
    <t>FORMULÁRIO DE PAR</t>
  </si>
  <si>
    <t>FORMULÁRIO DE RESPOSTA CURTA</t>
  </si>
  <si>
    <t>FORMULAIRE DE MOT PERDU</t>
  </si>
  <si>
    <t>FORMA DE PALAVRA PERDIDA</t>
  </si>
  <si>
    <t>Banque de questions</t>
  </si>
  <si>
    <t>Banco de questões</t>
  </si>
  <si>
    <t>DG</t>
  </si>
  <si>
    <t>ML</t>
  </si>
  <si>
    <t>EM</t>
  </si>
  <si>
    <t>BP</t>
  </si>
  <si>
    <t xml:space="preserve">Pareja </t>
  </si>
  <si>
    <t>MS</t>
  </si>
  <si>
    <t>MENÚ SUPERIOR</t>
  </si>
  <si>
    <t>SALTO LÍNEA</t>
  </si>
  <si>
    <t>SIGLA</t>
  </si>
  <si>
    <t>Z_</t>
  </si>
  <si>
    <t>SUPERSCRIPT</t>
  </si>
  <si>
    <t>SUBSCRIPT</t>
  </si>
  <si>
    <t>LINE BREAK</t>
  </si>
  <si>
    <t>CONCATENATE</t>
  </si>
  <si>
    <t>ACTIVATE</t>
  </si>
  <si>
    <t>DEACTIVATE</t>
  </si>
  <si>
    <t>USE VARIABLE DATA</t>
  </si>
  <si>
    <t>NEGRITA</t>
  </si>
  <si>
    <t>ESPACIOS (+1)</t>
  </si>
  <si>
    <t>BOLD FONT</t>
  </si>
  <si>
    <t>FORMULE</t>
  </si>
  <si>
    <t>SURVEILLER</t>
  </si>
  <si>
    <t>INDICE</t>
  </si>
  <si>
    <t>ESPACES (+1)</t>
  </si>
  <si>
    <t>ACTIVER</t>
  </si>
  <si>
    <t>DÉSACTIVER</t>
  </si>
  <si>
    <t>UTILISER DES DONNÉES VARIABLES</t>
  </si>
  <si>
    <t>SUBSCRITO</t>
  </si>
  <si>
    <t>PULAR LINHA</t>
  </si>
  <si>
    <t>NEGRITO</t>
  </si>
  <si>
    <t>ESPAÇOS (+1)</t>
  </si>
  <si>
    <t>LISTA DE CATEGORIAS DEIXADA CAIR</t>
  </si>
  <si>
    <t>ATIVAR</t>
  </si>
  <si>
    <t>DESATIVAR</t>
  </si>
  <si>
    <t>USE DADOS VARIÁVEIS</t>
  </si>
  <si>
    <t>FORMULA</t>
  </si>
  <si>
    <t>SOVRINTENDERE</t>
  </si>
  <si>
    <t>ABBONAMENTO</t>
  </si>
  <si>
    <t>CONCATENARE</t>
  </si>
  <si>
    <t>SPAZI (+1)</t>
  </si>
  <si>
    <t>ELENCO DELLE CATEGORIE ELIMINATE</t>
  </si>
  <si>
    <t>ATTIVARE</t>
  </si>
  <si>
    <t>DISATTIVARE</t>
  </si>
  <si>
    <t>USA DATI VARIABILI</t>
  </si>
  <si>
    <t>00</t>
  </si>
  <si>
    <t>01</t>
  </si>
  <si>
    <t>02</t>
  </si>
  <si>
    <t>03</t>
  </si>
  <si>
    <t>04</t>
  </si>
  <si>
    <t>05</t>
  </si>
  <si>
    <t>06</t>
  </si>
  <si>
    <t>07</t>
  </si>
  <si>
    <t>08</t>
  </si>
  <si>
    <t>09</t>
  </si>
  <si>
    <t>10</t>
  </si>
  <si>
    <t>11</t>
  </si>
  <si>
    <t>12</t>
  </si>
  <si>
    <t>13</t>
  </si>
  <si>
    <t>14</t>
  </si>
  <si>
    <t>15</t>
  </si>
  <si>
    <t>16</t>
  </si>
  <si>
    <t>17</t>
  </si>
  <si>
    <t>18</t>
  </si>
  <si>
    <t>19</t>
  </si>
  <si>
    <t>20</t>
  </si>
  <si>
    <t>21</t>
  </si>
  <si>
    <t>22</t>
  </si>
  <si>
    <t>23</t>
  </si>
  <si>
    <t>24</t>
  </si>
  <si>
    <t>25</t>
  </si>
  <si>
    <t>26</t>
  </si>
  <si>
    <t>27</t>
  </si>
  <si>
    <t>28</t>
  </si>
  <si>
    <t>29</t>
  </si>
  <si>
    <t>30</t>
  </si>
  <si>
    <t>31</t>
  </si>
  <si>
    <t>32</t>
  </si>
  <si>
    <t>33</t>
  </si>
  <si>
    <t>34</t>
  </si>
  <si>
    <t>35</t>
  </si>
  <si>
    <t>36</t>
  </si>
  <si>
    <t>37</t>
  </si>
  <si>
    <t>38</t>
  </si>
  <si>
    <t>IMPORTAR DE LIBRO EXCEL</t>
  </si>
  <si>
    <t>EXPORTAR A LIBRO EXCEL</t>
  </si>
  <si>
    <t>EXPORTAR A MOODLE</t>
  </si>
  <si>
    <t>EXPORTAR A TEXTO (doc/txt)</t>
  </si>
  <si>
    <t>Las respuestas se barajarán.</t>
  </si>
  <si>
    <t>Las respuestas NO se barajarán.</t>
  </si>
  <si>
    <t xml:space="preserve">Grupo </t>
  </si>
  <si>
    <t xml:space="preserve">Group </t>
  </si>
  <si>
    <t xml:space="preserve">Pair </t>
  </si>
  <si>
    <t xml:space="preserve">Palabra </t>
  </si>
  <si>
    <t xml:space="preserve">Word </t>
  </si>
  <si>
    <t>Tit_Categ</t>
  </si>
  <si>
    <t>Tit_Subcat</t>
  </si>
  <si>
    <t>Retroalim_GENERAL</t>
  </si>
  <si>
    <t>R_CORRECTA</t>
  </si>
  <si>
    <t>CONTRASEN_A</t>
  </si>
  <si>
    <t>R_Par_CORRECTA</t>
  </si>
  <si>
    <t>R_INCORRECTA</t>
  </si>
  <si>
    <t>PREF_PREGUNTA</t>
  </si>
  <si>
    <t>N_INICIAL</t>
  </si>
  <si>
    <t>N_FINAL</t>
  </si>
  <si>
    <t>BARAJAR_R</t>
  </si>
  <si>
    <t>Des_Categ</t>
  </si>
  <si>
    <t>Des_Subcat</t>
  </si>
  <si>
    <t>PUNTUACION</t>
  </si>
  <si>
    <t>PENALIZACION</t>
  </si>
  <si>
    <t>Oculto</t>
  </si>
  <si>
    <t>??</t>
  </si>
  <si>
    <t>Go HOME</t>
  </si>
  <si>
    <t>FORM</t>
  </si>
  <si>
    <t>Título  CATEGORÍA</t>
  </si>
  <si>
    <t>Tipo Pregunta</t>
  </si>
  <si>
    <t>Enunciado de la pregunta</t>
  </si>
  <si>
    <t>CATEGORY Title</t>
  </si>
  <si>
    <t>Título SUBCATEGORÍA</t>
  </si>
  <si>
    <t>SUBCATEGORY Title</t>
  </si>
  <si>
    <t>Retroalimentación General</t>
  </si>
  <si>
    <t>Contraseña/Nº Identificación</t>
  </si>
  <si>
    <t>Retroalimentación Respuesta Correcta</t>
  </si>
  <si>
    <t>Retroalimentación Respuesta Parcialmente Correcta</t>
  </si>
  <si>
    <t>Retroalimentación Respuesta Incorrecta</t>
  </si>
  <si>
    <t>Prefijo de las preguntas (no más de 15 caracteres)</t>
  </si>
  <si>
    <t>Question prefix (no longer than 15 characters)</t>
  </si>
  <si>
    <t>Nº Inicial de pregunta a exportar</t>
  </si>
  <si>
    <t>Nº Final de pregunta a exportar</t>
  </si>
  <si>
    <t>Barajar respuestas en el cuestionario (SÍ= true)</t>
  </si>
  <si>
    <t>Cuestionario una sola opción de respuesta (SÍ=true)</t>
  </si>
  <si>
    <t>Descripción</t>
  </si>
  <si>
    <t>Points</t>
  </si>
  <si>
    <t>Hidden</t>
  </si>
  <si>
    <t>QUESTION DATABASE</t>
  </si>
  <si>
    <t>IMPORT FROM EXCEL BOOK</t>
  </si>
  <si>
    <t>EXPORT TO EXCEL BOOK</t>
  </si>
  <si>
    <t>EXPORT TO MOODLE</t>
  </si>
  <si>
    <t>EXPORT TO GAME</t>
  </si>
  <si>
    <t>Nº Inicial del Banco de Preguntas</t>
  </si>
  <si>
    <t>R. Incorrectas</t>
  </si>
  <si>
    <t>Puntos</t>
  </si>
  <si>
    <t>NUMERAR_R</t>
  </si>
  <si>
    <t>EXPORTAR A JUEGO</t>
  </si>
  <si>
    <t>NO USAR CORTAR
[Ctrl + X]</t>
  </si>
  <si>
    <t>EXPORT TO TEXT FILE (doc/txt)</t>
  </si>
  <si>
    <t>Answer</t>
  </si>
  <si>
    <t>Respuesta</t>
  </si>
  <si>
    <t>Missing Word</t>
  </si>
  <si>
    <t>Short Answer</t>
  </si>
  <si>
    <t>Wrong Answer Feedback</t>
  </si>
  <si>
    <t>Partially Wrong Answer Feedback</t>
  </si>
  <si>
    <t>Password/ ID Number</t>
  </si>
  <si>
    <t>General Feedback</t>
  </si>
  <si>
    <t>Question Type</t>
  </si>
  <si>
    <t>Saved questions range</t>
  </si>
  <si>
    <t>The answers will be shuffled.</t>
  </si>
  <si>
    <t>Answers will NOT be shuffled.</t>
  </si>
  <si>
    <t>(several answers)</t>
  </si>
  <si>
    <t>MENUS LATÉRAUX</t>
  </si>
  <si>
    <t>MEILLEUR MENU</t>
  </si>
  <si>
    <t>DONNÉES GÉNÉRALES</t>
  </si>
  <si>
    <t>Type de question</t>
  </si>
  <si>
    <t>Titre SOUS-CATÉGORIE</t>
  </si>
  <si>
    <t>Commentaires généraux</t>
  </si>
  <si>
    <t>Mot de passe / numéro d'identification</t>
  </si>
  <si>
    <t>Commentaires Réponse correcte</t>
  </si>
  <si>
    <t>Commentaires Réponse partiellement correcte</t>
  </si>
  <si>
    <t>Commentaires Réponses incorrectes</t>
  </si>
  <si>
    <t>Préfixe de question (pas plus de 15 caractères)</t>
  </si>
  <si>
    <t>Numéro initial de question à exporter</t>
  </si>
  <si>
    <t>Numéro final de question à exporter</t>
  </si>
  <si>
    <t>Gamme de questions stockées</t>
  </si>
  <si>
    <t>Caché</t>
  </si>
  <si>
    <t>FORME</t>
  </si>
  <si>
    <t>BANQUE DE QUESTIONS</t>
  </si>
  <si>
    <t>IMPORT D'UN LIVRE EXCEL</t>
  </si>
  <si>
    <t>EXPORTATION VERS UN LIVRE EXCEL</t>
  </si>
  <si>
    <t>EXPORTATION VERS MOODLE</t>
  </si>
  <si>
    <t>EXPORTATION AU JEU</t>
  </si>
  <si>
    <t>Les réponses seront mélangées.</t>
  </si>
  <si>
    <t>Les réponses ne seront PAS mélangées.</t>
  </si>
  <si>
    <t>(une réponse)</t>
  </si>
  <si>
    <t>(plusieurs réponses)</t>
  </si>
  <si>
    <t>Question No.</t>
  </si>
  <si>
    <t>Nom de la question</t>
  </si>
  <si>
    <t>Énoncé de question</t>
  </si>
  <si>
    <t>MENU LATERALI</t>
  </si>
  <si>
    <t xml:space="preserve">NON USARE CUT
[Ctrl + X] </t>
  </si>
  <si>
    <t>Vai a HOME</t>
  </si>
  <si>
    <t>MIGLIOR MENU</t>
  </si>
  <si>
    <t>DATI GENERALI</t>
  </si>
  <si>
    <t>tipo di domanda</t>
  </si>
  <si>
    <t>Titolo CATEGORY</t>
  </si>
  <si>
    <t>Titolo SUBCATEGORY</t>
  </si>
  <si>
    <t>Feedback generale</t>
  </si>
  <si>
    <t>Password / numero di identificazione</t>
  </si>
  <si>
    <t>Risposta corretta del feedback</t>
  </si>
  <si>
    <t>Risposta parzialmente corretta</t>
  </si>
  <si>
    <t>Feedback Risposte errate</t>
  </si>
  <si>
    <t>Prefisso domanda (non più di 15 caratteri)</t>
  </si>
  <si>
    <t>Numero iniziale di domande da esportare</t>
  </si>
  <si>
    <t>Numero finale di domande da esportare</t>
  </si>
  <si>
    <t>Risposte casuali nel questionario (YES = true)</t>
  </si>
  <si>
    <t>Tipo di numerazione delle risposte (NONE = nessuno)</t>
  </si>
  <si>
    <t>Gamma di domande memorizzate</t>
  </si>
  <si>
    <t>Descrizione</t>
  </si>
  <si>
    <t>Punti</t>
  </si>
  <si>
    <t>Nascosto</t>
  </si>
  <si>
    <t>MODULO</t>
  </si>
  <si>
    <t>DOMANDA BANCA</t>
  </si>
  <si>
    <t>IMPORTA DA EXCEL BOOK</t>
  </si>
  <si>
    <t>ESPORTA A EXCEL BOOK</t>
  </si>
  <si>
    <t>ESPORTA A MOODLE</t>
  </si>
  <si>
    <t>ESPORTA NEL GIOCO</t>
  </si>
  <si>
    <t>Le risposte verranno mescolate.</t>
  </si>
  <si>
    <t>Le risposte NON verranno mescolate.</t>
  </si>
  <si>
    <t>(una domanda)</t>
  </si>
  <si>
    <t>(diverse risposte)</t>
  </si>
  <si>
    <t>Digitare num.</t>
  </si>
  <si>
    <t>Nome della domanda</t>
  </si>
  <si>
    <t>R. Sbagliato</t>
  </si>
  <si>
    <t>Dichiarazione di domanda</t>
  </si>
  <si>
    <t>Risposta</t>
  </si>
  <si>
    <t>MODULO DI COPPIA</t>
  </si>
  <si>
    <t>MODULO DI RISPOSTA BREVE</t>
  </si>
  <si>
    <t>Necessario per abbinare la risposta maiuscola (YES = 1)</t>
  </si>
  <si>
    <t>FORMA DI PAROLE PERSE</t>
  </si>
  <si>
    <t>Banca delle domande</t>
  </si>
  <si>
    <t>MENUS LATERAIS</t>
  </si>
  <si>
    <t xml:space="preserve">NÃO USE CORTE
[Ctrl + X] </t>
  </si>
  <si>
    <t>Vá para CASA</t>
  </si>
  <si>
    <t>MELHOR MENU</t>
  </si>
  <si>
    <t>Tipo de pergunta</t>
  </si>
  <si>
    <t>Título CATEGORIA</t>
  </si>
  <si>
    <t>Título SUBCATEGORIA</t>
  </si>
  <si>
    <t>Feedback Geral</t>
  </si>
  <si>
    <t>Senha / número de identificação</t>
  </si>
  <si>
    <t>Resposta correta do feedback</t>
  </si>
  <si>
    <t>Feedback Resposta parcialmente correta</t>
  </si>
  <si>
    <t>Feedback Respostas incorretas</t>
  </si>
  <si>
    <t>Prefixo da pergunta (não mais do que 15 caracteres)</t>
  </si>
  <si>
    <t>Número inicial de perguntas para exportar</t>
  </si>
  <si>
    <t>Número final da pergunta para exportar</t>
  </si>
  <si>
    <t>Tipo de numeração de resposta (NENHUM = nenhum)</t>
  </si>
  <si>
    <t>Gama de perguntas armazenadas</t>
  </si>
  <si>
    <t>Descrição</t>
  </si>
  <si>
    <t>Pontos</t>
  </si>
  <si>
    <t>Escondido</t>
  </si>
  <si>
    <t>FORMATO</t>
  </si>
  <si>
    <t>QUESTION BANK</t>
  </si>
  <si>
    <t>IMPORTAR DO EXCEL BOOK</t>
  </si>
  <si>
    <t>EXPORTAR PARA EXCEL BOOK</t>
  </si>
  <si>
    <t>EXPORTAR PARA MOODLE</t>
  </si>
  <si>
    <t>EXPORTAR PARA O JOGO</t>
  </si>
  <si>
    <t>Jogo</t>
  </si>
  <si>
    <t>As respostas serão embaralhadas.</t>
  </si>
  <si>
    <t>As respostas NÃO serão embaralhadas.</t>
  </si>
  <si>
    <t>(uma resposta)</t>
  </si>
  <si>
    <t>(várias respostas)</t>
  </si>
  <si>
    <t>Digite num.</t>
  </si>
  <si>
    <t>R. Incorreto</t>
  </si>
  <si>
    <t>Comentários</t>
  </si>
  <si>
    <t>Responda</t>
  </si>
  <si>
    <t>Necessário para corresponder à resposta em maiúsculas (SIM = 1)</t>
  </si>
  <si>
    <t>Perguntas Armazenadas</t>
  </si>
  <si>
    <t>INSÉRER
IMAGES</t>
  </si>
  <si>
    <t>INSERTAR
IMÁGENES</t>
  </si>
  <si>
    <t>INSERT
IMAGES</t>
  </si>
  <si>
    <t>INSERIR
IMAGENS</t>
  </si>
  <si>
    <t>INSERISCI
IMMAGINI</t>
  </si>
  <si>
    <t>CODES
SPÉCIAUX</t>
  </si>
  <si>
    <t>CÓDIGOS
ESPECIAIS</t>
  </si>
  <si>
    <t>CODICI
SPECIALI</t>
  </si>
  <si>
    <t>SALTA
LINEA</t>
  </si>
  <si>
    <t>EXPORTATION AU TEXTE (doc/txt)</t>
  </si>
  <si>
    <t>EXPORTAR PARA O TEXTO (doc/txt)</t>
  </si>
  <si>
    <t>ESPORTA IN TESTO (doc/txt)</t>
  </si>
  <si>
    <t xml:space="preserve">Título de la CATEGORÍA
Si quieres crear una CATEGORÍA para las preguntas. Si no, lo dejas en blanco y las preg. Puedes crear tu lista desplegable o escribir el nombre que quieras. </t>
  </si>
  <si>
    <t>CONTRASEÑA
Si introduces una contraseña o código, debes comunicarlo a los alumnos que van a rellenar el cuestionario.</t>
  </si>
  <si>
    <t>PREFIJO
Prefijo que tendrán todas las preguntas del cuestionario. Se numerarán correlativamente con ese prefijo y así te ayuda a tener las preguntas ordenadas. Si no quieres ningún prefijo, lo puedes dejar en blanco.</t>
  </si>
  <si>
    <t>Descripción de la CATEGORÍA
Si quieres escribir algo sobre la categoría, sólo es un comentario. Si no quieres escribir nada, lo puedes dejar en blanco.</t>
  </si>
  <si>
    <t>OCULTO 
Valor para visible y oculto, por defecto hay que poner 0.</t>
  </si>
  <si>
    <t>FIRST QUESTION
Enter the number of the first question to export.</t>
  </si>
  <si>
    <t>LAST QUESTION
Enter the number of the last question to export.</t>
  </si>
  <si>
    <t>CATEGORY description
In case you want to add a note about the category. Leave blank otherwise.</t>
  </si>
  <si>
    <t xml:space="preserve">CACHÉ
Valeur pour visible et masqué, par défaut, vous devez mettre 0. </t>
  </si>
  <si>
    <t xml:space="preserve">ESCONDIDO
Valor para visível e oculto, por padrão você deve colocar 0. </t>
  </si>
  <si>
    <t xml:space="preserve">Descrição da SUBCATEGORIA
Se você quiser escrever algo sobre a categoria, é apenas um comentário. Se você não quiser escrever nada, pode deixar em branco. </t>
  </si>
  <si>
    <t xml:space="preserve">Descrição da CATEGORIA
Se você quiser escrever algo sobre a categoria, é apenas um comentário. Se você não quiser escrever nada, pode deixar em branco. </t>
  </si>
  <si>
    <t xml:space="preserve">LE MOT DE PASSE
Si vous entrez un mot de passe ou un code, vous devez le communiquer aux étudiants qui vont remplir le questionnaire. </t>
  </si>
  <si>
    <t xml:space="preserve">Dernière question sur le numéro
Saisissez le numéro de la dernière question que vous souhaitez exporter vers le questionnaire. </t>
  </si>
  <si>
    <t xml:space="preserve">PREFIXO
Prefixo que terá todas as questões do questionário. Eles serão numerados correlativamente a esse prefixo e, portanto, ajuda você a ter as perguntas em ordem. Se você não quiser nenhum prefixo, pode deixá-lo em branco. </t>
  </si>
  <si>
    <t xml:space="preserve">Pergunta de número final
Digite o número da última pergunta que deseja exportar para o questionário. </t>
  </si>
  <si>
    <t xml:space="preserve">Título de CATEGORIA
Se você deseja criar uma CATEGORIA para as questões. Caso contrário, deixe em branco e pergunte a eles. Você pode criar sua lista suspensa ou escrever o nome que desejar. </t>
  </si>
  <si>
    <t xml:space="preserve">SENHA
Se você inserir uma senha ou código, deverá comunicá-lo aos alunos que irão preencher o questionário. </t>
  </si>
  <si>
    <t xml:space="preserve">Titolo CATEGORY
Se vuoi creare una CATEGORIA per le domande. In caso contrario, lo lasci vuoto e chiedi loro. Puoi creare il tuo elenco a discesa o scrivere il nome che desideri. </t>
  </si>
  <si>
    <t xml:space="preserve">PREFISSO
Prefisso che avrà tutte le domande del questionario. Saranno numerati in modo correlato con quel prefisso e quindi ti aiuta ad avere le domande in ordine. Se non desideri alcun prefisso, puoi lasciarlo vuoto. </t>
  </si>
  <si>
    <t xml:space="preserve">Domanda numero finale
Immettere il numero dell'ultima domanda che si desidera esportare nel questionario. </t>
  </si>
  <si>
    <t xml:space="preserve">Descrizione della CATEGORIA
Se vuoi scrivere qualcosa sulla categoria, è solo un commento. Se non vuoi scrivere nulla, puoi lasciarlo vuoto. </t>
  </si>
  <si>
    <t xml:space="preserve">Descrizione della SOTTOCATEGORIA
Se vuoi scrivere qualcosa sulla categoria, è solo un commento. Se non vuoi scrivere nulla, puoi lasciarlo vuoto. </t>
  </si>
  <si>
    <t xml:space="preserve">NASCOSTO
Valore per visibile e nascosto, per impostazione predefinita devi mettere 0. </t>
  </si>
  <si>
    <t>39</t>
  </si>
  <si>
    <t>Cliquez ici si vous souhaitez poser l'ensemble des questions.</t>
  </si>
  <si>
    <t>La gamme de questions à exporter est différente de la gamme de questions stockées.</t>
  </si>
  <si>
    <t>Click here if you want to put the full range of questions.</t>
  </si>
  <si>
    <t>The range of questions to be exported is different from the range of stored questions.</t>
  </si>
  <si>
    <t>Pincha aquí si quieres poner el rango completo de preguntas.</t>
  </si>
  <si>
    <t>El rango de preguntas a exportar es diferente al rango de preguntas almacenadas.</t>
  </si>
  <si>
    <t>ENGLISH</t>
  </si>
  <si>
    <t>FRANÇAIS</t>
  </si>
  <si>
    <t>ITALIEN</t>
  </si>
  <si>
    <t>PORTUGUÊS</t>
  </si>
  <si>
    <t>CÓDIGOS 
ESPECIALES</t>
  </si>
  <si>
    <t>DATOS 
GENERALES</t>
  </si>
  <si>
    <t>BANCO 
PREGUNTAS</t>
  </si>
  <si>
    <t>LIMPIAR 
DATOS</t>
  </si>
  <si>
    <t>GUARDAR 
PREGUNTAS</t>
  </si>
  <si>
    <t>BORRAR 
PREGUNTAS</t>
  </si>
  <si>
    <t>DAR 
FORMATO</t>
  </si>
  <si>
    <t>ERASE 
FIELDS</t>
  </si>
  <si>
    <t>DONNÉES 
GÉNÉRALES</t>
  </si>
  <si>
    <t>ENREGISTRER 
QUESTIONS</t>
  </si>
  <si>
    <t>SUPPRIMER 
QUESTIONS</t>
  </si>
  <si>
    <t>DADOS 
GERAIS</t>
  </si>
  <si>
    <t>PERGUNTAS 
DE BANCO</t>
  </si>
  <si>
    <t>LIMPAR 
DADOS</t>
  </si>
  <si>
    <t>SALVAR 
PERGUNTAS</t>
  </si>
  <si>
    <t>APAGAR 
PERGUNTAS</t>
  </si>
  <si>
    <t>DATI 
GENERALI</t>
  </si>
  <si>
    <t>DOMANDE 
BANCARIE</t>
  </si>
  <si>
    <t>DATI 
PULITI</t>
  </si>
  <si>
    <t>SALVA 
DOMANDE</t>
  </si>
  <si>
    <t>ELIMINA 
DOMANDE</t>
  </si>
  <si>
    <t>DARE 
FORMATO</t>
  </si>
  <si>
    <t>Preguntas Almacenadas</t>
  </si>
  <si>
    <t>Saved Questions</t>
  </si>
  <si>
    <t>Domande Memorizzate</t>
  </si>
  <si>
    <t>R. Correctas</t>
  </si>
  <si>
    <t>Right Answer</t>
  </si>
  <si>
    <t>Wrong Answer</t>
  </si>
  <si>
    <t>Bonne Réponse</t>
  </si>
  <si>
    <t>R. Correta</t>
  </si>
  <si>
    <t xml:space="preserve"> 01</t>
  </si>
  <si>
    <t xml:space="preserve"> 02</t>
  </si>
  <si>
    <t xml:space="preserve"> 03</t>
  </si>
  <si>
    <t xml:space="preserve"> 04</t>
  </si>
  <si>
    <t xml:space="preserve"> 05</t>
  </si>
  <si>
    <t xml:space="preserve"> 06</t>
  </si>
  <si>
    <t xml:space="preserve"> 07</t>
  </si>
  <si>
    <t xml:space="preserve"> 08</t>
  </si>
  <si>
    <t>Retroalim.</t>
  </si>
  <si>
    <t>Retour d'inform.</t>
  </si>
  <si>
    <t>Mayúsculas</t>
  </si>
  <si>
    <t>Majuscules</t>
  </si>
  <si>
    <t>Maiúsculas</t>
  </si>
  <si>
    <t>Maiuscola</t>
  </si>
  <si>
    <t>AYUDA DATOS GENERALES</t>
  </si>
  <si>
    <t>AIDER DONNÉES GÉNÉRALES</t>
  </si>
  <si>
    <t>AJUDA DADOS GERAIS</t>
  </si>
  <si>
    <t>AIUTO DATI GENERALI</t>
  </si>
  <si>
    <t>AYUDA FORMULARIOS</t>
  </si>
  <si>
    <t>AIDER FORMULAIRE</t>
  </si>
  <si>
    <t>AJUDA FORMA</t>
  </si>
  <si>
    <t>AIUTO MODULO</t>
  </si>
  <si>
    <t>IN</t>
  </si>
  <si>
    <t>INICIO</t>
  </si>
  <si>
    <t>HOME</t>
  </si>
  <si>
    <t>MAISON</t>
  </si>
  <si>
    <t>CASA</t>
  </si>
  <si>
    <t>NO FUNCIONA CON
VERSIONES DE EXCEL 
ANTERIORES A 2007
NI CON LA ÚLTIMA ACTUALIZACIÓN DE MAC</t>
  </si>
  <si>
    <t>Go to GENERAL DATA</t>
  </si>
  <si>
    <t>READ CAREFULLY</t>
  </si>
  <si>
    <t>Cadiz University</t>
  </si>
  <si>
    <t>Aller aux DONNÉES GÉNÉRALES</t>
  </si>
  <si>
    <t>LIRE ATTENTIVEMENT</t>
  </si>
  <si>
    <t>Université de Cadix</t>
  </si>
  <si>
    <t>Vá para DADOS GERAIS</t>
  </si>
  <si>
    <t xml:space="preserve">NÃO FUNCIONA COM
VERSÕES EXCEL
ANTES DE 2007
NÃO COM A ÚLTIMA ATUALIZAÇÃO DO MAC </t>
  </si>
  <si>
    <t>LEIA CUIDADOSAMENTE</t>
  </si>
  <si>
    <t>Este Aplicativo foi desenvolvido, na primeira versão, por:</t>
  </si>
  <si>
    <t>Universidade de Cádiz</t>
  </si>
  <si>
    <t>Vai a DATI GENERALI</t>
  </si>
  <si>
    <t xml:space="preserve">NON FUNZIONA CON
VERSIONI EXCEL
PRIMA DEL 2007
NON CON L'ULTIMO AGGIORNAMENTO DEL MAC </t>
  </si>
  <si>
    <t>LEGGI ATTENTAMENTE</t>
  </si>
  <si>
    <t>Questa Applicazione è stata sviluppata, nella prima versione, da:</t>
  </si>
  <si>
    <t>Università di Cadice</t>
  </si>
  <si>
    <t>1. Esta aplicación se ha desarrollado gracias a un Proyecto de Innovación Docente aprobado por la Unidad de Innovación Docente de la Universidad de Cádiz.
2. El usuario final es aquel docente que quiera usar los CUESTIONARIOS de la plataforma MOODLE. También la puede usar quien quiera tener sus Preguntas almacenados en un mismo sitio y con orden o quiera exportarlas a un documento de TEXTO.
3. La idea principal es facilitar la creación de un BANCO DE PREGUNTAS para los cuestionarios, por lo que el usuario final, deberá repasar que las preguntas se suben bien (al menos las primeras veces) y que ha rellenado los datos de manera adecuada, como si lo estuviera haciendo en Moodle.
   Si pinchas en cada uno de los tipos que se indican a continuación, podrás ver video tutoriales sobre cómo se crean en MOODLE.</t>
  </si>
  <si>
    <t xml:space="preserve">1. Esta aplicação foi desenvolvida graças a um Projeto de Inovação em Ensino aprovado pela Unidade de Inovação em Ensino da Universidade de Cádiz.
2. O usuário final é o professor que deseja utilizar os QUESTIONÁRIOS da plataforma MOODLE. Também pode ser utilizado por qualquer pessoa que queira ter suas Dúvidas armazenadas no mesmo local e com pedido ou queira exportá-las para um documento TEXTO.
3. A ideia principal é facilitar a criação de um BANCO DE PERGUNTAS para os questionários, de modo que o usuário final deve verificar se as perguntas estão carregadas corretamente (pelo menos nas primeiras vezes) e se os dados foram preenchidos corretamente, como se você estivesse fazendo isso no Moodle.
    Se você clicar em cada um dos tipos listados abaixo, poderá ver tutoriais em vídeo sobre como eles são criados no MOODLE. </t>
  </si>
  <si>
    <t>1. Questa applicazione è stata sviluppata grazie a un progetto di innovazione didattica approvato dall'Unità di innovazione didattica dell'Università di Cadice.
2. L'utente finale è l'insegnante che desidera utilizzare i QUESTIONARI della piattaforma MOODLE. Può essere utilizzato anche da chiunque desideri memorizzare le proprie domande nello stesso luogo e con ordine o desideri esportarle in un documento di TESTO.
3. L'idea principale è quella di facilitare la creazione di una BANCA DELLE DOMANDE per i questionari, quindi l'utente finale deve verificare che le domande siano caricate correttamente (almeno le prime volte) e che i dati siano stati inseriti correttamente, in quanto se lo facessi in Moodle.
    Se fai clic su ciascuno dei tipi elencati di seguito, sarai in grado di vedere tutorial video su come vengono creati in MOODLE .</t>
  </si>
  <si>
    <t>FORMULARIO VERDADERO FALSO</t>
  </si>
  <si>
    <t>TRUE</t>
  </si>
  <si>
    <t>FALSE</t>
  </si>
  <si>
    <t>VRAI</t>
  </si>
  <si>
    <t>FAUX</t>
  </si>
  <si>
    <t>VERDADEIRO</t>
  </si>
  <si>
    <t>VERO</t>
  </si>
  <si>
    <t>Respuesta Correcta</t>
  </si>
  <si>
    <t>Respuesta Incorrecta</t>
  </si>
  <si>
    <t>Pregunta Nº</t>
  </si>
  <si>
    <t>Question statement</t>
  </si>
  <si>
    <t xml:space="preserve">Gamme de questions stockées: </t>
  </si>
  <si>
    <t>Nome da pregunta</t>
  </si>
  <si>
    <t>Declaração de pregunta</t>
  </si>
  <si>
    <t xml:space="preserve">Gama de perguntas armazenadas: </t>
  </si>
  <si>
    <t>N. Initial Banque Questions</t>
  </si>
  <si>
    <t>N. Inicial Banco Perguntas</t>
  </si>
  <si>
    <t>N. Iniziale Banca Domande</t>
  </si>
  <si>
    <t>Questão Nº</t>
  </si>
  <si>
    <t>Domanda N.</t>
  </si>
  <si>
    <t>Resposta Correta</t>
  </si>
  <si>
    <t>Risposta Corretta</t>
  </si>
  <si>
    <t>Mauvaise Réponse</t>
  </si>
  <si>
    <t>Resposta Incorreta</t>
  </si>
  <si>
    <t>Risposta Sbagliata</t>
  </si>
  <si>
    <t>L5</t>
  </si>
  <si>
    <t>H9</t>
  </si>
  <si>
    <t>H11</t>
  </si>
  <si>
    <t>P_01_1</t>
  </si>
  <si>
    <t>P_01_2</t>
  </si>
  <si>
    <t>RC_1</t>
  </si>
  <si>
    <t>P_RC_1</t>
  </si>
  <si>
    <t>R_RC_1</t>
  </si>
  <si>
    <t>MAYUSCULAS</t>
  </si>
  <si>
    <t>PP_01_1</t>
  </si>
  <si>
    <t>PP_01_2</t>
  </si>
  <si>
    <t>Enun_PP</t>
  </si>
  <si>
    <t>MENSAJES MACROS</t>
  </si>
  <si>
    <t>MACROS MESSAGES</t>
  </si>
  <si>
    <t>TX</t>
  </si>
  <si>
    <t>45</t>
  </si>
  <si>
    <t>46</t>
  </si>
  <si>
    <t>47</t>
  </si>
  <si>
    <t>48</t>
  </si>
  <si>
    <t>49</t>
  </si>
  <si>
    <t>50</t>
  </si>
  <si>
    <t>Las casillas en NARANJA no pueden estar vacías.
Rellena BIEN los datos antes de GUARDAR.</t>
  </si>
  <si>
    <t>Les cases en ORANGE ne peuvent pas être vides.
Remplissez BIEN les données avant de SAUVEGARDER.</t>
  </si>
  <si>
    <t>As caixas em LARANJA não podem estar vazias.
Preencha os dados BEM antes de SALVAR.</t>
  </si>
  <si>
    <t>Le caselle in ARANCIONE non possono essere vuote.
Compila BENE i dati prima di SALVARE.</t>
  </si>
  <si>
    <t>PARA GARANTIR O FUNCIONAMENTO ADEQUADO DESTE APLICATIVO
NÃO USE SOB NENHUM CONCEITO O COMANDO
_______________________________________________________
                                  CUT [Ctrl + X]
_______________________________________________________
DESDE QUE PODE CAUSAR ALGUMAS FUNÇÕES CAIR</t>
  </si>
  <si>
    <t>PER GARANTIRE IL CORRETTO FUNZIONAMENTO DI QUESTA APPLICAZIONE
NON USARE SOTTO ALCUN CONCETTO IL COMANDO
_______________________________________________________
                                  TAGLIA [Ctrl + X]
_______________________________________________________
POICHÉ PU CAUSARE LA CADUTA DI ALCUNE FUNZIONI</t>
  </si>
  <si>
    <t>PARA ASEGURAR EL BUEN FUNCIONAMIENTO DE ESTA APLICACIÓN
NO USAR BAJO NINGÚN CONCEPTO EL COMANDO
_______________________________________________________  
                                 CORTAR [Ctrl+X]                             
_______________________________________________________
YA QUE PUEDE HACER QUE SE ESTROPEE ALGUNA FUNCIÓN</t>
  </si>
  <si>
    <t>QUESTA APPLICAZIONE È UN AIUTO PER OTTIMIZZARE IL TUO TEMPO
QUANDO USI I QUESTIONARI MOODLE
NON GARANTISCE CHE I DATI COMPLETINO BENE
AIUTA A CREARE DOMANDE IN MODO PIÙ EFFICACE
RICORDA DI CONSERVARE UNA COPIA DI BACKUP
_______________________________________________________
SPERO CHE LO TROVI UTILE!
_______________________________________________________</t>
  </si>
  <si>
    <t>ESTE APLICATIVO É UMA AJUDA PARA OTIMIZAR SEU TEMPO
QUANDO VOCÊ USA OS QUESTIONÁRIOS DO MOODLE
NÃO GARANTE QUE VOCÊ COMPLETE BEM OS DADOS
AJUDA A CRIAR PERGUNTAS COM MAIS EFICÁCIA
LEMBRE-SE DE MANTER UMA CÓPIA DE BACKUP
_______________________________________________________
ESPERO QUE SEJA ÚTIL!
_______________________________________________________</t>
  </si>
  <si>
    <t>0</t>
  </si>
  <si>
    <t>04_2</t>
  </si>
  <si>
    <t>04_3</t>
  </si>
  <si>
    <t>04_1</t>
  </si>
  <si>
    <t>In order to EXPORT the questions to another Excel, the file
  -</t>
  </si>
  <si>
    <t>Per ESPORTARE le domande in un altro Excel, il file
  -</t>
  </si>
  <si>
    <t>Para EXPORTAR as perguntas para outro Excel, o arquivo
  -</t>
  </si>
  <si>
    <t>Afin d'exporter les questions vers un autre Excel, le fichier
  -</t>
  </si>
  <si>
    <t xml:space="preserve">
debe estar en el DIRECTORIO en el que estás TRABAJANDO: 
      -  </t>
  </si>
  <si>
    <t xml:space="preserve">
deve estar no DIRETÓRIO em que você está TRABALHANDO:
       -</t>
  </si>
  <si>
    <t xml:space="preserve">
deve essere nella RUBRICA in cui stai LAVORANDO:
       -</t>
  </si>
  <si>
    <t xml:space="preserve">
BUSCA EL ARCHIVO Y CÓPIALO EN ESTE DIRECTORIO PARA PODER CONTINUAR.</t>
  </si>
  <si>
    <t xml:space="preserve">
LOOK FOR THE FILE AND COPY IT IN THIS DIRECTORY TO BE ABLE TO CONTINUE.</t>
  </si>
  <si>
    <t xml:space="preserve">
CERCA IL FILE E COPIA IN QUESTA DIRECTORY PER POTER CONTINUARE.</t>
  </si>
  <si>
    <t xml:space="preserve">
PROCURE O ARQUIVO E COPIE-O NESTE DIRETÓRIO PARA PODER CONTINUAR.</t>
  </si>
  <si>
    <t xml:space="preserve">
RECHERCHEZ LE FICHIER ET COPIEZ-LE DANS CE RÉPERTOIRE POUR POUVOIR CONTINUER.</t>
  </si>
  <si>
    <t>Ensuite, vous devez ouvrir le fichier dans lequel se trouvent les questions que vous souhaitez importer.</t>
  </si>
  <si>
    <t>Em seguida, você deve abrir o arquivo onde as perguntas que deseja importar estão localizadas.</t>
  </si>
  <si>
    <t>Successivamente è necessario aprire il file in cui si trovano le domande che si desidera importare.</t>
  </si>
  <si>
    <t>Puedes INSERTAR imágenes que tengas en GOOGLE DRIVE o DROPBOX.
Para ello, debes compartirla pinchando en 
                 - CUALQUIER PERSONA CON EL ENLACE - 
y pegar el enlace en el siguiente mensaje.</t>
  </si>
  <si>
    <t>Puoi INSERIRE le immagini che hai in GOOGLE DRIVE o DROPBOX.
Per fare ciò, devi condividerlo cliccando su
                  - CHIUNQUE CON IL LINK -
e incolla il link nel messaggio seguente.</t>
  </si>
  <si>
    <t>Você pode INSERIR imagens que possui no GOOGLE DRIVE ou DROPBOX.
Para fazer isso, você deve compartilhá-lo clicando em
                  - QUALQUER PESSOA COM O LINK -
e cole o link na mensagem a seguir.</t>
  </si>
  <si>
    <t>You can INSERT images that you have in GOOGLE DRIVE or DROPBOX.
To do this, you must share it by clicking on
                  - ANYONE WITH THE LINK -
and paste the link in the following message.</t>
  </si>
  <si>
    <t>Write the URL of the image you want to insert.</t>
  </si>
  <si>
    <t xml:space="preserve"> Escreva o URL da imagem que deseja inserir.</t>
  </si>
  <si>
    <t xml:space="preserve"> Scrivi l'URL dell'immagine che desideri inserire.</t>
  </si>
  <si>
    <t xml:space="preserve"> Écrivez l'URL de l'image que vous souhaitez insérer.</t>
  </si>
  <si>
    <t>L'URL saisie n'est pas valide.
Assurez-vous d'insérer une URL correcte.</t>
  </si>
  <si>
    <t>L'URL inserito non è valido.
Assicurati di inserire un URL corretto.</t>
  </si>
  <si>
    <t>O URL inserido não é válido.
Certifique-se de inserir um URL adequado.</t>
  </si>
  <si>
    <t>The entered URL is not valid.
Make sure to insert a proper URL.</t>
  </si>
  <si>
    <t xml:space="preserve">Escribe el ANCHO que quieres que tenga la imagen. 
Si no sabes qué tamaño quieres, puedes dejarlo en blanco, y se tomará el ancho por defecto de la imagen, pero NO SE PUEDE PONER CERO (0).
</t>
  </si>
  <si>
    <t>Escreva a LARGURA que deseja que a imagem tenha.
Se você não souber o tamanho que deseja, pode deixar em branco, e a largura padrão da imagem será obtida, mas NÃO PODE SER ZERADA (0).</t>
  </si>
  <si>
    <t>Scrivi la LARGHEZZA che vuoi che l'immagine abbia.
Se non sai quale dimensione vuoi, puoi lasciarlo vuoto e verrà presa la larghezza predefinita dell'immagine, ma NON PUO 'ESSERE AZZERATA (0).</t>
  </si>
  <si>
    <t>Escribe la ALTURA que quieres que tenga la imagen. 
Si no sabes qué tamaño quieres, puedes dejarlo en blanco, y se tomará el ancho por defecto de la imagen, pero NO SE PUEDE PONER CERO (0).</t>
  </si>
  <si>
    <t>Scrivi l'ALTEZZA che vuoi che l'immagine abbia.
Se non sai quale dimensione vuoi, puoi lasciarlo vuoto e verrà presa la larghezza predefinita dell'immagine, ma NON PUO 'ESSERE AZZERATA (0).</t>
  </si>
  <si>
    <t>Escreva a ALTURA que deseja que a imagem tenha.
Se você não souber o tamanho que deseja, pode deixar em branco, e a largura padrão da imagem será obtida, mas NÃO PODE SER ZERADA (0).</t>
  </si>
  <si>
    <t>El número inicial de la pregunta a exportar debe ser superior al número menor del banco de preguntas.</t>
  </si>
  <si>
    <t>The initial number of the question to be exported must be greater than the smallest number in the question bank.</t>
  </si>
  <si>
    <t>O número inicial da pergunta a ser exportada deve ser maior que o menor número no banco de perguntas.</t>
  </si>
  <si>
    <t>Il numero iniziale della domanda da esportare deve essere maggiore del numero più piccolo nella banca della domanda.</t>
  </si>
  <si>
    <t>Le numéro final de la question à exporter doit être inférieur au nombre le plus élevé de la banque de questions.</t>
  </si>
  <si>
    <t>El número final de la pregunta a exportar debe ser inferior al número mayor del banco de preguntas.</t>
  </si>
  <si>
    <t>Il numero finale della domanda da esportare deve essere inferiore al numero più grande nella banca della domanda.</t>
  </si>
  <si>
    <t>O número final da questão a ser exportada deve ser menor que o maior número no banco de questões.</t>
  </si>
  <si>
    <t>The final number of the question to be exported must be less than the largest number in the question bank.</t>
  </si>
  <si>
    <t>The final number of the question to be exported must be greater than the smallest number in the question bank.</t>
  </si>
  <si>
    <t>El número final de la pregunta a exportar debe ser superior al número menor del banco de preguntas.</t>
  </si>
  <si>
    <t>O número final da questão a ser exportada deve ser maior que o menor número no banco de questões.</t>
  </si>
  <si>
    <t>Il numero finale della domanda da esportare deve essere maggiore del numero più piccolo nella banca della domanda.</t>
  </si>
  <si>
    <t>Le numéro final de la question à exporter doit être supérieur au plus petit nombre de la banque de questions.</t>
  </si>
  <si>
    <t xml:space="preserve">ESTE BANCO DE PREGUNTAS ESTÁ AÚN EN CONSTRUCCIÓN
</t>
  </si>
  <si>
    <t xml:space="preserve">ESTE BANCO DE QUESTÕES AINDA ESTÁ EM CONSTRUÇÃO
</t>
  </si>
  <si>
    <t xml:space="preserve">QUESTA BANCA DI DOMANDE È ANCORA IN COSTRUZIONE
</t>
  </si>
  <si>
    <t xml:space="preserve">THIS BANK OF QUESTIONS IS STILL UNDER CONSTRUCTION
</t>
  </si>
  <si>
    <t xml:space="preserve">CETTE BANQUE DE QUESTIONS EST ENCORE EN CONSTRUCTION
</t>
  </si>
  <si>
    <t xml:space="preserve">ESTE FORMULARIO ESTÁ AÚN EN CONSTRUCCIÓN
</t>
  </si>
  <si>
    <t xml:space="preserve">CE FORMULAIRE EST ENCORE EN CONSTRUCTION
</t>
  </si>
  <si>
    <t xml:space="preserve">THIS FORM IS STILL UNDER CONSTRUCTION
</t>
  </si>
  <si>
    <t xml:space="preserve">QUESTO MODULO È ANCORA IN COSTRUZIONE
</t>
  </si>
  <si>
    <t>23_1</t>
  </si>
  <si>
    <t>23_2</t>
  </si>
  <si>
    <t xml:space="preserve">Podrás introducir preguntas UNA a UNA.
¿DESEAS CONTINUAR?
</t>
  </si>
  <si>
    <t xml:space="preserve">Você poderá inserir as perguntas UMA a UMA.
VOCÊ QUER CONTINUAR?
</t>
  </si>
  <si>
    <t xml:space="preserve">Potrai inserire le domande UNA per UNA.
VUOI CONTINUARE?
</t>
  </si>
  <si>
    <t xml:space="preserve">Tem certeza de que deseja LIMPAR os dados do formulário?
NENHUM dado será EXCLUÍDO das perguntas.
</t>
  </si>
  <si>
    <t xml:space="preserve">¿Estás seguro que quieres LIMPIAR los datos del Formulario?
NO se BORRARÁ ningún dato de las preguntas.
</t>
  </si>
  <si>
    <t xml:space="preserve">Sei sicuro di voler PULIRE i dati del modulo?
NESSUN dato verrà ELIMINATO dalle domande.
</t>
  </si>
  <si>
    <t xml:space="preserve">NO HAY DATOS ALMACENADOS EN LA PREGUNTA SELECCIONADA.
</t>
  </si>
  <si>
    <t xml:space="preserve">NENHUM DADO É ARMAZENADO NA PERGUNTA SELECIONADA.
</t>
  </si>
  <si>
    <t xml:space="preserve">NESSUN DATO VIENE MEMORIZZATO NELLA DOMANDA SELEZIONATA.
</t>
  </si>
  <si>
    <t xml:space="preserve">¿Estás seguro que quieres BORRAR la pregunta </t>
  </si>
  <si>
    <t>27_1</t>
  </si>
  <si>
    <t>27_2</t>
  </si>
  <si>
    <t xml:space="preserve"> del cuestionario?</t>
  </si>
  <si>
    <t xml:space="preserve"> du questionnaire?</t>
  </si>
  <si>
    <t xml:space="preserve"> of the questionnaire?</t>
  </si>
  <si>
    <t xml:space="preserve">Sei sicuro di voler CANCELLARE la domanda </t>
  </si>
  <si>
    <t xml:space="preserve"> del questionario?</t>
  </si>
  <si>
    <t xml:space="preserve">Tem certeza de que deseja EXCLUIR a pregunta </t>
  </si>
  <si>
    <t xml:space="preserve"> do questionário?</t>
  </si>
  <si>
    <t>28_1</t>
  </si>
  <si>
    <t>28_2</t>
  </si>
  <si>
    <t>28_3</t>
  </si>
  <si>
    <t xml:space="preserve">La pregunta </t>
  </si>
  <si>
    <t xml:space="preserve"> ha sido borrada del Banco de Preguntas.
</t>
  </si>
  <si>
    <t xml:space="preserve"> no ha sido borrada del Banco de Preguntas.
</t>
  </si>
  <si>
    <t xml:space="preserve"> has been deleted from the Question Bank.
</t>
  </si>
  <si>
    <t xml:space="preserve">A pregunta </t>
  </si>
  <si>
    <t xml:space="preserve"> foi excluída do banco de perguntas.
</t>
  </si>
  <si>
    <t xml:space="preserve">não foi excluída do banco de perguntas.
</t>
  </si>
  <si>
    <t xml:space="preserve">La domanda </t>
  </si>
  <si>
    <t xml:space="preserve"> è stata eliminata dalla Banca delle domande.
</t>
  </si>
  <si>
    <t xml:space="preserve"> non è stata cancellata dalla Banca delle domande.
</t>
  </si>
  <si>
    <t xml:space="preserve">La question </t>
  </si>
  <si>
    <t xml:space="preserve"> a été supprimée de la banque de questions.
</t>
  </si>
  <si>
    <t xml:space="preserve"> n'a pas été supprimée de la banque de questions.
</t>
  </si>
  <si>
    <t xml:space="preserve">Se quiser usar CÉLULAS VARIÁVEIS para as perguntas, clique em ATIVAR.
Se você NÃO deseja usá-los, clique em DESATIVAR.
Você pode usá-los:
      - Como variáveis ​​de palavras
      - Como células EXCEL com FÓRMULAS
      - Qualquer outra coisa que você saiba fazer com o EXCEL
           Mas LEMBRE-SE DE NÃO USAR [Ctrl + X]
</t>
  </si>
  <si>
    <t xml:space="preserve">Se vuoi utilizzare CELLULE VARIABILI per le domande, clicca su ATTIVA.
Se NON vuoi usarli, clicca su DISABILITA.
Puoi usarli:
      - Come variabili di parola
      - Come celle EXCEL con FORMULE
      - Qualsiasi altra cosa che sai fare con EXCEL
           Ma RICORDA DI NON USARE [Ctrl + X]
</t>
  </si>
  <si>
    <t xml:space="preserve">¿DESEAS REEMPLAZAR EL ARCHIVO EXISTENTE?
</t>
  </si>
  <si>
    <t xml:space="preserve">VOULEZ-VOUS REMPLACER LE FICHIER EXISTANT?
</t>
  </si>
  <si>
    <t xml:space="preserve">VUOI SOSTITUIRE IL FILE ESISTENTE?
</t>
  </si>
  <si>
    <t xml:space="preserve">DESEJA SUBSTITUIR O ARQUIVO EXISTENTE?
</t>
  </si>
  <si>
    <t xml:space="preserve">DO YOU WANT TO REPLACE THE EXISTING FILE?
</t>
  </si>
  <si>
    <t xml:space="preserve">SE REEMPLAZARÁ EL ARCHIVO: </t>
  </si>
  <si>
    <t>ARCHIVOS TEXTO</t>
  </si>
  <si>
    <t>ARCHIVOS EXCEL</t>
  </si>
  <si>
    <t>ARCHIVOS MOODLE</t>
  </si>
  <si>
    <t>EN LA CARPETA:</t>
  </si>
  <si>
    <t xml:space="preserve">Se ha creado el archivo con nombre: </t>
  </si>
  <si>
    <t>TEXT FILES</t>
  </si>
  <si>
    <t>EXCEL FILES</t>
  </si>
  <si>
    <t>MOODLE FILES</t>
  </si>
  <si>
    <t>IN THE FOLDER:</t>
  </si>
  <si>
    <t>ARQUIVOS DE TEXTO</t>
  </si>
  <si>
    <t>ARQUIVOS EXCEL</t>
  </si>
  <si>
    <t>ARQUIVOS DE MOODLE</t>
  </si>
  <si>
    <t>NA PASTA:</t>
  </si>
  <si>
    <t>FILE DI TESTO</t>
  </si>
  <si>
    <t>FILE EXCEL</t>
  </si>
  <si>
    <t>NELLA CARTELLA:</t>
  </si>
  <si>
    <t>LE FICHIER SERA REMPLACÉ:</t>
  </si>
  <si>
    <t>FICHIERS TEXTE</t>
  </si>
  <si>
    <t>FICHIERS EXCEL</t>
  </si>
  <si>
    <t>FICHIERS MOODLE</t>
  </si>
  <si>
    <t xml:space="preserve">LE FICHIER NE SERA PAS REMPLACÉ.
LE NOUVEAU FICHIER EST APPELÉ:
</t>
  </si>
  <si>
    <t xml:space="preserve">NO SE REEMPLAZARÁ EL ARCHIVO. 
EL NUEVO ARCHIVO SE LLAMA:
</t>
  </si>
  <si>
    <t xml:space="preserve">THE FILE WILL NOT BE REPLACED.
THE NEW FILE IS CALLED:
</t>
  </si>
  <si>
    <t xml:space="preserve">O ARQUIVO NÃO SERÁ SUBSTITUÍDO.
O NOVO ARQUIVO É CHAMADO:
</t>
  </si>
  <si>
    <t xml:space="preserve">IL FILE NON VERRÀ SOSTITUITO.
IL NUOVO FILE SI CHIAMA:
</t>
  </si>
  <si>
    <t>DANS LE DOSSIER:</t>
  </si>
  <si>
    <t>FALSO</t>
  </si>
  <si>
    <t>41_5</t>
  </si>
  <si>
    <t>- El NOMBRE actual de la CATEGORÍA es:</t>
  </si>
  <si>
    <t>- La DESCRIPCIÓN es:</t>
  </si>
  <si>
    <t>- El NOMBRE actual de la SUBCATEGORÍA es:</t>
  </si>
  <si>
    <t>- El PREFIJO para TODAS las PREGUNTAS es:</t>
  </si>
  <si>
    <t>¿DESEAS CONTINUAR?</t>
  </si>
  <si>
    <t>- O NOME atual da CATEGORIA é:</t>
  </si>
  <si>
    <t>- A DESCRIÇÃO é:</t>
  </si>
  <si>
    <t>- O NOME atual da SUBCATEGORIA é:</t>
  </si>
  <si>
    <t>- O PREFIXO para TODAS AS PERGUNTAS é:</t>
  </si>
  <si>
    <t>VOCÊ QUER CONTINUAR?</t>
  </si>
  <si>
    <t>- L'attuale NOME della CATEGORIA è:</t>
  </si>
  <si>
    <t>- La DESCRIZIONE è:</t>
  </si>
  <si>
    <t>- L'attuale NOME della SOTTOCATEGORIA è:</t>
  </si>
  <si>
    <t>- Il PREFISSO per TUTTE LE DOMANDE è:</t>
  </si>
  <si>
    <t>VUOI CONTINUARE?</t>
  </si>
  <si>
    <t>- Le NOM actuel de la CATÉGORIE est:</t>
  </si>
  <si>
    <t>- La DESCRIPTION est:</t>
  </si>
  <si>
    <t>- Le NOM actuel de la SOUS-CATÉGORIE est:</t>
  </si>
  <si>
    <t>- Le PREFIXE pour TOUTES LES QUESTIONS est:</t>
  </si>
  <si>
    <t>VOULEZ-VOUS CONTINUER?</t>
  </si>
  <si>
    <t>- The current NAME of the CATEGORY is:</t>
  </si>
  <si>
    <t>- The DESCRIPTION is:</t>
  </si>
  <si>
    <t>- The current NAME of the SUBCATEGORY is:</t>
  </si>
  <si>
    <t>- The PREFIX for ALL QUESTIONS is:</t>
  </si>
  <si>
    <t>DO YOU WANT TO CONTINUE?</t>
  </si>
  <si>
    <t xml:space="preserve">- El Nº INICIAL y FINAL de las preguntas  que se van a EXPORTAR es: </t>
  </si>
  <si>
    <t>- EL total de BANCO DE PREGUNTAS:</t>
  </si>
  <si>
    <t xml:space="preserve">Has seleccionado exportar TODOS los cuestionarios. </t>
  </si>
  <si>
    <t>- El NOMBRE de las SUBCATEGORÍAS será el de la lista desplegable para:</t>
  </si>
  <si>
    <t>41_6</t>
  </si>
  <si>
    <t>41_7</t>
  </si>
  <si>
    <t>41_8</t>
  </si>
  <si>
    <t>41_9</t>
  </si>
  <si>
    <t>- The INITIAL and FINAL No. of the questions to be EXPORTED is:</t>
  </si>
  <si>
    <t>- THE TOTAL BANK OF QUESTIONS:</t>
  </si>
  <si>
    <t>- The NAME of the SUBCATEGORIES will be the one in the drop-down list for:</t>
  </si>
  <si>
    <t>- Le N ° INITIAL et FINAL des questions à EXPORTER est:</t>
  </si>
  <si>
    <t>- LA BANQUE TOTALE DE QUESTIONS:</t>
  </si>
  <si>
    <t>Vous avez choisi d'exporter TOUS les questionnaires.</t>
  </si>
  <si>
    <t>- Le NOM des SOUS-CATÉGORIES sera celui de la liste déroulante pour:</t>
  </si>
  <si>
    <t>- O Nº INICIAL e FINAL das questões a serem EXPORTADAS é:</t>
  </si>
  <si>
    <t>- O BANCO TOTAL DE QUESTÕES:</t>
  </si>
  <si>
    <t>Você optou por exportar TODOS os questionários.</t>
  </si>
  <si>
    <t>- O NOME das SUBCATEGORIAS será o da lista suspensa para:</t>
  </si>
  <si>
    <t>- Il numero INIZIALE e FINALE delle domande da ESPORTARE è:</t>
  </si>
  <si>
    <t>- LA BANCA TOTALE DELLE DOMANDE:</t>
  </si>
  <si>
    <t>Hai scelto di esportare TUTTI i questionari.</t>
  </si>
  <si>
    <t>- Il NOME delle SOTTOCATEGORIE sarà quello nell'elenco a tendina per:</t>
  </si>
  <si>
    <t xml:space="preserve">- El Tipo Numeración de las respuestas para los cuestionarios OPCIÓN MÚLTIPLE es: </t>
  </si>
  <si>
    <t>42_1</t>
  </si>
  <si>
    <t>42_2</t>
  </si>
  <si>
    <t>- Il tipo di numerazione delle risposte per i questionari a SCELTA MULTIPLA è:</t>
  </si>
  <si>
    <t>- Per quanto riguarda la verifica delle risposte, hai selezionato:</t>
  </si>
  <si>
    <t>- O tipo de numeração das respostas para os questionários MULTIPLE CHOICE é:</t>
  </si>
  <si>
    <t>- Quanto à verificação das respostas, você selecionou:</t>
  </si>
  <si>
    <t>- Le type de numérotation des réponses pour les questionnaires à CHOIX MULTIPLE est:</t>
  </si>
  <si>
    <t>- Concernant la vérification des réponses, vous avez sélectionné:</t>
  </si>
  <si>
    <t>- The Numbering Type of the responses for the MULTIPLE CHOICE questionnaires is:</t>
  </si>
  <si>
    <t>- Regarding the verification of the responses, you have selected:</t>
  </si>
  <si>
    <t>Indica el nombre de la CARPETA donde quieres guardar el archivo:</t>
  </si>
  <si>
    <t>Nombre RECOMENDADO para guardar el ARCHIVO:</t>
  </si>
  <si>
    <t>¿DESEAS CAMBIARLO?</t>
  </si>
  <si>
    <t>Escribe un NOMBRE para el archivo:</t>
  </si>
  <si>
    <t>THE FILE TO BE CREATED IS IN PLAIN TEXT.
IT CAN BE OPENED WITH WORD, NOTEBOOK, LATEX, ETC.</t>
  </si>
  <si>
    <t>Indicate the name of the FOLDER where you want to save the file:</t>
  </si>
  <si>
    <t>RECOMMENDED name to save the FILE:</t>
  </si>
  <si>
    <t>DO YOU WANT TO CHANGE IT?</t>
  </si>
  <si>
    <t>Indiquez le nom du DOSSIER dans lequel vous souhaitez enregistrer le fichier:</t>
  </si>
  <si>
    <t>Nom RECOMMANDÉ pour enregistrer le FICHIER:</t>
  </si>
  <si>
    <t>VOULEZ-VOUS LE CHANGER?</t>
  </si>
  <si>
    <t>Écrivez un NOM pour le fichier:</t>
  </si>
  <si>
    <t>O ARQUIVO A SER CRIADO ESTÁ EM TEXTO SIMPLES.
PODE SER ABERTO COM PALAVRA, CADERNO, LATEX, ETC.</t>
  </si>
  <si>
    <t>Indique o nome da PASTA onde deseja salvar o arquivo:</t>
  </si>
  <si>
    <t>Nome RECOMENDADO para salvar o ARQUIVO:</t>
  </si>
  <si>
    <t>VOCÊ QUER ALTERAR?</t>
  </si>
  <si>
    <t>Escreva um NAME para o arquivo:</t>
  </si>
  <si>
    <t>IL FILE DA CREARE È IN TESTO COMUNE.
PU ESSERE APERTO CON WORD, TACCUINO, LATTICE, ECC.</t>
  </si>
  <si>
    <t>Indica il nome della CARTELLA in cui vuoi salvare il file:</t>
  </si>
  <si>
    <t>Nome CONSIGLIATO per salvare il FILE:</t>
  </si>
  <si>
    <t>VUOI CAMBIARLO?</t>
  </si>
  <si>
    <t>Scrivi un NOME per il file:</t>
  </si>
  <si>
    <t>41_1</t>
  </si>
  <si>
    <t>41_2</t>
  </si>
  <si>
    <t>41_3</t>
  </si>
  <si>
    <t>51</t>
  </si>
  <si>
    <t xml:space="preserve">¿Deseas TRABAJAR con TODOS los Cuestionarios?
 - Si seleccionas SÍ: se trabajará con TODOS los cuestionarios.
 - Si seleccionas NO: se trabajará las preguntas seleccionadas del Cuestionario: 
</t>
  </si>
  <si>
    <t xml:space="preserve">Has seleccionado IMPORTAR preguntas desde otro archivo.
¿Deseas conservar las preguntas que tienes actualmente y poner las que vas a IMPORTAR a CONTINUACIÓN?
</t>
  </si>
  <si>
    <t xml:space="preserve">Hai selezionato IMPORTA domande da un altro file.
Vuoi conservare le domande che hai attualmente e inserire quelle che importerai SUCCESSIVAMENTE?
</t>
  </si>
  <si>
    <t xml:space="preserve">Quer TRABALHAR COM TODOS os Questionários?
  - Se você selecionar SIM: funcionará com TODOS os questionários.
  - Se você selecionar NÃO: as questões selecionadas do Questionário serão trabalhadas:
</t>
  </si>
  <si>
    <t xml:space="preserve">Vuoi LAVORARE con TUTTI i Questionari?
  - Se selezioni SI: funzionerà con TUTTI i questionari.
  - Se selezioni NO: verranno elaborate le domande selezionate del Questionario:
</t>
  </si>
  <si>
    <t xml:space="preserve">Você selecionou perguntas IMPORT de outro arquivo.
Quer guardar as dúvidas que tem atualmente e colocar aquelas que vai IMPORTAR EM SEGUIDA?
</t>
  </si>
  <si>
    <t xml:space="preserve">¿Deseas CONSERVAR las preguntas que tienes actualmente?
P.D.: Has seleccionado GUARDAR Banco de Preguntas (la copia se hará en OTRO archivo). Si deseas LIMPIAR las preguntas pulsa NO.
</t>
  </si>
  <si>
    <t xml:space="preserve">Scrivi quale separatore vuoi mettere per le coppie del questionario standard:
</t>
  </si>
  <si>
    <t xml:space="preserve">Escribe qué separador quieres poner para las parejas del Cuestionario tipo: 
</t>
  </si>
  <si>
    <t xml:space="preserve">Escreva o separador que deseja colocar para os casais do questionário padrão:
</t>
  </si>
  <si>
    <t>00_0</t>
  </si>
  <si>
    <t>Rango de preguntas almacenadas</t>
  </si>
  <si>
    <t xml:space="preserve">Rango de preguntas almacenadas: </t>
  </si>
  <si>
    <t xml:space="preserve">La URL introducida no es válida.
Asegúrate de insertar una URL adecuada.
</t>
  </si>
  <si>
    <t xml:space="preserve">- Con respecto al comportamiento de las respuestas, has seleccionado: </t>
  </si>
  <si>
    <t>EL ARCHIVO QUE SE VA A CREAR ES EN TEXTO PLANO.
SE PUEDE ABRIR CON WORD, BLOC DE NOTAS, LATEX, ETC.</t>
  </si>
  <si>
    <t>Right Answer Feedback</t>
  </si>
  <si>
    <t>SUPERINTENDE</t>
  </si>
  <si>
    <t xml:space="preserve">CE FORMULAREM EST ENCORE EN CONSTRUCTO
</t>
  </si>
  <si>
    <t>VERDADERO</t>
  </si>
  <si>
    <t>FORM TRUE FALSE</t>
  </si>
  <si>
    <t>FORMULAIRE VRAI FAUX</t>
  </si>
  <si>
    <t>FORMULÁRIO VERDADEIRO FALSO</t>
  </si>
  <si>
    <t>MODULO VERO FALSO</t>
  </si>
  <si>
    <t>TEXTO ROJO</t>
  </si>
  <si>
    <t>TEXTO AZUL</t>
  </si>
  <si>
    <t>OTRO COLOR</t>
  </si>
  <si>
    <t>RED TEXT</t>
  </si>
  <si>
    <t>BLUE TEXT</t>
  </si>
  <si>
    <t>OTHER COLOR</t>
  </si>
  <si>
    <t>AUTRE COULEUR</t>
  </si>
  <si>
    <t>TEXTO VERMELHO</t>
  </si>
  <si>
    <t>OUTRA COR</t>
  </si>
  <si>
    <t>TESTO ROSSO</t>
  </si>
  <si>
    <t>TESTO BLU</t>
  </si>
  <si>
    <t>ALTRO COLORE</t>
  </si>
  <si>
    <t xml:space="preserve">Scrivi il codice in formato HEX del COLORE che vuoi utilizzare:
Esempi:
    - Nero: 000000
    - Bianco: FFFFFF
Web per codici colore HTML:
      https://htmlcolorcodes.com/es/
Web per "clonare" il colore che vuoi usare:
      https://imagecolorpicker.com/es
</t>
  </si>
  <si>
    <t xml:space="preserve">Escreva o código no formato HEX da COR que deseja usar:
Exemplos:
    - Preto:       000000
    - Branco:    FFFFFF
Web para códigos de cores HTML:
      https://htmlcolorcodes.com/es/
Web para "clonar" a cor que deseja usar:
      https://imagecolorpicker.com/es
</t>
  </si>
  <si>
    <t xml:space="preserve">Écrivez le code au format HEX de la COULEUR que vous souhaitez utiliser:
Exemples (6 nº):
    - Noir:      000000
    - Blanc:     FFFFFF
Web pour les codes de couleur HTML:
      https://htmlcolorcodes.com/es/
Web pour "cloner" la couleur que vous souhaitez utiliser:
      https://imagecolorpicker.com/es
</t>
  </si>
  <si>
    <t xml:space="preserve">Write the code in HEX format of the COLOR you want to use:
Examples (6 nº):
    - Black:     000000
    - White:   FFFFFF
Web for HTML color codes:
      https://htmlcolorcodes.com/es/
Web to "clone" the color you want to use:
      https://imagecolorpicker.com/es
</t>
  </si>
  <si>
    <t xml:space="preserve">Escribe el código en formato HEX del COLOR que quieres usar:
Ejemplos (6 nº):
   - Negro:       000000 
   - Blanco:   FFFFFF
Web para los códigos de colores HTML:
     https://htmlcolorcodes.com/es/
Web para "clonar" el color que quieres usar:
     https://imagecolorpicker.com/es
</t>
  </si>
  <si>
    <t>2</t>
  </si>
  <si>
    <t>4</t>
  </si>
  <si>
    <t>1</t>
  </si>
  <si>
    <t>3</t>
  </si>
  <si>
    <t>Pt.</t>
  </si>
  <si>
    <t>PISTA</t>
  </si>
  <si>
    <t>HINT</t>
  </si>
  <si>
    <t>DICA</t>
  </si>
  <si>
    <t>TRACCIA</t>
  </si>
  <si>
    <t>N.</t>
  </si>
  <si>
    <t>THERE IS NO HELPFUL INFORMATION FOR THIS BOX.
SELECT A SIMILAR BOX.</t>
  </si>
  <si>
    <t>NON CI SONO INFORMAZIONI UTILI PER QUESTO BOX.
SELEZIONA UNA CASELLA SIMILE.</t>
  </si>
  <si>
    <t>NÃO HÁ INFORMAÇÕES ÚTEIS PARA ESTA CAIXA.
SELECIONE UMA CAIXA SEMELHANTE.</t>
  </si>
  <si>
    <t>G33</t>
  </si>
  <si>
    <t>H17</t>
  </si>
  <si>
    <t>T17</t>
  </si>
  <si>
    <t>U7</t>
  </si>
  <si>
    <t>03_2</t>
  </si>
  <si>
    <t>03_3</t>
  </si>
  <si>
    <t>Copie o texto (Ctrl + C), 
pressione F2 e cole (Ctrl + V) 
para inseri-lo na caixa:</t>
  </si>
  <si>
    <t>Copia il testo (Ctrl + C), 
premi F2 e incolla (Ctrl + V) 
per inserirlo nella casella:</t>
  </si>
  <si>
    <t xml:space="preserve">Se você quiser introduzir uma quebra de parágrafo,
em vez de uma quebra de linha,
você deve escrever:
                                   &lt;/p&gt;
</t>
  </si>
  <si>
    <t xml:space="preserve">Si vous souhaitez introduire un saut de paragraphe,
au lieu d'un saut de ligne,
vous devez écrire:
                                    &lt;/p&gt;
</t>
  </si>
  <si>
    <t xml:space="preserve">If you want to introduce a paragraph break,
instead of a line break,
you must write:
                                  &lt;/p&gt;
</t>
  </si>
  <si>
    <t xml:space="preserve">Se vuoi introdurre un'interruzione di paragrafo,
invece di un'interruzione di riga,
devi scrivere:
                            &lt;/p&gt;
</t>
  </si>
  <si>
    <t>D</t>
  </si>
  <si>
    <t>DEUTSCH</t>
  </si>
  <si>
    <t>SEITENMENÜS</t>
  </si>
  <si>
    <t>FORMEL</t>
  </si>
  <si>
    <t>BEAUFSICHTIGEN</t>
  </si>
  <si>
    <t>INDEX</t>
  </si>
  <si>
    <t>LINIE ÜBERSPRINGEN</t>
  </si>
  <si>
    <t>VERKETTEN</t>
  </si>
  <si>
    <t>FETTGEDRUCKTE SCHRIFTART</t>
  </si>
  <si>
    <t>SPACES (+1)</t>
  </si>
  <si>
    <t>ROTER TEXT</t>
  </si>
  <si>
    <t>BLAUER TEXT</t>
  </si>
  <si>
    <t>ANDERE FARBE</t>
  </si>
  <si>
    <t>DROPPED CATEGORIES LIST</t>
  </si>
  <si>
    <t>VERWENDEN SIE VARIABLE DATEN</t>
  </si>
  <si>
    <t>AKTIVIEREN SIE</t>
  </si>
  <si>
    <t>DEAKTIVIEREN</t>
  </si>
  <si>
    <t>CODES
SONDERANGEBOTE</t>
  </si>
  <si>
    <t>EINFÜGEN
BILDER</t>
  </si>
  <si>
    <t>KEINEN SCHNITT VERWENDEN
[Ctrl + X]</t>
  </si>
  <si>
    <t>Zur STARTSEITE</t>
  </si>
  <si>
    <t>BESTES MENÜ</t>
  </si>
  <si>
    <t>DATEN
ALLGEMEINES</t>
  </si>
  <si>
    <t>BANK
FRAGEN</t>
  </si>
  <si>
    <t>REINIGEN
DATEN</t>
  </si>
  <si>
    <t>SPAREN
FRAGEN</t>
  </si>
  <si>
    <t>LÖSCHEN
FRAGEN</t>
  </si>
  <si>
    <t>GEBEN
FORMAT</t>
  </si>
  <si>
    <t>ALLGEMEINE DATEN</t>
  </si>
  <si>
    <t>Fragetyp</t>
  </si>
  <si>
    <t>Titel KATEGORIE</t>
  </si>
  <si>
    <t>Titel UNTERKATEGORIE</t>
  </si>
  <si>
    <t>Generelle Rückmeldung</t>
  </si>
  <si>
    <t>Passwort / Identifikationsnummer</t>
  </si>
  <si>
    <t>Feedback Richtige Antwort</t>
  </si>
  <si>
    <t>Feedback teilweise richtige Antwort</t>
  </si>
  <si>
    <t>Feedback Falsche Antworten</t>
  </si>
  <si>
    <t>Fragenpräfix (nicht mehr als 15 Zeichen)</t>
  </si>
  <si>
    <t>Anfangsnummer der zu exportierenden Frage</t>
  </si>
  <si>
    <t>Letzte Nummer der zu exportierenden Frage</t>
  </si>
  <si>
    <t>Typ der Antwortnummerierung (NONE = none)</t>
  </si>
  <si>
    <t>Reihe gespeicherter Fragen</t>
  </si>
  <si>
    <t>Beschreibung</t>
  </si>
  <si>
    <t>Punkte</t>
  </si>
  <si>
    <t>Versteckt</t>
  </si>
  <si>
    <t>BILDEN</t>
  </si>
  <si>
    <t>FRAGEBANK</t>
  </si>
  <si>
    <t>IMPORT AUS EXCEL BOOK</t>
  </si>
  <si>
    <t>EXPORT ZUM EXCEL BOOK</t>
  </si>
  <si>
    <t>EXPORT NACH MOODLE</t>
  </si>
  <si>
    <t>EXPORT ZUM TEXT (doc / txt)</t>
  </si>
  <si>
    <t>EXPORT ZUM SPIEL</t>
  </si>
  <si>
    <t>Lückentext</t>
  </si>
  <si>
    <t>Die Antworten werden gemischt.</t>
  </si>
  <si>
    <t>Antworten werden NICHT gemischt.</t>
  </si>
  <si>
    <t>(eine Antwort)</t>
  </si>
  <si>
    <t>(mehrere Antworten)</t>
  </si>
  <si>
    <t>Klicken Sie hier, wenn Sie alle Fragen stellen möchten.</t>
  </si>
  <si>
    <t>Der Bereich der zu exportierenden Fragen unterscheidet sich vom Bereich der gespeicherten Fragen.</t>
  </si>
  <si>
    <t>Anfangsnummer der Fragenbank</t>
  </si>
  <si>
    <t>Frage Nr.</t>
  </si>
  <si>
    <t>Geben Sie num ein.</t>
  </si>
  <si>
    <t>Name der Frage</t>
  </si>
  <si>
    <t>R. Falsch</t>
  </si>
  <si>
    <t>Fragestellung</t>
  </si>
  <si>
    <t>Richtige Antwort</t>
  </si>
  <si>
    <t>Falsche Antwort</t>
  </si>
  <si>
    <t>HINWEIS</t>
  </si>
  <si>
    <t>R. Richtig</t>
  </si>
  <si>
    <t>PAARFORMULAR</t>
  </si>
  <si>
    <t>WAHR</t>
  </si>
  <si>
    <t>FALSCH</t>
  </si>
  <si>
    <t>KURZES ANTWORTFORMULAR</t>
  </si>
  <si>
    <t>Antworten</t>
  </si>
  <si>
    <t>Erforderlich für die Antwort in Großbuchstaben (JA = 1)</t>
  </si>
  <si>
    <t>Großbuchstaben</t>
  </si>
  <si>
    <t>VERLORENES WORTFORMULAR</t>
  </si>
  <si>
    <t>Fragenbank</t>
  </si>
  <si>
    <t>Gespeicherte Fragen</t>
  </si>
  <si>
    <t>ANFANG</t>
  </si>
  <si>
    <t>Gehen Sie zu ALLGEMEINE DATEN</t>
  </si>
  <si>
    <t>ARBEITET NICHT MIT
EXCEL-VERSIONEN
VOR 2007
NICHT MIT DEM NEUESTEN MAC-UPDATE</t>
  </si>
  <si>
    <t>GRÜNDLICH DURCHLESEN</t>
  </si>
  <si>
    <t>Diese Anwendung wurde in der ersten Version entwickelt von:</t>
  </si>
  <si>
    <t>Cadiz Universität</t>
  </si>
  <si>
    <t>1. Diese Anwendung wurde dank eines Lehrinnovationsprojekts entwickelt, das von der Lehrinnovationseinheit der Universität Cádiz genehmigt wurde.
2. Der Endbenutzer ist der Lehrer, der die FRAGEBOGEN der MOODLE-Plattform verwenden möchte. Es kann auch von jedem verwendet werden, der seine Fragen am selben Ort und mit Bestellung speichern oder in ein TEXT-Dokument exportieren möchte.
3. Die Hauptidee besteht darin, die Erstellung einer BANK VON FRAGEN für die Fragebögen zu erleichtern. Der Endbenutzer muss daher überprüfen, ob die Fragen korrekt hochgeladen wurden (zumindest die ersten Male) und ob er die Daten ordnungsgemäß ausgefüllt hat wenn du es in Moodle machst.
   Wenn Sie auf einen der unten angegebenen Typen klicken, können Sie Video-Tutorials anzeigen, wie sie in MOODLE erstellt werden.</t>
  </si>
  <si>
    <t>HILFE ALLGEMEINE INFORMATIONEN</t>
  </si>
  <si>
    <t>KATEGORIE Titel
Wenn Sie eine KATEGORIE für die Fragen erstellen möchten. Wenn nicht, lassen Sie es leer und fragen Sie sie. Sie können Ihre Dropdown-Liste erstellen oder einen beliebigen Namen schreiben.</t>
  </si>
  <si>
    <t>UNTERKATEGORIE Titel
Wenn Sie eine UNTERKATEGORIE für die Fragen erstellen möchten. Wenn nicht, lassen Sie es leer. Sie können aus der Dropdown-Liste auswählen oder den gewünschten Namen eingeben.
Um weitere Unterkategorien aufzunehmen, müssen Sie das Symbol "/" schreiben.
ZB "subcat1 / subcat2 / subcat3"</t>
  </si>
  <si>
    <t>PASSWORT
Wenn Sie ein Passwort oder einen Code eingeben, müssen Sie es den Schülern mitteilen, die den Fragebogen ausfüllen möchten.</t>
  </si>
  <si>
    <t>PRÄFIX
Präfix, das alle Fragen des Fragebogens enthält. Sie werden korrelativ mit diesem Präfix nummeriert und helfen Ihnen so, die Fragen in Ordnung zu bringen. Wenn Sie kein Präfix möchten, können Sie es leer lassen.</t>
  </si>
  <si>
    <t>Letzte Fragennummer
Geben Sie die Nummer der letzten Frage ein, die Sie in den Fragebogen exportieren möchten.</t>
  </si>
  <si>
    <t>Beschreibung der UNTERKATEGORIE
Wenn Sie etwas über die Kategorie schreiben möchten, ist dies nur ein Kommentar. Wenn Sie nichts schreiben möchten, können Sie es leer lassen.</t>
  </si>
  <si>
    <t>VERSTECKT
Wert für sichtbar und ausgeblendet, standardmäßig müssen Sie 0 setzen.</t>
  </si>
  <si>
    <t>HILFEFORMULARE</t>
  </si>
  <si>
    <t>Zufall:
Wenn Sie möchten, dass der OBERE FALL übereinstimmt, geben Sie 1 ein.</t>
  </si>
  <si>
    <t>MAKROS-NACHRICHTEN</t>
  </si>
  <si>
    <t>DIESE ANWENDUNG IST EINE HILFE, IHRE ZEIT ZU OPTIMIEREN
WENN SIE DIE MOODLE-FRAGEBOGEN VERWENDEN
GARANTIERT NICHT, DASS SIE DIE DATEN GUT AUSFÜLLEN
HILFT, FRAGEN EFFEKTIVER ZU ERSTELLEN
Denken Sie daran, eine Sicherungskopie aufzubewahren
_______________________________________________________
Ich hoffe, Sie finden es nützlich!
_______________________________________________________</t>
  </si>
  <si>
    <t>UM DEN GUTEN BETRIEB DIESER ANWENDUNG ZU GEWÄHRLEISTEN
NICHT UNTER EINEM KONZEPT DES BEFEHLS VERWENDEN
_______________________________________________________
                                 CUT [Strg + X]
_______________________________________________________
DA ES EINIGE FUNKTIONEN ZERBROCHEN MACHEN KANN</t>
  </si>
  <si>
    <t>Kopieren Sie den Text (Strg + C),
Drücken Sie F2 und fügen Sie ein (Strg + V).
um es in die Box einzufügen:</t>
  </si>
  <si>
    <t xml:space="preserve">[1] ESPAÑOL: 
Escribe el número correspondiente según el lenguaje con el que quieres trabajar por defecto.
Podrás cambiarlo en cualquier momento.
[2] ENGLISH:
Write the corresponding number according to the language you want to work with by default.
You can change it at any time.
[3] FRANÇAIS:
Écrivez le numéro correspondant en fonction de la langue avec laquelle vous souhaitez travailler par défaut.
Vous pouvez le modifier à tout moment.
[4] PORTUGUÊS:
Escreva o número correspondente de acordo com o idioma com o qual deseja trabalhar por padrão.
Você pode alterá-lo a qualquer momento.
[5] ITALIEN:
Scrivi il numero corrispondente in base alla lingua con cui desideri lavorare per impostazione predefinita.
Puoi modificarlo in qualsiasi momento.
[6] DEUTSCH:
Schreiben Sie die entsprechende Nummer entsprechend der Sprache, mit der Sie standardmäßig arbeiten möchten.
Sie können es jederzeit ändern.
</t>
  </si>
  <si>
    <t xml:space="preserve">Wenn Sie einen Absatzumbruch eingeben möchten,
anstelle von Zeilenumbruch,
du musst schreiben:
                            &lt;/ p&gt;
</t>
  </si>
  <si>
    <t xml:space="preserve">Um die Fragen in ein anderes Excel zu exportieren, die Datei
 - </t>
  </si>
  <si>
    <t>Die Felder in ORANGE dürfen nicht leer sein.
Füllen Sie die Daten GUT aus, bevor Sie SPAREN.</t>
  </si>
  <si>
    <t>Als nächstes müssen Sie die Datei öffnen, in der sich die Fragen befinden, die Sie importieren möchten.</t>
  </si>
  <si>
    <t>Sie können Bilder einfügen, die Sie in GOOGLE DRIVE oder DROPBOX haben.
Dazu müssen Sie es freigeben, indem Sie auf klicken
                 - JEMAND MIT DEM LINK -
und fügen Sie den Link in die folgende Nachricht ein.</t>
  </si>
  <si>
    <t>Schreiben Sie die URL des Bildes, das Sie einfügen möchten.</t>
  </si>
  <si>
    <t>Die eingegebene URL ist ungültig.
Stellen Sie sicher, dass Sie eine richtige URL einfügen.</t>
  </si>
  <si>
    <t>Die anfängliche Nummer der zu exportierenden Frage muss größer sein als die kleinste Nummer in der Fragenbank.</t>
  </si>
  <si>
    <t>Die endgültige Nummer der zu exportierenden Frage muss kleiner sein als die größte Nummer in der Fragenbank.</t>
  </si>
  <si>
    <t>Die endgültige Nummer der zu exportierenden Frage muss größer sein als die kleinste Nummer in der Fragenbank.</t>
  </si>
  <si>
    <t>DIESE BANK VON FRAGEN IST NOCH IM BAU</t>
  </si>
  <si>
    <t>DIESES FORMULAR IST NOCH IM BAU</t>
  </si>
  <si>
    <t>Sie können eins nach dem anderen Fragen eingeben.
MÖCHTEST DU WEITER MACHEN?</t>
  </si>
  <si>
    <t>In der ausgewählten Frage sind keine Daten gespeichert.</t>
  </si>
  <si>
    <t xml:space="preserve"> des Fragebogens?</t>
  </si>
  <si>
    <t>Die Frage</t>
  </si>
  <si>
    <t>TEXTDATEIEN</t>
  </si>
  <si>
    <t>EXCEL-DATEIEN</t>
  </si>
  <si>
    <t>MOODLE-DATEIEN</t>
  </si>
  <si>
    <t>DIE DATEI WIRD NICHT ERSETZT.
DIE NEUE DATEI WIRD GENANNT:</t>
  </si>
  <si>
    <t>IM ORDNER:</t>
  </si>
  <si>
    <t>MÖCHTEST DU WEITER MACHEN?</t>
  </si>
  <si>
    <t>- Der aktuelle NAME der KATEGORIE lautet:</t>
  </si>
  <si>
    <t>- Die BESCHREIBUNG lautet:</t>
  </si>
  <si>
    <t>- Der aktuelle NAME der UNTERKATEGORIE lautet:</t>
  </si>
  <si>
    <t>- Das PREFIX für ALLE FRAGEN lautet:</t>
  </si>
  <si>
    <t>- Die Anfangs- und Endnummer der zu exportierenden Fragen lautet:</t>
  </si>
  <si>
    <t>- DIE GESAMTE BANK DER FRAGEN:</t>
  </si>
  <si>
    <t>Sie haben ausgewählt, ALLE Fragebögen zu exportieren.</t>
  </si>
  <si>
    <t>- Der NAME der UNTERKATEGORIEN ist derjenige in der Dropdown-Liste für:</t>
  </si>
  <si>
    <t>- Der Nummerierungstyp der Antworten auf die Fragebögen mit MEHRFACHWAHL lautet:</t>
  </si>
  <si>
    <t>- In Bezug auf das Verhalten der Antworten haben Sie Folgendes ausgewählt:</t>
  </si>
  <si>
    <t>DIE ZU ERSTELLENDE DATEI IST IM EINFACHEN TEXT.
ES KANN MIT WORT, NOTIZBUCH, LATEX usw. GEÖFFNET WERDEN.</t>
  </si>
  <si>
    <t>Geben Sie den Namen des Ordners an, in dem Sie die Datei speichern möchten:</t>
  </si>
  <si>
    <t>EMPFOHLENER Name zum Speichern der DATEI:</t>
  </si>
  <si>
    <t>MÖCHTEN SIE ES ÄNDERN?</t>
  </si>
  <si>
    <t>Schreiben Sie einen NAMEN für die Datei:</t>
  </si>
  <si>
    <t xml:space="preserve">Schreiben Sie den Code im HEX-Format der Farbe, die Sie verwenden möchten:
Beispiele (6 nº):
    - Schwarz: 000000
    - Weiß: FFFFFF
Web für HTML-Farbcodes:
      https://htmlcolorcodes.com/es/
Web, um die Farbe zu "" klonen "", die Sie verwenden möchten:
      https://imagecolorpicker.com/es
</t>
  </si>
  <si>
    <t>ES GIBT KEINE HILFREICHEN INFORMATIONEN FÜR DIESE BOX
BITTE WÄHLEN SIE EINE ÄHNLICHE BOX AUS.</t>
  </si>
  <si>
    <t>ESTA APLICACIÓN ES UNA AYUDA A OPTIMIZAR TU TIEMPO
CUANDO USES LOS CUESTIONARIOS DE MOODLE
NO GARANTIZA QUE COMPLETES BIEN LOS DATOS
AYUDA A CREAR LAS PREGUNTAS DE MANERA MÁS EFICAZ
RECUERDA GUARDAR UNA COPIA DE SEGURIDAD   
_______________________________________________________ 
¡ESPERO QUE TE SEA DE UTILIDAD!      
_______________________________________________________</t>
  </si>
  <si>
    <t>Puntuación por respuesta</t>
  </si>
  <si>
    <t xml:space="preserve">RECUERDA:
Si vas a trabajar en una versión de MOODLE anterior a la Versión 3.8, debes abrir el archivo XML con el BLOC de NOTAS y guardarlo como UTF-8, en caso contrario no se importarán las preguntas.
Si no sabes en qué versión estás trabajando, pero no se importan las preguntas, guárdelos en UTF-8, pues en ese formato funciona para todas las versiones de MOODLE.
</t>
  </si>
  <si>
    <t xml:space="preserve">LEMBRAR:
Se você vai trabalhar em uma versão do MOODLE anterior à versão 3.8, você deve abrir o arquivo XML com o BLOCO DE NOTAS e salvá-lo como UTF-8, caso contrário as questões não serão importadas.
Se você não sabe em qual versão está trabalhando, mas as questões não são importadas, salve-as em UTF-8, pois nesse formato funciona para todas as versões do MOODLE.
</t>
  </si>
  <si>
    <t xml:space="preserve">RICORDA:
Se stai per lavorare in una versione di MOODLE precedente alla Versione 3.8, devi aprire il file XML con BLOCCO NOTE e salvarlo come UTF-8, altrimenti le domande non verranno importate.
Se non sai su quale versione stai lavorando, ma le domande non vengono importate, salvale in UTF-8, perché in quel formato funziona per tutte le versioni di MOODLE.
</t>
  </si>
  <si>
    <t>Nº INICIAL
Debes introducir el nº de la primera pregunta que quieres exportar.</t>
  </si>
  <si>
    <t xml:space="preserve">Nº INICIAL
Você deve inserir o número da primeira pergunta que deseja exportar. </t>
  </si>
  <si>
    <t xml:space="preserve">INITIAL No.
Vous devez entrer le numéro de la première question que vous souhaitez exporter. </t>
  </si>
  <si>
    <t xml:space="preserve">INIZIALE N.
Devi inserire il numero della prima domanda che desideri esportare. </t>
  </si>
  <si>
    <t>ANFANGSNUMMER
Sie müssen die Nummer der ersten Frage eingeben, die Sie exportieren möchten.</t>
  </si>
  <si>
    <t xml:space="preserve">Nº FINAL PREGUNTA
Introduce el nº de la última pregunta que quieres exportar al cuestionario. </t>
  </si>
  <si>
    <t>BARAJAR RESPUESTA
Si quieres barajar las respuestas, selecciona true.</t>
  </si>
  <si>
    <t>PUNTUACIÓN
Puntos que va a tener cada pregunta. Por defecto MOODLE pone uno, se puede modificar el valor cuando se crea el cuestionario.</t>
  </si>
  <si>
    <t>PENALIZACIÓN DEL INTENTO
Penalización para sucesivos intentos. Si no quieres penalizar las respuestas incorrectas, lo puedes configurar en el cuestionario.</t>
  </si>
  <si>
    <t>HIDDEN
Value for hidden and shown options, set to 0 by default.</t>
  </si>
  <si>
    <t>ERROR PENALTY
Penalty for successive failed attempts. You can customize the test to remove the penalty.</t>
  </si>
  <si>
    <t>No. CORRECT QUESTIONS:
In the case of Multiple Choice where there is more than one correct answer, indicate how many correct answers this question has. 
It can be different for each question in the same question bank.</t>
  </si>
  <si>
    <t>PUNTOS:
Puntos para esta respuesta.</t>
  </si>
  <si>
    <t>GRUPO DE PALABRA:
Nº del grupo para esta palabra.</t>
  </si>
  <si>
    <t>¿VOLVER A PREGUNTAR IDIOMA LA PRÓXIMA VEZ QUE ABRAS LA APLICACIÓN?
P.D.1: El idioma original de la aplicación es el ESPAÑOL, las traducciones han sido realizadas con el Traductor de Google.
P.D.2: Podrás cambiar el idioma en cualquier momento, mientras estás usando FastTest PluIn.</t>
  </si>
  <si>
    <t>PERGUNTE O IDIOMA NOVAMENTE NA PRÓXIMA VEZ QUE ABRIR O APLICATIVO.
P.S. 1: O idioma original do aplicativo é ESPANHOL, as traduções foram feitas com o Google Translata.
P.S. 2: você pode alterar o idioma a qualquer momento, enquanto usa FastTest PluIn.</t>
  </si>
  <si>
    <t>CHIEDERE NUOVAMENTE LA LINGUA LA PROSSIMA VOLTA CHE APRIRE L'APP?
P.S. 1: La lingua originale dell'applicazione è lo SPAGNOLO, le traduzioni sono state fatte con Google Translate.
P.S.2: Puoi cambiare la lingua in qualsiasi momento, mentre usi FastTest PluIn.</t>
  </si>
  <si>
    <t>FRAGEN SIE SPRACHE NÄCHSTES MAL, WENN SIE DIE APP ÖFFNEN?
S. 1: Die Originalsprache der Anwendung ist SPANISCH, die Übersetzungen wurden mit Google Translate erstellt.
S. 2: Sie können die Sprache jederzeit ändern, während Sie FastTest PluIn verwenden.</t>
  </si>
  <si>
    <t xml:space="preserve">Para inserir espaços, você tem várias opções:
1 - Copie o código e escreva tantos "_" quantos espaços você deseja manter.
2 - Digite o código
           &amp; nbsp;
para todos os outros espaços em que você deseja entrar.
3 - Escreva no início da frase
          &lt;PRE&gt;
Com esta opção, o formato será mantido com TODOS os espaços e quebras de página que você escrever. Também manterá a fonte COURIER e em preto.
</t>
  </si>
  <si>
    <t xml:space="preserve">Per inserire gli spazi hai diverse opzioni:
1 - Copia il codice e scrivi tanti "_" quanti sono gli spazi che vuoi conservare.
2 - Digita il codice
           &amp; nbsp;
per ogni altro spazio in cui vuoi entrare.
3 - Scrivi all'inizio della frase
          &lt;PRE&gt;
Con questa opzione, il formato verrà mantenuto con TUTTI gli spazi e le interruzioni di pagina che scrivi. Manterrà anche il carattere CORRIERE e in nero.
</t>
  </si>
  <si>
    <t xml:space="preserve">Si quieres introducir un SALTO DE PÁRRAFO,
en lugar de salto de línea,
debes escribir:
                            &lt;/p&gt;
</t>
  </si>
  <si>
    <t>La puntuación TOTAL de las respuestas CORRECTAS debe ser igual a 100.
Cambia los datos antes de GUARDAR.</t>
  </si>
  <si>
    <t>The TOTAL score of the CORRECT answers must be equal to 100.
Change the data before SAVE.</t>
  </si>
  <si>
    <t>A pontuação TOTAL das respostas CORRETAS deve ser igual a 100.
Altere os dados antes de SALVAR.</t>
  </si>
  <si>
    <t>Il punteggio TOTALE delle risposte CORRETTE deve essere uguale a 100.
Modificare i dati prima di SALVARE.</t>
  </si>
  <si>
    <t>Die Gesamtpunktzahl der RICHTIGEN Antworten muss gleich 100.
Bitte ändern Sie die Daten vor dem Speichern.</t>
  </si>
  <si>
    <t>A continuación, debes abrir el archivo donde están las preguntas que quieres importar.</t>
  </si>
  <si>
    <t>Un fichier texte sera créé.
Indiquez l'extension avec laquelle vous souhaitez l'enregistrer (txt/doc):</t>
  </si>
  <si>
    <t>Um arquivo de texto será criado.
Indique a extensão com a qual deseja salvá-lo (txt/doc):</t>
  </si>
  <si>
    <t>Verrà creato un file di testo.
Indica l'estensione con cui vuoi salvarlo (txt/doc):</t>
  </si>
  <si>
    <t>Eine Textdatei wird erstellt.
Geben Sie die Erweiterung an, mit der Sie sie speichern möchten (txt/doc):</t>
  </si>
  <si>
    <t>ESTA FUNCIÓN NO ESTÁ DISPONIBLE PARA MAC, ESPERO PODER ENCONTRAR PRONTO UNA SOLUCIÓN.</t>
  </si>
  <si>
    <t>CETTE FONCTION N'EST PAS DISPONIBLE POUR MAC, J'ESPÈRE POUVOIR TROUVER UNE SOLUTION BIENTÔT.</t>
  </si>
  <si>
    <t>ESTA FUNÇÃO NÃO ESTÁ DISPONÍVEL PARA MAC, ESPERO SER CAPAZ DE ENCONTRAR UMA SOLUÇÃO EM BREVE.</t>
  </si>
  <si>
    <t>QUESTA FUNZIONE NON È DISPONIBILE PER MAC, SPERO DI POTER TROVARE PRESTO UNA SOLUZIONE.</t>
  </si>
  <si>
    <t>Diese Funktion ist für MAC nicht verfügbar. Ich hoffe, bald in der Lage zu sein, eine Lösung zu finden.</t>
  </si>
  <si>
    <t>NO HAY INFORMACIÓN DE AYUDA PARA ESTA CASILLA.
SELECCIONA UNA CASILLA SIMILAR.</t>
  </si>
  <si>
    <t>Nº PREGUNTAS CORRECTAS:
Para el caso de Opción Múltiple donde haya más de una respuesta correcta, indicar cuántas respuestas correctas tiene esta pregunta.
Puede ser diferente para cada pregunta de un mismo banco de preguntas.</t>
  </si>
  <si>
    <t>Q17</t>
  </si>
  <si>
    <t>PUNTOS POR CADA RESPUESTA:
La puntuación que tendrá cada respuesta de la izquierda. Puedes escribirlo a mano o seleccionar un valor de la lista desplegable.
Si hay más de una respuesta correcta, la suma total debe ser 100.</t>
  </si>
  <si>
    <t>PUNKTE FÜR JEDE ANTWORT:
Die Punktzahl, die jede Antwort auf der linken Seite haben wird. Sie können es von Hand schreiben oder einen Wert aus der Dropdown-Liste auswählen.
Wenn es mehr als eine richtige Antwort gibt, muss die Gesamtsumme 100 betragen.</t>
  </si>
  <si>
    <t>PONTOS PARA CADA RESPOSTA:
A pontuação que terá cada resposta à esquerda. Você pode escrever à mão ou selecionar um valor na lista suspensa.
Se houver mais de uma resposta correta, a soma total deve ser 100.</t>
  </si>
  <si>
    <t>PUNTI PER OGNI RISPOSTA:
Il punteggio che avrà ciascuna risposta a sinistra. Puoi scriverlo a mano o selezionare un valore dall'elenco a discesa.
Se c'è più di una risposta corretta, la somma totale deve essere 100.</t>
  </si>
  <si>
    <t>JETZT MÜSSEN SIE DIE DATEI - MOODLE.xml - mit dem NOTES BLOCK ÖFFNEN und [Strg + V] drücken.
DANN MÜSSEN SIE DIE DATEI MIT DEM NAMEN SPEICHERN, ABER ERWEITERUNG - .xml -</t>
  </si>
  <si>
    <t>MAINTENANT, VOUS DEVEZ OUVRIR LE FICHIER - MOODLE.xml - avec le BLOC NOTES et appuyez sur [Ctrl + V].
ALORS, VOUS DEVEZ ENREGISTRER LE FICHIER AVEC LE NOM QUE VOUS VOULEZ, MAIS EXTENSION - .xml -</t>
  </si>
  <si>
    <t>ORA DEVI APRIRE IL FILE - MOODLE.xml - con il BLOCCO DELLE NOTE e premere [Ctrl + V].
POI, DEVI SALVARE IL FILE CON IL NOME CHE VUOI, MA ESTENSIONE - .xml -</t>
  </si>
  <si>
    <t>AGORA VOCÊ DEVE ABRIR O ARQUIVO - MOODLE.xml - com o BLOCO DE NOTAS e apertar [Ctrl + V].
ENTÃO, VOCÊ DEVE SALVAR O ARQUIVO COM O NOME QUE DESEJA, MAS EXTENSÃO - .xml -</t>
  </si>
  <si>
    <t xml:space="preserve">¿Estás trabajando con un MAC?
</t>
  </si>
  <si>
    <t xml:space="preserve">Você está trabalhando com um MAC?
</t>
  </si>
  <si>
    <t xml:space="preserve">Are you working with a MAC?
</t>
  </si>
  <si>
    <t xml:space="preserve">Stai lavorando con un MAC?
</t>
  </si>
  <si>
    <t xml:space="preserve">Travaillez-vous avec un MAC?
</t>
  </si>
  <si>
    <t xml:space="preserve">Arbeiten Sie mit einem MAC?
</t>
  </si>
  <si>
    <t xml:space="preserve">Si estás trabajando con MAC es posible que esta opción no funcione.
En ese caso, puedes consultar el vídeo que te pongo en el mensaje, para ver cómo puedes hacerlo tú manualmente.
</t>
  </si>
  <si>
    <t xml:space="preserve">Si vous travaillez avec MAC, cette option peut ne pas fonctionner.
Dans ce cas, vous pouvez vérifier la vidéo que j'ai placée dans le message, pour voir comment vous pouvez le faire manuellement.
</t>
  </si>
  <si>
    <t xml:space="preserve">Se stai lavorando con MAC, questa opzione potrebbe non funzionare.
In tal caso, puoi controllare il video che ho inserito nel messaggio, per vedere come puoi farlo manualmente.
</t>
  </si>
  <si>
    <t xml:space="preserve">Wenn Sie mit MAC arbeiten, funktioniert diese Option möglicherweise nicht.
In diesem Fall können Sie das Video überprüfen, das ich in die Nachricht eingefügt habe, um zu sehen, wie Sie es manuell tun können.
</t>
  </si>
  <si>
    <t xml:space="preserve">Vuoi inserire la formula al centro del testo?
(Se quello che vuoi è inserire la formula in una nuova riga centrata ed evidenziata, rispondi NO).
</t>
  </si>
  <si>
    <t xml:space="preserve">Você deseja inserir a fórmula no meio do texto?
(Se o que você deseja é inserir a fórmula em uma nova linha centralizada e destacada, responda NÃO).
</t>
  </si>
  <si>
    <t xml:space="preserve">Möchten Sie die Formel in die Mitte des Textes eingeben?
(Wenn Sie die Formel in einer neuen Zeile eingeben möchten, die zentriert und hervorgehoben ist, antworten Sie mit NEIN.)
</t>
  </si>
  <si>
    <t xml:space="preserve">  &lt;question type="essay"&gt;</t>
  </si>
  <si>
    <t xml:space="preserve">    &lt;graderinfo format="html"&gt;</t>
  </si>
  <si>
    <t xml:space="preserve">    &lt;/graderinfo&gt;</t>
  </si>
  <si>
    <t xml:space="preserve">    &lt;responsetemplate format="html"&gt;</t>
  </si>
  <si>
    <t xml:space="preserve">    &lt;/responsetemplate&gt;</t>
  </si>
  <si>
    <t>EN</t>
  </si>
  <si>
    <t>Ensayo</t>
  </si>
  <si>
    <t>Essay</t>
  </si>
  <si>
    <t>Composition</t>
  </si>
  <si>
    <t>Componimento</t>
  </si>
  <si>
    <t>Freitextfrage</t>
  </si>
  <si>
    <t>Ensaios</t>
  </si>
  <si>
    <t>essay</t>
  </si>
  <si>
    <t>Formato de la Respuesta</t>
  </si>
  <si>
    <t>Requerir al estudiante que introduzca texto</t>
  </si>
  <si>
    <t>El texto es opcional</t>
  </si>
  <si>
    <t>Requerir texto</t>
  </si>
  <si>
    <t>Tamaño de la caja de entrada</t>
  </si>
  <si>
    <t>líneas</t>
  </si>
  <si>
    <t>Permitir archivos adjuntos</t>
  </si>
  <si>
    <t>Sin límites</t>
  </si>
  <si>
    <t>Archivos adjuntos requeridos</t>
  </si>
  <si>
    <t>Los archivos adjuntos son opcionales</t>
  </si>
  <si>
    <t>Sin texto</t>
  </si>
  <si>
    <t>Editor HTML</t>
  </si>
  <si>
    <t>FORMULARIO ENSAYO</t>
  </si>
  <si>
    <t>Plantilla de Respuesta</t>
  </si>
  <si>
    <t>Información para el evaluador</t>
  </si>
  <si>
    <t>Editor HTML con selector de archivos</t>
  </si>
  <si>
    <t>Texto sin formato</t>
  </si>
  <si>
    <t>Texto sin formato, tipografía monoespaciada</t>
  </si>
  <si>
    <t>NO</t>
  </si>
  <si>
    <t>Response format</t>
  </si>
  <si>
    <t>Require text</t>
  </si>
  <si>
    <t>Input box size</t>
  </si>
  <si>
    <t>lines</t>
  </si>
  <si>
    <t>Allow attachments</t>
  </si>
  <si>
    <t>Require attachments</t>
  </si>
  <si>
    <t>Response template</t>
  </si>
  <si>
    <t>HTML Editor</t>
  </si>
  <si>
    <t>Plain text</t>
  </si>
  <si>
    <t>Plain text, monospace font</t>
  </si>
  <si>
    <t>Text input is optional</t>
  </si>
  <si>
    <t>Unlimited</t>
  </si>
  <si>
    <t>Attachments are optional</t>
  </si>
  <si>
    <t>Antwortformat</t>
  </si>
  <si>
    <t>Text erforderlich</t>
  </si>
  <si>
    <t>Eingabefeldgröße</t>
  </si>
  <si>
    <t>Linien</t>
  </si>
  <si>
    <t>Anhänge zulassen</t>
  </si>
  <si>
    <t>Anhänge erforderlich</t>
  </si>
  <si>
    <t>Antwortvorlage</t>
  </si>
  <si>
    <t>Informationen für Grader</t>
  </si>
  <si>
    <t>HTML-Editor</t>
  </si>
  <si>
    <t>HTML-Editor mit Dateiauswahl</t>
  </si>
  <si>
    <t>Klartext</t>
  </si>
  <si>
    <t>Klartext, Monospace-Schrift</t>
  </si>
  <si>
    <t>Kein Online-Text</t>
  </si>
  <si>
    <t>Fordern Sie den Schüler auf, Text einzugeben</t>
  </si>
  <si>
    <t>Die Texteingabe ist optional</t>
  </si>
  <si>
    <t>NEIN</t>
  </si>
  <si>
    <t>Unbegrenzt</t>
  </si>
  <si>
    <t>Anhänge sind optional</t>
  </si>
  <si>
    <t>Formato della risposta</t>
  </si>
  <si>
    <t>Richiedi testo</t>
  </si>
  <si>
    <t>Dimensioni della casella di input</t>
  </si>
  <si>
    <t>Linee</t>
  </si>
  <si>
    <t>Consenti allegati</t>
  </si>
  <si>
    <t>Richiedi allegati</t>
  </si>
  <si>
    <t>Modello di risposta</t>
  </si>
  <si>
    <t>Informazioni per i selezionatori</t>
  </si>
  <si>
    <t>Editor HTML con selettore di file</t>
  </si>
  <si>
    <t>Testo normale</t>
  </si>
  <si>
    <t>Testo normale, carattere a spaziatura fissa</t>
  </si>
  <si>
    <t>Nessun testo online</t>
  </si>
  <si>
    <t>Richiedi allo studente di inserire il testo</t>
  </si>
  <si>
    <t>L'immissione di testo è facoltativa</t>
  </si>
  <si>
    <t>Illimitato</t>
  </si>
  <si>
    <t>Gli allegati sono facoltativi</t>
  </si>
  <si>
    <t>Formato de resposta</t>
  </si>
  <si>
    <t>Requer texto</t>
  </si>
  <si>
    <t>Tamanho da caixa de entrada</t>
  </si>
  <si>
    <t>linhas</t>
  </si>
  <si>
    <t>Permitir anexos</t>
  </si>
  <si>
    <t>Requer anexos</t>
  </si>
  <si>
    <t>Modelo de resposta</t>
  </si>
  <si>
    <t>Informações para classificadores</t>
  </si>
  <si>
    <t>Editor de HTML</t>
  </si>
  <si>
    <t>Editor HTML com seletor de arquivos</t>
  </si>
  <si>
    <t>Texto simples</t>
  </si>
  <si>
    <t>Texto simples, fonte monoespaçada</t>
  </si>
  <si>
    <t>Sem texto online</t>
  </si>
  <si>
    <t>Exigir que o aluno digite o texto</t>
  </si>
  <si>
    <t>A entrada de texto é opcional</t>
  </si>
  <si>
    <t>NÃO</t>
  </si>
  <si>
    <t>Ilimitado</t>
  </si>
  <si>
    <t>Os anexos são opcionais</t>
  </si>
  <si>
    <t>Format de réponse</t>
  </si>
  <si>
    <t>Taille de la boîte de saisie</t>
  </si>
  <si>
    <t>lignes</t>
  </si>
  <si>
    <t>Autoriser les pièces jointes</t>
  </si>
  <si>
    <t>Modèle de réponse</t>
  </si>
  <si>
    <t>Éditeur HTML</t>
  </si>
  <si>
    <t>Éditeur HTML avec sélecteur de fichiers</t>
  </si>
  <si>
    <t>Texte brut</t>
  </si>
  <si>
    <t>Texte brut, police monospace</t>
  </si>
  <si>
    <t>Exiger de l'étudiant qu'il saisisse du texte</t>
  </si>
  <si>
    <t>La saisie de texte est facultative</t>
  </si>
  <si>
    <t>NON</t>
  </si>
  <si>
    <t>Illimité</t>
  </si>
  <si>
    <t>Les pièces jointes sont facultatives</t>
  </si>
  <si>
    <t>Domanda Componimento</t>
  </si>
  <si>
    <t>Questão de texto livre</t>
  </si>
  <si>
    <t>editor</t>
  </si>
  <si>
    <t>editorfilepicker</t>
  </si>
  <si>
    <t>plain</t>
  </si>
  <si>
    <t>monospaced</t>
  </si>
  <si>
    <t>noinline</t>
  </si>
  <si>
    <t>CL</t>
  </si>
  <si>
    <t xml:space="preserve">  &lt;question type="cloze"&gt;</t>
  </si>
  <si>
    <t>cloze</t>
  </si>
  <si>
    <t>¿Has usado datos VARIABLES y quieres guardar varias preguntas de una vez?</t>
  </si>
  <si>
    <t>Have you used VARIABLE data and want to save several questions at once?</t>
  </si>
  <si>
    <t>Você usou dados VARIÁVEIS e deseja salvar várias perguntas de uma vez?</t>
  </si>
  <si>
    <t>Avez-vous utilisé des données VARIABLE et souhaitez enregistrer plusieurs questions à la fois?</t>
  </si>
  <si>
    <t>Hai utilizzato dati VARIABILI e desideri salvare più domande contemporaneamente?</t>
  </si>
  <si>
    <t>Haben Sie VARIABLE Daten verwendet und möchten mehrere Fragen gleichzeitig speichern?</t>
  </si>
  <si>
    <t>DESCRIPCIÓN:
Escribe lo que quieras que aparezca en el NOMBRE de la pregunta. 
Se formará con el PREFIJO puesto en Datos Generales + el número de la pregunta + la Descripción.
El número de la pregunta aparece cuando está marcada la casilla de la derecha.</t>
  </si>
  <si>
    <t>OPCIÓN MÚLTIPLE</t>
  </si>
  <si>
    <t>RESPUESTA CORTA</t>
  </si>
  <si>
    <t>NUMÉRICA</t>
  </si>
  <si>
    <t>Misture as respostas no questionário (SIM = true)</t>
  </si>
  <si>
    <t>Mische die Antworten im Fragebogen (JA = true)</t>
  </si>
  <si>
    <t>Questionnaire à choix unique (OUI = true)</t>
  </si>
  <si>
    <t>Questionário de escolha única (SIM = true)</t>
  </si>
  <si>
    <t>Questionario a scelta singola (SI = true)</t>
  </si>
  <si>
    <t>Single-Choice-Fragebogen (JA = true)</t>
  </si>
  <si>
    <t>No</t>
  </si>
  <si>
    <t>Não</t>
  </si>
  <si>
    <t>Nicht</t>
  </si>
  <si>
    <t xml:space="preserve">Non </t>
  </si>
  <si>
    <t>Non</t>
  </si>
  <si>
    <t>Sí, cambiar a gris.</t>
  </si>
  <si>
    <t>Sí, tachar en rojo.</t>
  </si>
  <si>
    <t>Oui, passez au gris.</t>
  </si>
  <si>
    <t>Sì, cambia in grigio.</t>
  </si>
  <si>
    <t>Sì, barrare in rosso.</t>
  </si>
  <si>
    <t>Sim, mude para cinza.</t>
  </si>
  <si>
    <t>Sim, risque em vermelho.</t>
  </si>
  <si>
    <t>Yes, change to gray.</t>
  </si>
  <si>
    <t>Yes, cross out in red.</t>
  </si>
  <si>
    <t>Ja, es ändert sich zu grau.</t>
  </si>
  <si>
    <t>Ja, rot streichen.</t>
  </si>
  <si>
    <t>Menú desplegable dentro del texto. 
Una respuesta correcta: MULTICHOICE
     =&gt; MC            =&gt; MCS    
     =&gt; MCV          =&gt; MCVS
     =&gt; MCH         =&gt; MCHS
Varias respuestas correctas: MULTIRESPONSE
     =&gt; MR             =&gt; MRS
     =&gt; MRH          =&gt; MRHS
ACLARACIONES:
     · La S es para que se barajen las respuestas.
     · La V es para Botones Verticales.
     · La H es para Botones Horizontales.</t>
  </si>
  <si>
    <t>Palabra suelta dentro del texto. 
SHORTANSWER 
     =&gt; SA            =&gt; SAC
     =&gt; MW         =&gt; MWC
ACLARACIONES:
     · La C es para que Coincidan las mayúsculas.</t>
  </si>
  <si>
    <t>INFORMACIÓN GENERAL
Codificación:  { P : T : D }
     - P ==&gt; PUNTOS APARTADO
     - T ==&gt; TIPO
     - D ==&gt; DATOS RESPUESTA
          ~%100% Correcta  # Retroalimentación
          ~%-50% Incorrecta  # Retroalimentación
Notas importantes:
    - El carácter ~ separa las respuestas.
    - La respuesta correcta lleva ~=  o  ~%100%
    - # es para retroalimentación.
    - No editar o crear preguntas en el editor de Moodle. 
      Crea código html que puede interferir en la pregunta.</t>
  </si>
  <si>
    <t>Número dentro del texto. 
NUMERICAL 
           {3:NUMERICAL:=3:0}
ACLARACIONES:
     · Tiene un nuevo campo para indicar el márgen de error (tolerancia).</t>
  </si>
  <si>
    <t>INFORMACIÓN Códigos CLOZE</t>
  </si>
  <si>
    <t>Informationscodes CLOZE</t>
  </si>
  <si>
    <t>Codici informativi CLOZE</t>
  </si>
  <si>
    <t>Codes d'information CLOZE</t>
  </si>
  <si>
    <t>Códigos de informação CLOZE</t>
  </si>
  <si>
    <t>MÚLTIPLA ESCOLHA</t>
  </si>
  <si>
    <t>RESPOSTA CURTA</t>
  </si>
  <si>
    <t>NUMÉRICO</t>
  </si>
  <si>
    <t>MULTIPLE CHOICE</t>
  </si>
  <si>
    <t>SHORT ANSWER</t>
  </si>
  <si>
    <t>NUMERICAL</t>
  </si>
  <si>
    <t>CHOIX MULTIPLE</t>
  </si>
  <si>
    <t>RÉPONSE COURTE</t>
  </si>
  <si>
    <t>NUMÉRIQUE</t>
  </si>
  <si>
    <t>SCELTA MULTIPLA</t>
  </si>
  <si>
    <t>RISPOSTA BREVE</t>
  </si>
  <si>
    <t>NUMERICO</t>
  </si>
  <si>
    <t>MEHRFACHAUSWAHL</t>
  </si>
  <si>
    <t>KURZE ANTWORT</t>
  </si>
  <si>
    <t>NUMERISCH</t>
  </si>
  <si>
    <t>Dropdown-Menü im Text. 
Eine richtige Antwort: MULTICHOICE
     =&gt; MC            =&gt; MCS    
     =&gt; MCV          =&gt; MCVS
     =&gt; MCH         =&gt; MCHS
Mehrere richtige Antworten: MULTIRESPONSE
     =&gt; MR             =&gt; MRS
     =&gt; MRH          =&gt; MRHS
ERKLÄRUNGEN:
      · Das S dient zum Mischen der Antworten.
      · V steht für vertikale Tasten.
      · H steht für horizontale Tasten.</t>
  </si>
  <si>
    <t>Einzelwort innerhalb des Textes. 
SHORTANSWER 
     =&gt; SA            =&gt; SAC
     =&gt; MW         =&gt; MWC
ERKLÄRUNGEN:
      · C steht für Capital Match.</t>
  </si>
  <si>
    <t>Nummer im Text. 
NUMERICAL 
           {3:NUMERICAL:=3:0}
ERKLÄRUNGEN:
      · Es gibt ein neues Feld, das die Fehlerquote (Toleranz) angibt.</t>
  </si>
  <si>
    <t>Menu a discesa all'interno del testo. 
Una risposta corretta: MULTICHOICE
     =&gt; MC            =&gt; MCS    
     =&gt; MCV          =&gt; MCVS
     =&gt; MCH         =&gt; MCHS
Risposte corrette multiple: MULTIRESPONSE
     =&gt; MR             =&gt; MRS
     =&gt; MRH          =&gt; MRHS
CHIARIMENTI:
      · La S indica che le risposte devono essere mescolate.
      · V sta per pulsanti verticali.
      · H sta per pulsanti orizzontali.</t>
  </si>
  <si>
    <t>Singola parola all'interno del testo..
SHORTANSWER 
     =&gt; SA            =&gt; SAC
     =&gt; MW         =&gt; MWC
CHIARIMENTI:
      · C è per la corrispondenza delle maiuscole.</t>
  </si>
  <si>
    <t>Numero all'interno del testo. 
NUMERICAL 
           {3:NUMERICAL:=3:0}
CHIARIMENTI:
      · Dispone di un nuovo campo per indicare il margine di errore (tolleranza).</t>
  </si>
  <si>
    <t>Numéro dans le texte. 
NUMERICAL 
           {3:NUMERICAL:=3:0}
CLARIFICATIONS:
      · Il a un nouveau champ pour indiquer la marge d'erreur (tolérance).</t>
  </si>
  <si>
    <t>Drop-down menu within the text.
One correct answer: MULTICHOICE
     =&gt; MC            =&gt; MCS    
     =&gt; MCV          =&gt; MCVS
     =&gt; MCH         =&gt; MCHS
Multiple correct answers: MULTIRESPONSE
     =&gt; MR             =&gt; MRS
     =&gt; MRH          =&gt; MRHS
CLARIFICATIONS:
      · The S is for the answers to be shuffled.
      · V is for Vertical Buttons.
      · H is for Horizontal Buttons.</t>
  </si>
  <si>
    <t>Single word within the text.
SHORTANSWER 
     =&gt; SA            =&gt; SAC
     =&gt; MW         =&gt; MWC
CLARIFICATIONS:
      · C is for uppercase matching.</t>
  </si>
  <si>
    <t>Number within the text.
NUMERICAL 
           {3:NUMERICAL:=3:0}
CLARIFICATIONS:
      · It has a new field to indicate the margin of error (tolerance).</t>
  </si>
  <si>
    <t>Menu suspenso dentro do texto.
Uma resposta correta: MULTICHOICE
     =&gt; MC            =&gt; MCS    
     =&gt; MCV          =&gt; MCVS
     =&gt; MCH         =&gt; MCHS
Várias respostas corretas: MULTIRESPONSE
     =&gt; MR             =&gt; MRS
     =&gt; MRH          =&gt; MRHS
ESCLARECIMENTOS:
      · O S é para as respostas serem embaralhadas.
      · V é para botões verticais.
      · H é para botões horizontais.</t>
  </si>
  <si>
    <t>Uma única palavra no texto.
SHORTANSWER 
     =&gt; SA            =&gt; SAC
     =&gt; MW         =&gt; MWC
ESCLARECIMENTOS:
      · C é para correspondência de maiúsculas.</t>
  </si>
  <si>
    <t>Número dentro do texto.
NUMERICAL 
           {3:NUMERICAL:=3:0}
ESCLARECIMENTOS:
      · Possui novo campo para indicar a margem de erro (tolerância).</t>
  </si>
  <si>
    <t xml:space="preserve">&lt;div style="display: inline-block;"&gt;
      &lt;input id="EliminatorChoice" style="display: none;" type="radio" /&gt; 
     &lt;label for="EliminatorChoice"&gt; &lt;span style="opacity: 1;" onclick="if(this.style.opacity==0.3){this.style.opacity=1;}else{this.style.opacity=0.3;}"&gt; </t>
  </si>
  <si>
    <t xml:space="preserve">    &lt;/span&gt; 
   &lt;/label&gt;
&lt;/div&gt;</t>
  </si>
  <si>
    <t>&lt;div style="display:inline-block;"&gt;
  &lt;input type="radio" id="EliminatorChoice" style="display:none;"&gt;
  &lt;label for="EliminatorChoice"&gt;
    &lt;span onclick="if(this.style.textDecoration=='line-through wavy red'){this.style.textDecoration='none';}else{this.style.textDecoration='line-through wavy red';}" style="text-decoration: none;"&gt;</t>
  </si>
  <si>
    <t>33_2</t>
  </si>
  <si>
    <t xml:space="preserve"> .form-control.mb-1").attr('size',</t>
  </si>
  <si>
    <t>&lt;ol class="clozeequalwidth</t>
  </si>
  <si>
    <t>"&gt;</t>
  </si>
  <si>
    <t>&lt;script src="https://ajax.googleapis.com/ajax/libs/jquery/3.4.1/jquery.min.js"&gt;&lt;/script&gt;
&lt;script&gt;
    $(document).ready(function() {
        $("</t>
  </si>
  <si>
    <t>Ancho RC</t>
  </si>
  <si>
    <t>Width SA</t>
  </si>
  <si>
    <t>Breite KA</t>
  </si>
  <si>
    <t>Largeur RC</t>
  </si>
  <si>
    <t>Largura RC</t>
  </si>
  <si>
    <t>Larghezza RB</t>
  </si>
  <si>
    <t>Q7</t>
  </si>
  <si>
    <t>Número de caracteres para que TODAS las Respuestas Cortas tengan el mismo ANCHO.</t>
  </si>
  <si>
    <t>Number of characters so that ALL Short Answers have the same WIDTH.</t>
  </si>
  <si>
    <t>Nombre de caractères pour que TOUTES les réponses courtes aient la même LARGEUR.</t>
  </si>
  <si>
    <t>Número de caracteres para que TODAS as respostas curtas tenham a mesma LARGURA.</t>
  </si>
  <si>
    <t>Numero di caratteri in modo che TUTTE le risposte brevi abbiano la stessa LARGHEZZA.</t>
  </si>
  <si>
    <t>Anzahl der Zeichen, damit ALLE Kurzantworten dieselbe BREITE haben.</t>
  </si>
  <si>
    <t>Você quer que o aluno marque as respostas que não estão corretas?</t>
  </si>
  <si>
    <t>¿Quieres que el alumno pueda marcar las respuestas que no son correctas?</t>
  </si>
  <si>
    <t>Do you want the student to be able to mark the answers that are not correct?</t>
  </si>
  <si>
    <t>Voulez-vous que l'élève puisse marquer les réponses qui ne sont pas correctes?</t>
  </si>
  <si>
    <t>Vuoi che lo studente sia in grado di contrassegnare le risposte che non sono corrette?</t>
  </si>
  <si>
    <t>Möchten Sie, dass der Schüler die Antworten markieren kann, die nicht korrekt sind?</t>
  </si>
  <si>
    <t>BORRAR VARIABLES</t>
  </si>
  <si>
    <t>VARIABLEN LÖSCHEN</t>
  </si>
  <si>
    <t>ELIMINA VARIABILI</t>
  </si>
  <si>
    <t>APAGAR VARIÁVEIS</t>
  </si>
  <si>
    <t>DELETE VARIABLES</t>
  </si>
  <si>
    <t>SUPPRIMER LES VARIABLES</t>
  </si>
  <si>
    <t>¿Estás seguro que quieres BORRAR los datos de las celdas Variables? 
Dato_01, Dato_02, etc.
NO se BORRARÁ ningún dato de las preguntas.</t>
  </si>
  <si>
    <t>OK</t>
  </si>
  <si>
    <t>Centrar Valores Tablas</t>
  </si>
  <si>
    <t>POR DEFECTO</t>
  </si>
  <si>
    <t>Immagine</t>
  </si>
  <si>
    <t>Imagen</t>
  </si>
  <si>
    <t>Image</t>
  </si>
  <si>
    <t>Imagem</t>
  </si>
  <si>
    <t>Bild</t>
  </si>
  <si>
    <t>Photo</t>
  </si>
  <si>
    <t>Werte der Mitteltabelle</t>
  </si>
  <si>
    <t>Valori della tabella centrale</t>
  </si>
  <si>
    <t>Valores da tabela central</t>
  </si>
  <si>
    <t>Center Table Values</t>
  </si>
  <si>
    <t>&lt;p style="text-align: center;"&gt;</t>
  </si>
  <si>
    <t>Q9</t>
  </si>
  <si>
    <t>FOTO:
Se você quiser uma imagem antes da declaração, coloque aqui o código para incorporar a imagem.
           &lt;img src = "" https: //…. /&gt;
Uma quebra de linha está incluída.</t>
  </si>
  <si>
    <t>IMMAGINE:
Se vuoi un'immagine prima della dichiarazione, metti qui il codice per incorporare l'immagine.
           &lt;img src = "" https: //…. /&gt;
È inclusa un'interruzione di riga.</t>
  </si>
  <si>
    <t>BILD:
Wenn Sie vor der Anweisung ein Bild wünschen, geben Sie hier den Code zum Einbetten des Bildes ein.
           &lt;img src = "" https: //…. /&gt;
Ein Zeilenumbruch ist enthalten.</t>
  </si>
  <si>
    <t>Escribe la URL de la imagen que quieres insertar.</t>
  </si>
  <si>
    <t>SPECIAL 
CODES</t>
  </si>
  <si>
    <t>CATEGORIES DROP-DOWN LIST</t>
  </si>
  <si>
    <t>DON'T USE CUT SHORTCUT
[Ctrl + X]</t>
  </si>
  <si>
    <t>SAUT DE LIGNE</t>
  </si>
  <si>
    <t>CONCATÉNER</t>
  </si>
  <si>
    <t>TEXTE EN GRAS</t>
  </si>
  <si>
    <t>TEXTE EN ROUGE</t>
  </si>
  <si>
    <t>TEXTE EN BLEU</t>
  </si>
  <si>
    <t>LISTE DÉROULANTE DES CATÉGORIES</t>
  </si>
  <si>
    <t xml:space="preserve">NE PAS UTILISER LE RACCOURCI COUPER
[Ctrl + X] </t>
  </si>
  <si>
    <t>Aller à l'ACCUEIL</t>
  </si>
  <si>
    <t>GENERAL 
DATA</t>
  </si>
  <si>
    <t>QUESTION 
POOL</t>
  </si>
  <si>
    <t>SAVE 
QUESTIONS</t>
  </si>
  <si>
    <t>DELETE 
QUESTIONS</t>
  </si>
  <si>
    <t xml:space="preserve">FORMAT </t>
  </si>
  <si>
    <t>BANQUE
QUESTIONS</t>
  </si>
  <si>
    <t>NETTOYER 
ECRAN</t>
  </si>
  <si>
    <t>FORMATER 
TEXTE</t>
  </si>
  <si>
    <t>Titre CATÉGORIE</t>
  </si>
  <si>
    <t>Final number of question to be exported</t>
  </si>
  <si>
    <t>Shuffle quiz answers (YES=true)</t>
  </si>
  <si>
    <t>Mélanger les réponses du questionnaire (OUI = true)</t>
  </si>
  <si>
    <t>Number the choices? (NO= none)</t>
  </si>
  <si>
    <t>Single Choice Questionnaire (YES=true)</t>
  </si>
  <si>
    <t>Penalización intento, en caso de permitir más de uno.</t>
  </si>
  <si>
    <t>Attempt penalty, in case of allowing more than one.</t>
  </si>
  <si>
    <t>Pénalité de tentative, en cas d'en autoriser plus d'une.</t>
  </si>
  <si>
    <t>(one answer)</t>
  </si>
  <si>
    <t xml:space="preserve">Information CLOZE codes </t>
  </si>
  <si>
    <t>First  No. Question Database</t>
  </si>
  <si>
    <t>Num. elecc.</t>
  </si>
  <si>
    <t>Num. choices</t>
  </si>
  <si>
    <t>Num. Choix</t>
  </si>
  <si>
    <t>Wrong A.</t>
  </si>
  <si>
    <t>R. Incorrectes</t>
  </si>
  <si>
    <t xml:space="preserve">Saved questions range: </t>
  </si>
  <si>
    <t>Right A.</t>
  </si>
  <si>
    <t>R. Bonnes</t>
  </si>
  <si>
    <t>Centrer valeurs de la table</t>
  </si>
  <si>
    <t>Réponse</t>
  </si>
  <si>
    <t>Diferencia entre Mayúsculas y Minúsculas (SI=1)</t>
  </si>
  <si>
    <t>Uppercase</t>
  </si>
  <si>
    <t>Requiert du texte</t>
  </si>
  <si>
    <t>Exiger des annexes</t>
  </si>
  <si>
    <t>Information for the evaluator</t>
  </si>
  <si>
    <t>Informations pour les évaluateur</t>
  </si>
  <si>
    <t>HTML Editor with file selector</t>
  </si>
  <si>
    <t>No text</t>
  </si>
  <si>
    <t>Pas de texte</t>
  </si>
  <si>
    <t>Require the student to introduce text</t>
  </si>
  <si>
    <t>Questions Enregistrées</t>
  </si>
  <si>
    <t xml:space="preserve">DOES NOT WORK WITH
EXCEL VERSIONS
EARLIER THAN 2007
OR WITH THE LAST MAC UPDATE </t>
  </si>
  <si>
    <t xml:space="preserve">NE FONCTIONNE PAS AVEC DES
VERSIONS EXCEL
ANTÉRIEUR A 2007
NI AVEC LA DERNIÈRE MISE À JOUR MAC </t>
  </si>
  <si>
    <t>This Application has been developed, in its first version, by:</t>
  </si>
  <si>
    <t>Cette application a été développée, dans sa première version, par:</t>
  </si>
  <si>
    <t xml:space="preserve">1. Cette application a été développée au sein du projet d'innovation pédagogique approuvé par l'Unité d'innovation pédagogique de l'Université de Cadix.
2. L'utilisateur final est n'importe quel enseignant souhaitant utiliser les QUESTIONNAIRES de la plateforme MOODLE. L'application peut également être utilisé par toute personne souhaitant stocker ses Questions au même endroit et avec un certain ordre ou souhaitant les exporter vers un document TEXTE. 3. L'idée principale est de faciliter la création d'une BANQUE DE QUESTIONS pour les questionnaires, de sorte que l'utilisateur final doit vérifier que les questions sont correctement téléchargées (au moins les premières fois) et qu'il a correctement rempli les données, comme si vous le faisiez dans Moodle.
    Si vous cliquez sur chacun des types répertoriés ci-dessous, vous pourrez voir des didacticiels vidéo expliquant comment ils sont créés dans MOODLE. </t>
  </si>
  <si>
    <t>GENERAL DATA HELP</t>
  </si>
  <si>
    <t>CATEGORY title
Option to create a new CATEGORY. Leave blank otherwise. You can create a drop down list, or manually enter a title.</t>
  </si>
  <si>
    <t xml:space="preserve">Titre de la catégorie
Si vous souhaitez créer une CATÉGORIE pour les questions. Sinon, laissez-le vide et demandez-leur. Vous pouvez créer votre liste déroulante ou écrire un titre de votre choix. </t>
  </si>
  <si>
    <t>PASSWORD
 If you set a password, you will need to provide it to the students so that they can fill the test.</t>
  </si>
  <si>
    <t>PREFIX
Prefix added to all test questions. Questions will be numbered according to their prefix, a way of keeping them ordered. Leave blank if no prefix is needed.</t>
  </si>
  <si>
    <t xml:space="preserve">PRÉFIXE
Préfixe qu'aura toutes les questions du questionnaire. Les questions seront numérotées en fonction de leur préfixe, ceci aidera à ordonner les questions. Si vous ne voulez pas de préfixe, vous pouvez le laisser vide. </t>
  </si>
  <si>
    <t>SHUFFLE ANSWERS
Select "true" to shuffle answers.</t>
  </si>
  <si>
    <t xml:space="preserve">Description de la CATÉGORIE
Si vous voulez écrire un commentaire à propos de la catégorie.Sinon, vous pouvez le laisser vide. </t>
  </si>
  <si>
    <t>Descripción de la SUBCATEGORÍA
Si quieres escribir algo sobre la subcategoría, sólo es un comentario. Si no quieres escribir nada, lo puedes dejar en blanco.</t>
  </si>
  <si>
    <t>SUBCATEGORY description
In case you want to add a note about the subcategory. Leave blank otherwise.</t>
  </si>
  <si>
    <t xml:space="preserve">Description de la SOUS-CATÉGORIE
Si vous voulez écrire un commentaire à propos de la sous-catégorie. Sinon, vous pouvez le laisser vide.  </t>
  </si>
  <si>
    <t>SCORE
Score assigned to each question. By default, MOODLE grants a 1, it can be modified when creating the test.</t>
  </si>
  <si>
    <t xml:space="preserve">Ponctuation
Note attribuée à chaque question. Par défaut MOODLE accorde un un, vous pouvez modifier la valeur lors de la création du questionnaire. </t>
  </si>
  <si>
    <t>FORMS HELP</t>
  </si>
  <si>
    <t>Nº PREGUNTA:
Número de la PREGUNTA que se está consultando. 
Si quieres que el primer número de este banco de preguntas sea mayor (11, 21, 31, …, 101, 201, 301, ...) incrementa el rango en la casilla Nº INICIAL del BANCO de PREGUNTAS.</t>
  </si>
  <si>
    <t>QUESTION No.:
Number of the QUESTION being consulted. 
If you want the first number of this question bank to be higher (11, 21, 31 …, 101, 201, 301, ...) increase the range in the INITIAL NUMBER of QUESTION BANK box.</t>
  </si>
  <si>
    <t>POINTS FOR EACH ANSWER:
The score that each answer on the left will have. You can write it manually or select a value from the drop-down list.
If there is more than one correct answer, the total sum must be 100.</t>
  </si>
  <si>
    <t>POINTS POUR CHAQUE RÉPONSE:
Le score que chaque réponse à gauche aura. Vous pouvez l'écrire manuellement ou sélectionner une valeur dans la liste déroulante.
S'il y a plus d'une réponse correcte, la somme totale doit être de 100.</t>
  </si>
  <si>
    <t>COINCIDENCIA:
Si quieres que tengan que coincidir las MAYÚSCULAS pon 1.</t>
  </si>
  <si>
    <t>IMAGEN:
Si se quiere incluir una imagen antes del enunciado, poner aquí el código para incrustar la imagen.
          &lt;img src="https://….     /&gt; 
Está incluido un salto de línea.</t>
  </si>
  <si>
    <t>PICTURE:
If you want to include an image before the statement, include here the code to embed the image.
           &lt;img src = "" https: //…. /&gt;
A line break is included.</t>
  </si>
  <si>
    <t>THIS APPLICATION IS A HELP TO OPTIMIZE YOUR TIME
WHEN YOU USE THE MOODLE QUESTIONNAIRES
DOES NOT GUARANTEE THAT YOU COMPLETE THE DATA PROPERLY
HELPS CREATE QUESTIONS MORE EFFECTIVELY
REMEMBER TO KEEP A BACKUP COPY
_______________________________________________________
I HOPE YOU FIND IT USEFUL!
_______________________________________________________</t>
  </si>
  <si>
    <t>CETTE APPLICATION VOUS AIDERA A OPTIMISER VOTRE TEMPS
LORSQUE VOUS UTILISEZ LES QUESTIONNAIRES MOODLE
NE GARANTIT PAS QUE VOUS COMPLÉTEZ BIEN LES DONNÉES
AIDE À CRÉER DES QUESTIONS PLUS EFFICACEMENT
N'OUBLIEZ PAS DE CONSERVER UNE COPIE DE SAUVEGARDE
_______________________________________________________
J'ESPÈRE QUE VOUS TROUVEREZ CELA UTILE!
_______________________________________________________</t>
  </si>
  <si>
    <t>TO ENSURE THE PROPER FUNCTIONNING OF THIS APPLICATION
DO NOT USE UNDER ANY CIRCUMSTANCE THE COMMAND
_______________________________________________________
                                  CUT [Ctrl + X]
_______________________________________________________
SINCE THIS MAY DAMAGE SOME FUNCTIONS</t>
  </si>
  <si>
    <t>POUR ASSURER LE BON FONCTIONNEMENT DE CETTE APPLICATION
N' UTILISEZ EN AUCUN CAS  LA COMMANDE
_______________________________________________________
                                  COUPER [Ctrl + X]
_______________________________________________________
PUISQUE CELA POURRAIT ENDOMMAGER CERTAINES FONCTIONS</t>
  </si>
  <si>
    <t>Copia el texto (Ctrl+C), 
pulsa F2 y pega (Ctrl+V) 
para insertarlo en la celda:</t>
  </si>
  <si>
    <t>Copy the text (Ctrl + C), 
press F2 and paste (Ctrl + V) 
to insert it in the cell:</t>
  </si>
  <si>
    <t>Copiez le texte (Ctrl + C), 
appuyez sur F2 et collez (Ctrl + V)
pour l'insérer dans la cellule:</t>
  </si>
  <si>
    <t xml:space="preserve">Para INTRODUCIR ESPACIOS tienes varias opciones: 
1 - Copia el código y escribe tantos "_" como espacios quieras incluir.
2 - Escribe el código 
          &amp;nbsp; 
por cada espacio de más que quieras introducir.
3 - Escribe al principio de la frase: 
         &lt;PRE&gt;
Con esta opción, se mantendrá el formato con TODOS los espacios y saltos de página que escribas. También se quedará con el tipo de letra COURIER y en color negro.
</t>
  </si>
  <si>
    <t xml:space="preserve">To enter spaces you have several options:
1 - Copy the code and write as many "_" as spaces you want to include.
2 - Type the code
           &amp; nbsp;
for every space you want to insert.
3 - Write at the beginning of the sentence
          &lt;PRE&gt;
With this option, the format will be kept with ALL the spaces and page breaks that you type. It will also keep the COURIER font and in black type. 
</t>
  </si>
  <si>
    <t xml:space="preserve">Pour saisir des espaces, vous avez plusieurs options:
1 - Copiez le code et écrivez autant de "_" que d'espaces que vous souhaitez inclure.
2 - Entrez le code
           &amp; nbsp;
pour chaque espace que vous souhaitez insérer.
3 - Ecrire au début de la phrase
          &lt;PRE&gt;
Avec cette option, le format sera conservé avec TOUS les espaces et sauts de page que vous écrirez. Il conservera également la police COURIER et en noir.
</t>
  </si>
  <si>
    <t xml:space="preserve">
must be in the same WORKING DIRECTORY: 
       -</t>
  </si>
  <si>
    <t xml:space="preserve">
doit être dans le même RÉPERTOIRE de TRAVAIL:
       - </t>
  </si>
  <si>
    <t>Le score TOTAL des bonnes réponses doit être égal à 100.
Modifiez les données avant la SAUVEGARDE.</t>
  </si>
  <si>
    <t>The boxes in ORANGE cannot be empty.
Fill in the data PROPERLY before SAVING.</t>
  </si>
  <si>
    <t>Next you must open the file containing the questions you want to import.</t>
  </si>
  <si>
    <t>Vous pouvez INSÉRER les images que vous avez dans GOOGLE DRIVE ou DROPBOX.
Pour ce faire, vous devez le partager en cliquant sur
                  - TOUT LE MONDE AYANT LE LIEN -
et collez le lien dans le message suivant.</t>
  </si>
  <si>
    <t>Write the WIDTH you want the image to have.
If you do not know what size you want, you can leave it blank, and the default width of the image will be used, but you CANNOT SET ZERO (0).</t>
  </si>
  <si>
    <t>Écrivez la LARGEUR que vous voulez que l'image ait.
Si vous ne savez pas quelle taille vous voulez utiliser, vous pouvez le laisser vide, et la largeur par défaut de l'image sera prise, mais elle NE PEUT PAS ÊTRE ZÉRO (0).</t>
  </si>
  <si>
    <t>Write the HEIGHT you want the image to have.
If you do not know what size you want, you can leave it blank, and the default width of the image will be used, but you CANNOT SET ZERO (0).</t>
  </si>
  <si>
    <t>Écrivez la HAUTEUR de l'image que vous voulez utiliser.
Si vous ne savez pas quelle taille vous voulez utiliser, vous pouvez le laisser vide, et la largeur par défaut de l'image sera prise, mais elle NE PEUT PAS ÊTRE ZÉRO (0).</t>
  </si>
  <si>
    <t>Le numéro initial de la question à exporter doit être supérieur au plus petit numéro de la banque de questions.</t>
  </si>
  <si>
    <t xml:space="preserve">You can enter questions ONE by ONE.
DO YOU WANT TO CONTINUE?
</t>
  </si>
  <si>
    <t>Vous pouvez saisir les questions UNE par UNE.
VOULEZ-VOUS CONTINUER?</t>
  </si>
  <si>
    <t xml:space="preserve">Are you sure you want to CLEAN the form data?
NO questions' data will be DELETED. 
</t>
  </si>
  <si>
    <t xml:space="preserve">Voulez-vous vraiment NETTOYER les données du formulaire?
AUCUNE donnée des questions ne sera SUPPRIMÉE.
</t>
  </si>
  <si>
    <t xml:space="preserve">NO DATA IS STORED FOR THE SELECTED QUESTION.
</t>
  </si>
  <si>
    <t xml:space="preserve">AUCUNE DONNÉE N'EST STOCKÉE POUR LA QUESTION SÉLECTIONNÉE.
</t>
  </si>
  <si>
    <t xml:space="preserve">Do you really want to DELETE the question </t>
  </si>
  <si>
    <t>Voulez-vous vraiment SUPPRIMER la question</t>
  </si>
  <si>
    <t xml:space="preserve">The question </t>
  </si>
  <si>
    <t xml:space="preserve">Si quieres usar CELDAS VARIABLES para las preguntas, pulsa ACTIVAR.
Si NO quieres usarlas , pulsa DESACTIVAR.
Puedes usarlas:
     - Como variables de palabras,
     - Como celdas de EXCEL con FÓRMULAS,
     - Cualquier otra cosa que sepas hacer con EXCEL.
          Pero RECUERDA NO USAR [Ctrl+X]
</t>
  </si>
  <si>
    <t xml:space="preserve">If you want to use VARIABLE CELLS for the questions, press ACTIVATE.
If you DO NOT want to use them, click DISABLE.
You can use them:
      - As word variables,
      - As EXCEL cells with FORMULAS,
      - Anything you know how to do with EXCEL.
           But REMEMBER NOT TO USE [Ctrl + X]
</t>
  </si>
  <si>
    <t xml:space="preserve">Si vous souhaitez utiliser des CELLULES VARIABLES pour les questions, cliquez sur ACTIVER.
Si vous NE souhaitez PAS les utiliser, cliquez sur DÉSACTIVER.
Vous pouvez les utiliser:
      - En tant que variables de mot,
      - Comme cellules EXCEL avec FORMULES,
      - Tout ce que vous savez faire avec EXCEL.
           Et rappelez vous de ne pas utiliser [Ctrl + X]
</t>
  </si>
  <si>
    <t>You have selected export ALL questionnaires.</t>
  </si>
  <si>
    <t>LE FICHIER À CRÉER EST EN TEXTE BRUT.
IL PEUT ÊTRE OUVERT AVEC WORD, NOTEBOOK, LATEX, ETC.</t>
  </si>
  <si>
    <t>Se va a crear un archivo de texto.
Indica la extensión con la que quieres guardarlo (txt/doc):</t>
  </si>
  <si>
    <t>A text file will be created.
Indicate the extension you want to save it with(txt/doc):</t>
  </si>
  <si>
    <t>Type the file's NAME:</t>
  </si>
  <si>
    <t xml:space="preserve">Do you want to WORK with ALL the Questionnaires?
  - If you select YES: you will work with ALL the questionnaires.
  - If you select NO: you will only work with the selected questions of the Questionnaire:
</t>
  </si>
  <si>
    <t xml:space="preserve">Voulez-vous TRAVAILLER avec TOUS les questionnaires?
  - Si vous sélectionnez OUI: vous travaillerez avec TOUS les questionnaires.
  - Si vous sélectionnez NON: vous travallerez seulement avec les questions sélectionnées du Questionnaire:
</t>
  </si>
  <si>
    <t xml:space="preserve">You have selected to IMPORT questions from another file.
Do you want to keep the questions you currently have and put the ones that you are going to IMPORT NEXT?
</t>
  </si>
  <si>
    <t xml:space="preserve">Vous avez sélectionné d'IMPORT les questions  d'un autre fichier.
Voulez-vous conserver les questions que vous avez déjà  et mettre celles que vous allez IMPORTER ENSUITE?
</t>
  </si>
  <si>
    <t xml:space="preserve">Write what separator you want to use for the pairs of the standard questionnaire:
</t>
  </si>
  <si>
    <t xml:space="preserve">Écrivez le séparateur que vous voulez utiliser pour les couples du questionnaire standard:
</t>
  </si>
  <si>
    <t>THIS FUNCTION IS NOT AVAILABLE FOR MAC, I HOPE TO FIND A SOLUTION SOON.</t>
  </si>
  <si>
    <t>IL N'Y A AUCUNE INFORMATION UTILE POUR CETTE CASE.
CHOISISSEZ UNE CASE SIMILAIRE.</t>
  </si>
  <si>
    <t xml:space="preserve">REMEMBER:
If you are going to work in a version of MOODLE prior to Version 3.8, you must open the XML file with the NOTES BLOCK and save it as UTF-8, otherwise the questions will not be imported.
If you do not know which version you are working on, but the questions are not imported, save them in UTF-8, as it will work in all MOODLE versions.
</t>
  </si>
  <si>
    <t xml:space="preserve">RAPPEL:
Si vous comptez travailler dans une version de MOODLE antérieure à la version 3.8, vous devez ouvrir le fichier XML avec le BLOC NOTES et l'enregistrer au format UTF-8, sinon les questions ne seront pas importées.
Si vous ne savez pas sur quelle version vous travaillez, mais que les questions ne sont pas importées, enregistrez-les au format UTF-8, car avec ce format, cela fonctionne pour toutes les versions de MOODLE.
</t>
  </si>
  <si>
    <t xml:space="preserve">AHORA DEBES ABRIR EL ARCHIVO  - MOODLE.xml -  con el BLOC DE NOTAS y pulsar [Ctrl + V].
LUEGO, DEBES GUARDAR EL ARCHIVO CON EL NOMBRE QUE QUIERAS, PERO EXTENSIÓN - .xml - </t>
  </si>
  <si>
    <t>NOW YOU MUST OPEN THE FILE - MOODLE.xml - with the NOTEBOOK and press [Ctrl + V].
THEN, YOU MUST SAVE THE FILE WITH THE NAME YOU WANT, BUT EXTENSION - .xml -</t>
  </si>
  <si>
    <t xml:space="preserve">If you are working with MAC, this option may not work.
In that case, you can check the video included in the message, to see how you can do it manually.
</t>
  </si>
  <si>
    <t xml:space="preserve">¿Deseas introducir la fórmula en medio del texto? 
(Si lo que quieres es introducir la fórmula en una línea nueva centrada y resaltada responde NO). 
</t>
  </si>
  <si>
    <t xml:space="preserve">Do you want to include the formula in the middle of the text?
(If what you want is to enter the formula in a new line centered and highlighted, answer NO).
</t>
  </si>
  <si>
    <t xml:space="preserve">Voulez-vous insérer la formule au milieu du texte?
(Si vous voulez entrer la formule dans une nouvelle ligne centrée et mise en surbrillance, répondez NON).
</t>
  </si>
  <si>
    <t>GENERAL INFORMATION
Codification:  { P : T : D }
     - P ==&gt; SECTION POINTS
     - T ==&gt; KIND
     - D ==&gt; RESPONSE DATA
          ~%100% Correct  # Feedback
          ~%-50% Incorrect  # Feedback
Important notes:
    - The ~ character separates responses.
    - The correct answer has ~ = or ~% 100%.
    - # is for feedback.
    - Do not edit or create questions in the Moodle editor.
     It will create html code that may interfere with the question.</t>
  </si>
  <si>
    <t>INFORMATION GÉNÉRALE
Codification:  { P : T : D }
     - P ==&gt; SECTION POINTS
     - T ==&gt; TYPE
     - D ==&gt; DONNÉES DE RÉPONSE
          ~%100% Juste  # Retour
          ~%-50% Incorrect  # Retour
Notes importantes:
    - Le caractère ~ sépare les réponses.
    - La bonne réponse a ~ = ou ~% 100%.
    - # est pour les commentaires.
    - Ne pas modifier ou créer des questions dans l'éditeur Moodle.
      Créez du code html qui peut interférer avec la question.</t>
  </si>
  <si>
    <t>Menu déroulant dans le texte. 
Une bonne réponse: MULTICHOICE
     =&gt; MC            =&gt; MCS    
     =&gt; MCV          =&gt; MCVS
     =&gt; MCH         =&gt; MCHS
Réponses correctes multiples: MULTIRESPONSE
     =&gt; MR             =&gt; MRS
     =&gt; MRH          =&gt; MRHS
CLARIFICATIONS:
      · Le S est pour que les réponses soient mélangées.
      · V est pour les boutons verticaux.
      · H correspond aux boutons horizontaux.</t>
  </si>
  <si>
    <t>Un seul mot dans le texte.
SHORTANSWER 
     =&gt; SA            =&gt; SAC
     =&gt; MW         =&gt; MWC
CLARIFICATIONS:
      · C est pour la correspondance des majuscules.</t>
  </si>
  <si>
    <t>Oui, barrer en rouge.</t>
  </si>
  <si>
    <t>ASK LANGUAGE AGAIN NEXT TIME YOU OPEN THE APP?
P.S. 1: The original language of the application is SPANISH.
P.S. 2: You can change the language at any time, when using FastTest PluIn.</t>
  </si>
  <si>
    <t>DEMANDER À NOUVEAU LA LANGUE LA PROCHAINE FOIS QUE VOUS OUVREZ L'APPLICATION?
P.S. 1: La langue d'origine de l'application est l'ESPAGNOL.
P.S. 2: Vous pouvez changer la langue à tout moment, tant que vous utilisez le FastTest PluIn.</t>
  </si>
  <si>
    <t>FORMULAIRE APPARIEMENT</t>
  </si>
  <si>
    <t>FORMULAIRE DE RÉPONSE COURTE</t>
  </si>
  <si>
    <t>ESSAY QUESTION</t>
  </si>
  <si>
    <t>QUESTION DE COMPOSITION</t>
  </si>
  <si>
    <t>UPPER MENU</t>
  </si>
  <si>
    <t>¿Numerar las elecciones? (NINGUNA = none)</t>
  </si>
  <si>
    <t>Numéroter les choix? (AUCUN=none)</t>
  </si>
  <si>
    <t xml:space="preserve">RESPUESTAS (HTML):
Escribe la respuesta que deseas que aparezca en esta opción, debes asegurarte de darle la puntuación adecuada en la casilla de la derecha. </t>
  </si>
  <si>
    <t>RÉPONSES (HTML):
Écrivez la réponse que vous souhaitez voir apparaître dans cette option, vous devez vous assurer de lui donner le score approprié dans la case de droite.</t>
  </si>
  <si>
    <t>RESPOSTAS (HTML):
Escreva a resposta que deseja nesta opção, certifique-se de dar a ela a pontuação apropriada no campo à direita.</t>
  </si>
  <si>
    <t>RISPOSTE (HTML):
Scrivi la risposta che desideri in questa opzione, assicurati di assegnarle il punteggio appropriato nella casella a destra.</t>
  </si>
  <si>
    <t>ANTWORTEN (HTML):
Schreiben Sie die gewünschte Antwort in diese Option. Sie müssen sicherstellen, dass Sie die entsprechende Punktzahl in das Feld rechts eingeben.</t>
  </si>
  <si>
    <t>RETROALIMENTACIÓN (HTML):
Escribe el comentario que quieres que aparezca para cada respuesta.</t>
  </si>
  <si>
    <t>PISTAS (HTML):
Comentario que aparece si configuras MOODLE para que pueda dar pistas cuando se permita hacer más de un intento.</t>
  </si>
  <si>
    <t>RETROALIMENTACIÓN (HTML):
Mensaje que aparece si se selecciona esta respuesta.</t>
  </si>
  <si>
    <t>ENUNCIADO DE LA PREGUNTA (HTML):
Escribe el enunciado de la pregunta. 
Entre [[ ]] debes escribir el número de la palabra correspondiente a ese hueco.</t>
  </si>
  <si>
    <t>PALABRA (Texto plano):
Palabra perdida que se listará en el grupo asignado.</t>
  </si>
  <si>
    <t>WORT (Plain Text):
Fehlendes Wort, um in der zugewiesenen Gruppe aufgeführt zu werden.</t>
  </si>
  <si>
    <t>RETROALIMENTACIÓN (HTML):
Escribe la respuesta genérica que quieres que se muestre al terminar el cuestionario.</t>
  </si>
  <si>
    <t>FEEDBACK (HTML):
Enter the generic feedback message you want to show at the end of the test.</t>
  </si>
  <si>
    <t xml:space="preserve">RETOUR D'INFORMATION (HTML):
Écrivez la réponse générique que vous souhaitez voir apparaître à la fin du questionnaire. </t>
  </si>
  <si>
    <t xml:space="preserve">COMENTÁRIOS (HTML):
Escreva a resposta genérica que deseja que seja mostrada no final do questionário. </t>
  </si>
  <si>
    <t xml:space="preserve">RISPOSTA (HTML):
Scrivi la risposta generica che desideri venga mostrata alla fine del questionario. </t>
  </si>
  <si>
    <t>FEEDBACK (HTML):
Schreiben Sie die generische Antwort, die am Ende des Fragebogens angezeigt werden soll.</t>
  </si>
  <si>
    <t>RESPUESTA CORRECTA (HTML):
Escribe lo que quieres que se muestre al responder correctamente. Si no quieres poner nada, déjalo en blanco.</t>
  </si>
  <si>
    <t>CORRECT ANSWER (HTML):
Enter the correct answer feedback message. Leave blank if not needed.</t>
  </si>
  <si>
    <t xml:space="preserve">BONNE RÉPONSE (HTML):
Écrivez ce que vous voulez afficher quand la réponse est correcte. Si vous ne voulez rien mettre, laissez ce champ vide. </t>
  </si>
  <si>
    <t xml:space="preserve">RESPOSTA CORRETA (HTML):
Escreva o que deseja que seja mostrado ao responder corretamente. Se não quiser colocar nada, deixe em branco. </t>
  </si>
  <si>
    <t xml:space="preserve">RISPOSTA CORRETTA (HTML):
Scrivi quello che vuoi che venga mostrato quando rispondi correttamente. Se non vuoi inserire nulla, lascialo vuoto. </t>
  </si>
  <si>
    <t>RICHTIGE ANTWORT (HTML):
Schreiben Sie, was angezeigt werden soll, wenn Sie richtig antworten. Wenn Sie nichts einfügen möchten, lassen Sie es leer.</t>
  </si>
  <si>
    <t>RESPUESTA NO DEL TODO CORRECTA (HTML):
Escribe lo que quieres que se muestre al responder de forma parcialmente correcta. Si no quieres poner nada, déjalo en blanco.</t>
  </si>
  <si>
    <t>PARTIALLY CORRECT ANSWER (HTML):
Enter the partially correct answer feedback message. Leave blank if not needed.</t>
  </si>
  <si>
    <t xml:space="preserve">RÉPONSE PARTIELLEMENT CORRECTE (HTML):
Écrivez ce que vous voulez afficher lorsque la réponse est partiellement correctement. Si vous ne voulez rien mettre, laissez ce champ vide. </t>
  </si>
  <si>
    <t xml:space="preserve">RESPOSTA NÃO COMPLETAMENTE CORRETA (HTML):
Escreva o que deseja que seja mostrado ao responder parcialmente correto. Se não quiser colocar nada, deixe em branco. </t>
  </si>
  <si>
    <t xml:space="preserve">RISPOSTA NON COMPLETAMENTE CORRETTA (HTML):
Scrivi quello che vuoi che venga mostrato quando rispondi in modo parzialmente corretto. Se non vuoi inserire nulla, lascialo vuoto. </t>
  </si>
  <si>
    <t>ANTWORT NICHT VOLLSTÄNDIG RICHTIG (HTML):
Schreiben Sie, was angezeigt werden soll, wenn Sie teilweise richtig antworten. Wenn Sie nichts einfügen möchten, lassen Sie es leer.</t>
  </si>
  <si>
    <t>RESPUESTA INCORRECTA (HTML):
Escribe lo que quieres que se muestre al responder de manera incorrecta. Si no quieres poner nada, déjalo en blanco.</t>
  </si>
  <si>
    <t>WRONG ANSWER (HTML):
Enter the wrong answer feedback message. Leave if not needed.</t>
  </si>
  <si>
    <t xml:space="preserve">MAUVAISE RÉPONSE (HTML):
Écrivez ce que vous voulez afficher quand la réponse est correcte. Si vous ne voulez rien mettre, laissez ce champ vide. </t>
  </si>
  <si>
    <t xml:space="preserve">RESPOSTA INCORRETA (HTML):
Escreva o que deseja que seja mostrado respondendo incorretamente. Se não quiser colocar nada, deixe em branco. </t>
  </si>
  <si>
    <t xml:space="preserve">RISPOSTA SBAGLIATA (HTML):
Scrivi ciò che desideri venga mostrato rispondendo in modo errato. Se non vuoi inserire nulla, lascialo vuoto. </t>
  </si>
  <si>
    <t>FALSCHE ANTWORT (HTML):
Schreiben Sie, was angezeigt werden soll, indem Sie falsch antworten. Wenn Sie nichts einfügen möchten, lassen Sie es leer.</t>
  </si>
  <si>
    <t>RESPUESTA (Texto Plano):
Posible respuesta corta.
Se usará '*' como comodín para cualquier carácter.
La primera respuesta que coincida se usará para determinar la puntuación y la retroalimentación.</t>
  </si>
  <si>
    <t xml:space="preserve">1. This application has been developed thanks to a Teaching Innovation Project approved by the Teaching Innovation Unit of the University of Cádiz.
2. The end user is a teacher who wants to use the QUESTIONNAIRES of the MOODLE platform. It can be used also by anyone who wants to have their Questions orderly stored in the same place or wants to export them to a TEXT document.
3. The main goal is to facilitate the creation of a QUESTION BANK for the questionnaires, so the end user must check that the questions are uploaded correctly (at least the first few times) and that the person has filled in the data appropriately, as if you were to do it in Moodle.
    If you click on each of the question types listed below, you will be able to see video tutorials on how they are created in MOODLE. </t>
  </si>
  <si>
    <t>DATEN ALLGEMEINES</t>
  </si>
  <si>
    <t>DAR FORMATO</t>
  </si>
  <si>
    <t>FORMATER TEXTE</t>
  </si>
  <si>
    <t>DARE FORMATO</t>
  </si>
  <si>
    <t>GEBEN FORMAT</t>
  </si>
  <si>
    <t>TIPO NUMERACIÓN
Selecciona el tipo de numeración de las respuestas, si no quieres numeración, selecciona NONE.</t>
  </si>
  <si>
    <t>TYPE NUMBERING
Select the type of numbering of the answers, if you do not want numbering, select NONE.</t>
  </si>
  <si>
    <t>Marcar_RI</t>
  </si>
  <si>
    <t>MARCAR RESPUESTAS NO CORRECTAS
Con esta opción, es posible marcar las respuestas que se piense que no son correctas, para ir descartándolas.</t>
  </si>
  <si>
    <t>MARQUE AS RESPOSTAS NÃO CORRETAS
Com esta opção, é possível marcar as respostas que você acha que não são corretas, para descartá-las.</t>
  </si>
  <si>
    <t>NICHT KORREKTE ANTWORTEN MARKIEREN
Mit dieser Option ist es möglich, die Antworten, die Sie für falsch halten, zu markieren, um sie zu verwerfen</t>
  </si>
  <si>
    <t>CONTRASSEGNA RISPOSTE NON CORRETTE
Con questa opzione, è possibile contrassegnare le risposte che ritieni non corrette, per scartarle.</t>
  </si>
  <si>
    <t>ENUNCIADO DE LA PREGUNTA (HTML):
Escribe el enunciado de la pregunta. 
Si quieres poner CÓDIGOS ESPECIALES, pincha F2 o haz "clic" dos veces con el ratón o usa el Editor Moodle.</t>
  </si>
  <si>
    <t>FR_EN</t>
  </si>
  <si>
    <t>RT_EN</t>
  </si>
  <si>
    <t>PA_EN</t>
  </si>
  <si>
    <t>TC_EN</t>
  </si>
  <si>
    <t>AA_EN</t>
  </si>
  <si>
    <t>PR_EN</t>
  </si>
  <si>
    <t>IE_EN</t>
  </si>
  <si>
    <t>RA_1_VF</t>
  </si>
  <si>
    <t>RA_2_VF</t>
  </si>
  <si>
    <t>RETROALIMENTACIÓN RESPUESTA INCORRECTA (HTML):
Mensaje que aparece si se selecciona la respuesta incorrecta.</t>
  </si>
  <si>
    <t>RETROALIMENTACIÓN RESPUESTA CORRECTA (HTML):
Mensaje que aparece si se selecciona la respuesta correcta.</t>
  </si>
  <si>
    <t>FEEDBACK CORRECT ANSWER (HTML):
Message that appears if the correct answer is selected.</t>
  </si>
  <si>
    <t>FEEDBACK INCORRECT ANSWER (HTML):
Message that appears if the wrong answer is selected.</t>
  </si>
  <si>
    <t>RESPOSTA CORRETA DE FEEDBACK (HTML):
Mensagem que aparece se a resposta correta for selecionada.</t>
  </si>
  <si>
    <t>RESPOSTA INCORRETA DE FEEDBACK (HTML):
Mensagem que aparece se a resposta errada for selecionada.</t>
  </si>
  <si>
    <t>FEEDBACK RISPOSTA CORRETTA (HTML):
Messaggio che appare se viene selezionata la risposta corretta.</t>
  </si>
  <si>
    <t>FEEDBACK RISPOSTA ERRATA (HTML):
Messaggio che appare se viene selezionata la risposta sbagliata.</t>
  </si>
  <si>
    <t>FEEDBACK KORREKTE ANTWORT (HTML):
Meldung, die angezeigt wird, wenn die richtige Antwort ausgewählt ist.</t>
  </si>
  <si>
    <t>FEEDBACK FALSCHE ANTWORT (HTML):
Meldung, die angezeigt wird, wenn die falsche Antwort ausgewählt wurde.</t>
  </si>
  <si>
    <t>RC_VF</t>
  </si>
  <si>
    <t xml:space="preserve">INFORMACIÓN:
Según se vayan INTRODUCIENDO LOS DATOS de las preguntas, respuestas y puntuación, se irá actualIzando la ventana.
Se indicará AUTOMÁTICAMENTE: 
    - Cuál es la Respuesta Correcta.
    - Cuántas Respuestas Correctas / Incorrectas hay.
    - Cuántos Puntos hay en total por las Respuestas Correctas / Incorrectas. </t>
  </si>
  <si>
    <t>INFORMATION:
As the DATA of the questions, answers and punctuation are INTRODUCED, the window will be updated.
It will be AUTOMATICALLY indicated:
    - Which is the right answer.
    - How many Correct / Incorrect Answers there are.
    - How many Points are there in total for the Correct / Incorrect Answers.</t>
  </si>
  <si>
    <t>INFORMATIONS:
Au fur et à mesure que les DONNÉES des questions, des réponses et de la ponctuation sont INTRODUITES, la fenêtre sera mise à jour.
Il sera AUTOMATIQUEMENT indiqué:
    - Quelle est la bonne réponse.
    - Combien y a-t-il de réponses correctes/incorrectes.
    - Combien de points y a-t-il au total pour les réponses correctes / incorrectes.</t>
  </si>
  <si>
    <t>EM FORMAÇÃO:
À medida que os DADOS das perguntas, respostas e pontuação forem INTRODUZIDOS, a janela será atualizada.
Será indicado AUTOMATICAMENTE:
    - Qual é a resposta certa.
    - Quantas respostas corretas / incorretas existem.
    - Quantos pontos há no total para as respostas corretas / incorretas.</t>
  </si>
  <si>
    <t>INFORMAZIONE:
Man mano che i DATI delle domande, delle risposte e della punteggiatura vengono INTRODOTTI, la finestra verrà aggiornata.
Verrà AUTOMATICAMENTE indicato:
    - Qual è la risposta giusta.
    - Quante sono le risposte corrette/errate.
    - Quanti punti ci sono in totale per le risposte corrette/errate.</t>
  </si>
  <si>
    <t>INFORMATION:
Da die DATEN der Fragen, Antworten und Satzzeichen EINGEFÜHRT sind, wird das Fenster aktualisiert.
Es wird AUTOMATISCH angezeigt:
    - Welches ist die richtige Antwort.
    - Wie viele richtige/falsche Antworten es gibt.
    - Wie viele Punkte gibt es insgesamt für die richtigen / falschen Antworten.</t>
  </si>
  <si>
    <t>Respuesta 1</t>
  </si>
  <si>
    <t>Respuesta 2</t>
  </si>
  <si>
    <t>Respuesta 3</t>
  </si>
  <si>
    <t>Respuesta 4</t>
  </si>
  <si>
    <t>Respuesta 5</t>
  </si>
  <si>
    <t>Respuesta 6</t>
  </si>
  <si>
    <t>Puntos 1</t>
  </si>
  <si>
    <t>Puntos 2</t>
  </si>
  <si>
    <t>Puntos 3</t>
  </si>
  <si>
    <t>Puntos 4</t>
  </si>
  <si>
    <t>Puntos 5</t>
  </si>
  <si>
    <t>Puntos 6</t>
  </si>
  <si>
    <t>35_1</t>
  </si>
  <si>
    <t>ARCHIVOS JUEGO</t>
  </si>
  <si>
    <t>GAME FILES</t>
  </si>
  <si>
    <t>FICHIERS JEU</t>
  </si>
  <si>
    <t>ARQUIVOS JOGO</t>
  </si>
  <si>
    <t>GIOCO FILES</t>
  </si>
  <si>
    <t xml:space="preserve">ABSPIELEN DATEIEN </t>
  </si>
  <si>
    <t>ALLGEMEINE INFORMATIONEN
Kodierung: {P: T: D}
      - P ==&gt; PUNKTE-ABSCHNITT
      - T ==&gt; TYP
      - D ==&gt; ANTWORTDATEN
           ~% 100% richtig # Feedback
           ~% -50% Falsches # Feedback
Wichtige Notizen:
     - Das ~-Zeichen trennt die Antworten.
     - Die richtige Antwort führt zu ~ = oder ~% 100%
     - # ist für Feedback.
     - Bearbeiten oder erstellen Sie keine Fragen im Moodle-Editor.
       Erstellen Sie HTML-Code, der die Frage stören kann.</t>
  </si>
  <si>
    <t>INFORMAZIONE GENERALE
Codifica: {P: T: D}
      - P ==&gt; SEZIONE PUNTI
      - T ==&gt; TIPO
      - D ==&gt; DATI DI RISPOSTA
           ~% 100% corretto # feedback
           ~% -50% Errato # Feedback
Note importanti:
     - Il carattere ~ separa le risposte.
     - La risposta corretta porta a ~ = o ~% 100%
     - # è per il feedback.
     - Non modificare o creare domande nell'editor Moodle.
       Crea codice html che possa interferire con la domanda.</t>
  </si>
  <si>
    <t>INFORMAÇÕES GERAIS
Codificação: {P: T: D}
      - P ==&gt; SEÇÃO DE PONTOS
      - T ==&gt; TIPO
      - D ==&gt; DADOS DE RESPOSTA
           ~% 100% correto # feedback
           ~% -50% Incorreto # Feedback
Anotações importantes:
     - O caractere ~ separa as respostas.
     - A resposta correta leva a ~ = ou ~% 100%
     - # é para feedback.
     - Não edite ou crie perguntas no editor Moodle.
       Crie um código html que possa interferir na pergunta.</t>
  </si>
  <si>
    <t>¿Deseas Exportar las Preguntas y Respuestas Ordenadas?</t>
  </si>
  <si>
    <t>Möchten Sie die bestellten Fragen und Antworten exportieren?</t>
  </si>
  <si>
    <t>Vuoi Esportare le Domande e Risposte ordinate?</t>
  </si>
  <si>
    <t>Deseja exportar as perguntas e respostas solicitadas?</t>
  </si>
  <si>
    <t xml:space="preserve"> &lt;==&gt; </t>
  </si>
  <si>
    <t>Moodle
 Editor.
(HTML)</t>
  </si>
  <si>
    <t xml:space="preserve"> IDIOMA
 LANGUAGE
 LANGUE
 IDIOMA
 LINGUA
 SPRACHE</t>
  </si>
  <si>
    <t>Copia el link (Ctrl+C) y 
pega (Ctrl+V) en Internet.</t>
  </si>
  <si>
    <t>Copy the link (Ctrl + C), 
and paste (Ctrl + V) in Internet.</t>
  </si>
  <si>
    <t>Copiez le link (Ctrl + C) 
et collez (Ctrl + V) Internet.</t>
  </si>
  <si>
    <t>Copie o link (Ctrl + C) 
e cole (Ctrl + V) Internet.</t>
  </si>
  <si>
    <t>Copia il testo (Ctrl + C) 
e incolla (Ctrl + V) Internet.</t>
  </si>
  <si>
    <t>Kopieren Sie den Text (Strg + C)
und fügen Sie ein (Strg + V) Internet.</t>
  </si>
  <si>
    <t>T 01</t>
  </si>
  <si>
    <t>T 02</t>
  </si>
  <si>
    <t>T 03</t>
  </si>
  <si>
    <t>T 04</t>
  </si>
  <si>
    <t>T 05</t>
  </si>
  <si>
    <t>T 06</t>
  </si>
  <si>
    <t>T 07</t>
  </si>
  <si>
    <t>T 08</t>
  </si>
  <si>
    <t>T 09</t>
  </si>
  <si>
    <t>T 10</t>
  </si>
  <si>
    <t>T 20</t>
  </si>
  <si>
    <t>T 19</t>
  </si>
  <si>
    <t>T 11</t>
  </si>
  <si>
    <t>T 12</t>
  </si>
  <si>
    <t>T 13</t>
  </si>
  <si>
    <t>T 14</t>
  </si>
  <si>
    <t>T 15</t>
  </si>
  <si>
    <t>T 16</t>
  </si>
  <si>
    <t>T 17</t>
  </si>
  <si>
    <t>T 18</t>
  </si>
  <si>
    <t>PISTA: 1</t>
  </si>
  <si>
    <t>PISTA: 2</t>
  </si>
  <si>
    <t>PISTA: 3</t>
  </si>
  <si>
    <t>PISTA: 4</t>
  </si>
  <si>
    <t>Respuesta / Answer 1</t>
  </si>
  <si>
    <t>Respuesta / Answer 2</t>
  </si>
  <si>
    <t>Respuesta / Answer 3</t>
  </si>
  <si>
    <t>CANAL YOUTUBE</t>
  </si>
  <si>
    <t>YOUTUBE CHANNEL</t>
  </si>
  <si>
    <t>CHAÎNE YOUTUBE</t>
  </si>
  <si>
    <t>CANAL DO YOUTUBE</t>
  </si>
  <si>
    <t>CANALE YOUTUBE</t>
  </si>
  <si>
    <t>YOUTUBE KANAL</t>
  </si>
  <si>
    <t>ÍNDICE</t>
  </si>
  <si>
    <t>PERSONALIZAR DICCIONARIO</t>
  </si>
  <si>
    <t>CUSTOM DICTIONARY</t>
  </si>
  <si>
    <t>DICTIONAIRE PERSONNALISÉ</t>
  </si>
  <si>
    <t>DICIONÁRIO PERSONALIZADO</t>
  </si>
  <si>
    <t>DIZIONARIO PERSONALIZZATO</t>
  </si>
  <si>
    <t>PERSOENLICHES WOERTERBUCH</t>
  </si>
  <si>
    <t>MARK WRONG ANSWERS
With this option, it is possible to mark the answers that you think are not correct, to discard them one by one.</t>
  </si>
  <si>
    <t>MARQUER LES MAUVAISES RÉPONSES
Avec cette option, il est possible de marquer les réponses que vous pensez être incorrectes, pour les éliminer petit à petit.</t>
  </si>
  <si>
    <t>05_1</t>
  </si>
  <si>
    <t>05_2</t>
  </si>
  <si>
    <t>08_1</t>
  </si>
  <si>
    <t>08_2</t>
  </si>
  <si>
    <t xml:space="preserve">Se van a GUARDAR los datos mostrados en el FORMULARIO como una NUEVA pregunta. 
El Número de la pregunta es </t>
  </si>
  <si>
    <t xml:space="preserve">The data shown in the FORM will be SAVED as a NEW question.
The question number is </t>
  </si>
  <si>
    <t xml:space="preserve">Os dados mostrados no FORMULÁRIO serão SALVOS como uma NOVA questão.
O número da pergunta é </t>
  </si>
  <si>
    <t xml:space="preserve">I dati mostrati nel MODULO verranno SALVATI come NUOVA domanda.
Il numero della domanda è </t>
  </si>
  <si>
    <t xml:space="preserve">Die im FORMULAR angezeigten Daten werden als NEUE Frage gespeichert.
Die Fragennummer ist </t>
  </si>
  <si>
    <t>.
            ¿DESEAS CONTINUAR?</t>
  </si>
  <si>
    <t xml:space="preserve">.
             DO YOU WANT TO CONTINUE? </t>
  </si>
  <si>
    <t xml:space="preserve">.
             VOULEZ-VOUS CONTINUER? </t>
  </si>
  <si>
    <t>.
             VOCÊ QUER CONTINUAR?</t>
  </si>
  <si>
    <t>.
             VUOI CONTINUARE?</t>
  </si>
  <si>
    <t>.
            MÖCHTEST DU WEITER MACHEN?</t>
  </si>
  <si>
    <t xml:space="preserve">Se ha guardado la pregunta Nº </t>
  </si>
  <si>
    <t xml:space="preserve">Question No. </t>
  </si>
  <si>
    <t xml:space="preserve">La question No. </t>
  </si>
  <si>
    <t xml:space="preserve">Pergunta nº </t>
  </si>
  <si>
    <t xml:space="preserve">Domanda n. </t>
  </si>
  <si>
    <t xml:space="preserve">Frage Nr. </t>
  </si>
  <si>
    <t>.
¿Deseas CONSERVAR los datos de la pregunta anterior en el formulario para escribir sobre ellos?</t>
  </si>
  <si>
    <t xml:space="preserve">has been saved.
Do you want to use the data from the previous question by displaying them in the form? </t>
  </si>
  <si>
    <t>a été enregistrée.
Voulez-vous afficher les données de la question précédente dans le formulaire?</t>
  </si>
  <si>
    <t xml:space="preserve"> foi salvo.
Deseja MANTER os dados da pergunta anterior no formulário para escrever sobre eles?</t>
  </si>
  <si>
    <t xml:space="preserve"> è stata salvata.
Vuoi CONSERVARE i dati della domanda precedente nel modulo per scriverne?</t>
  </si>
  <si>
    <t xml:space="preserve"> wurde gespeichert.
Möchten Sie die Daten aus der vorherigen Frage im Formular behalten, um darüber zu schreiben?</t>
  </si>
  <si>
    <t>EXPORTAR A JUEGO
Se van a exportar las preguntas Tipo:  
      OPCIÓN MÚLTIPLE (1 RESPUESTA) 
a un Juego realizado a través de un Proyecto de Innovación Docente de la Universidad de Cádiz.
Dicha aplicación ha sido desarrollada, por 
      ROBERTO FERMÍN GARCÍA MENA
con la colaboración de profesores de la UCA.</t>
  </si>
  <si>
    <t>EXPORTAR PARA O JOGO
As questões Tipo: 
      MÚLTIPLAS OPÇÕES (1 RESPOSTA)
podem ser exportadas para um Jogo realizado através de um Projeto de Inovação em Ensino da Universidade de Cádiz.
Este aplicativo foi desenvolvido por
      ROBERTO FERMÍN GARCÍA MENA
com a colaboração de professores da UCA.</t>
  </si>
  <si>
    <t>ESPORTA NEL GIOCO
Le domande Tipo:
      OPZIONE MULTIPLA (1 RISPOSTA)
possono essere esportate in un gioco realizzato tramite un progetto di innovazione didattica dell'Università di Cadice.
Questa applicazione è stata sviluppata da 
      ROBERTO FERMÍN GARCÍA MENA
con la collaborazione di professori dell'UCA.</t>
  </si>
  <si>
    <t>EXPORT ZUM SPIEL
Können die Fragen Typ:
      MEHRFACHOPTION (1 ANTWORT)
in ein Spiel exportiert werden, das im Rahmen eines Lehrinnovationsprojekts der Universität Cádiz erstellt wurde.
Diese Anwendung wurde von entwickelt
      ROBERTO FERMÍN GARCÍA MENA
in Zusammenarbeit mit Professoren der UCA.</t>
  </si>
  <si>
    <t>Voulez-vous exporter les questions et réponses dans cet ordre?</t>
  </si>
  <si>
    <t>RETOUR SUR RÉPONSE CORRECTE (HTML) :
Message qui apparaît si la bonne réponse est sélectionnée.</t>
  </si>
  <si>
    <t>RETOUR SUR RÉPONSE INCORRECTE (HTML) :
Message qui apparaît si la mauvaise réponse est sélectionnée.</t>
  </si>
  <si>
    <t>EXPORT TO GAME
Only this type of questions will be exported:
      MULTIPLE OPTION (1 ANSWER)
to a Game made through a Teaching Innovation Project of the University of Cadiz.
This application has been developed by 
      ROBERTO FERMÍN GARCÍA MENA
with the collaboration of professors from UCA.</t>
  </si>
  <si>
    <t>EXPORTER AU JEU
Seules seront exportées les questions de type:
OPTIONS MULTIPLES (1 RÉPONSE) 
vers un jeu réalisé dans le cadre d'un projet d'innovation pédagogique de l'Université de Cadix.
Ladite application a été développée par 
      ROBERTO FERMÍN GARCÍA MENA
avec la collaboration de professeurs de la UCA.</t>
  </si>
  <si>
    <t>Do you want to Export the questions and answers in that order?</t>
  </si>
  <si>
    <t>V/F en distintos idiomas</t>
  </si>
  <si>
    <t>Columna6</t>
  </si>
  <si>
    <t>Columna12</t>
  </si>
  <si>
    <t>Columna13</t>
  </si>
  <si>
    <t>Columna14</t>
  </si>
  <si>
    <t>Columna15</t>
  </si>
  <si>
    <t>Columna16</t>
  </si>
  <si>
    <t>Columna17</t>
  </si>
  <si>
    <t>Columna18</t>
  </si>
  <si>
    <t>Columna19</t>
  </si>
  <si>
    <t>Columna20</t>
  </si>
  <si>
    <t>Columna21</t>
  </si>
  <si>
    <t>Columna22</t>
  </si>
  <si>
    <t>Columna23</t>
  </si>
  <si>
    <t>Columna24</t>
  </si>
  <si>
    <t>Columna25</t>
  </si>
  <si>
    <t>Columna26</t>
  </si>
  <si>
    <t>Columna27</t>
  </si>
  <si>
    <t>Columna28</t>
  </si>
  <si>
    <t>Columna29</t>
  </si>
  <si>
    <t>Columna30</t>
  </si>
  <si>
    <t>Columna31</t>
  </si>
  <si>
    <t>Columna32</t>
  </si>
  <si>
    <t>Columna33</t>
  </si>
  <si>
    <t>5</t>
  </si>
  <si>
    <t>Retroalim. 1</t>
  </si>
  <si>
    <t>Retroalim. 2</t>
  </si>
  <si>
    <t>Retroalim. 3</t>
  </si>
  <si>
    <t>Retroalim. 4</t>
  </si>
  <si>
    <t>Retroalim. 5</t>
  </si>
  <si>
    <t>Retroalim. 6</t>
  </si>
  <si>
    <t>Puntos 7</t>
  </si>
  <si>
    <t>Puntos 8</t>
  </si>
  <si>
    <t>Puntos 9</t>
  </si>
  <si>
    <t>Puntos 10</t>
  </si>
  <si>
    <t>Puntos 11</t>
  </si>
  <si>
    <t>Puntos 12</t>
  </si>
  <si>
    <t>Nombre</t>
  </si>
  <si>
    <t>NRC</t>
  </si>
  <si>
    <t>NRI</t>
  </si>
  <si>
    <t>PRC</t>
  </si>
  <si>
    <t>Columna1</t>
  </si>
  <si>
    <t>Columna2</t>
  </si>
  <si>
    <t>Columna3</t>
  </si>
  <si>
    <t>Columna4</t>
  </si>
  <si>
    <t>Columna5</t>
  </si>
  <si>
    <t>a</t>
  </si>
  <si>
    <t>Retroalim. Respuesta Incorrecta</t>
  </si>
  <si>
    <t>Columna62</t>
  </si>
  <si>
    <t>Columna63</t>
  </si>
  <si>
    <t>Columna64</t>
  </si>
  <si>
    <t>Columna65</t>
  </si>
  <si>
    <t>Columna66</t>
  </si>
  <si>
    <t>Columna67</t>
  </si>
  <si>
    <t>Columna68</t>
  </si>
  <si>
    <t>Columna69</t>
  </si>
  <si>
    <t>Columna70</t>
  </si>
  <si>
    <t>Columna71</t>
  </si>
  <si>
    <t>Columna72</t>
  </si>
  <si>
    <t>Columna73</t>
  </si>
  <si>
    <t>Columna74</t>
  </si>
  <si>
    <t>Columna75</t>
  </si>
  <si>
    <t>Columna76</t>
  </si>
  <si>
    <t>Columna77</t>
  </si>
  <si>
    <t>Columna78</t>
  </si>
  <si>
    <t>Columna79</t>
  </si>
  <si>
    <t>Columna80</t>
  </si>
  <si>
    <t>Columna81</t>
  </si>
  <si>
    <t>Pareja 01.1</t>
  </si>
  <si>
    <t>Pareja 01.2</t>
  </si>
  <si>
    <t>Pareja 02.1</t>
  </si>
  <si>
    <t>Pareja 02.2</t>
  </si>
  <si>
    <t>Pareja 03.1</t>
  </si>
  <si>
    <t>Pareja 03.2</t>
  </si>
  <si>
    <t>Pareja 04.1</t>
  </si>
  <si>
    <t>Pareja 04.2</t>
  </si>
  <si>
    <t>Pareja 05.1</t>
  </si>
  <si>
    <t>Pareja 05.2</t>
  </si>
  <si>
    <t>Pareja 06.1</t>
  </si>
  <si>
    <t>Pareja 06.2</t>
  </si>
  <si>
    <t>Pareja 07.1</t>
  </si>
  <si>
    <t>Pareja 07.2</t>
  </si>
  <si>
    <t>Pareja 08.1</t>
  </si>
  <si>
    <t>Pareja 08.2</t>
  </si>
  <si>
    <t>Pareja 09.1</t>
  </si>
  <si>
    <t>Pareja 09.2</t>
  </si>
  <si>
    <t>Pareja 10.1</t>
  </si>
  <si>
    <t>Pareja 10.2</t>
  </si>
  <si>
    <t>Pareja 11.1</t>
  </si>
  <si>
    <t>Pareja 11.2</t>
  </si>
  <si>
    <t>Pareja 12.1</t>
  </si>
  <si>
    <t>Pareja 12.2</t>
  </si>
  <si>
    <t>NP</t>
  </si>
  <si>
    <t>May</t>
  </si>
  <si>
    <t>Respuesta 01</t>
  </si>
  <si>
    <t>Puntos 01</t>
  </si>
  <si>
    <t>Retroalim. 01</t>
  </si>
  <si>
    <t>Respuesta 02</t>
  </si>
  <si>
    <t>Puntos 02</t>
  </si>
  <si>
    <t>Retroalim. 02</t>
  </si>
  <si>
    <t>Respuesta 03</t>
  </si>
  <si>
    <t>Puntos 03</t>
  </si>
  <si>
    <t>Retroalim. 03</t>
  </si>
  <si>
    <t>Respuesta 04</t>
  </si>
  <si>
    <t>Puntos 04</t>
  </si>
  <si>
    <t>Retroalim. 04</t>
  </si>
  <si>
    <t>Respuesta 05</t>
  </si>
  <si>
    <t>Puntos 05</t>
  </si>
  <si>
    <t>Retroalim. 042</t>
  </si>
  <si>
    <t>Respuesta 06</t>
  </si>
  <si>
    <t>Puntos 06</t>
  </si>
  <si>
    <t>Retroalim. 06</t>
  </si>
  <si>
    <t>Respuesta 07</t>
  </si>
  <si>
    <t>Puntos 07</t>
  </si>
  <si>
    <t>Retroalim. 07</t>
  </si>
  <si>
    <t>Respuesta 08</t>
  </si>
  <si>
    <t>Puntos 08</t>
  </si>
  <si>
    <t>Retroalim. 08</t>
  </si>
  <si>
    <t>Grupo 
Palabra  01</t>
  </si>
  <si>
    <t>Palabra  01</t>
  </si>
  <si>
    <t>Grupo 
Palabra  02</t>
  </si>
  <si>
    <t>Palabra  02</t>
  </si>
  <si>
    <t>Grupo 
Palabra  03</t>
  </si>
  <si>
    <t>Palabra  03</t>
  </si>
  <si>
    <t>Grupo 
Palabra  04</t>
  </si>
  <si>
    <t>Palabra  04</t>
  </si>
  <si>
    <t>Grupo 
Palabra  05</t>
  </si>
  <si>
    <t>Palabra  05</t>
  </si>
  <si>
    <t>Grupo 
Palabra  06</t>
  </si>
  <si>
    <t>Palabra  06</t>
  </si>
  <si>
    <t>Grupo 
Palabra  07</t>
  </si>
  <si>
    <t>Palabra  07</t>
  </si>
  <si>
    <t>Grupo 
Palabra  08</t>
  </si>
  <si>
    <t>Palabra  08</t>
  </si>
  <si>
    <t>Grupo 
Palabra  09</t>
  </si>
  <si>
    <t>Palabra  09</t>
  </si>
  <si>
    <t>Grupo 
Palabra  10</t>
  </si>
  <si>
    <t>Palabra  10</t>
  </si>
  <si>
    <t>Grupo 
Palabra  11</t>
  </si>
  <si>
    <t>Palabra  11</t>
  </si>
  <si>
    <t>Grupo 
Palabra  12</t>
  </si>
  <si>
    <t>Palabra  12</t>
  </si>
  <si>
    <t>6</t>
  </si>
  <si>
    <t>7</t>
  </si>
  <si>
    <t>8</t>
  </si>
  <si>
    <t>9</t>
  </si>
  <si>
    <t>N</t>
  </si>
  <si>
    <t>ENUNCIADO</t>
  </si>
  <si>
    <t>G</t>
  </si>
  <si>
    <t>J</t>
  </si>
  <si>
    <t>K</t>
  </si>
  <si>
    <t>L</t>
  </si>
  <si>
    <t>M</t>
  </si>
  <si>
    <t>O</t>
  </si>
  <si>
    <t>54</t>
  </si>
  <si>
    <t>55</t>
  </si>
  <si>
    <t>56</t>
  </si>
  <si>
    <t>57</t>
  </si>
  <si>
    <t>58</t>
  </si>
  <si>
    <t>59</t>
  </si>
  <si>
    <t>60</t>
  </si>
  <si>
    <t>61</t>
  </si>
  <si>
    <t>62</t>
  </si>
  <si>
    <t>63</t>
  </si>
  <si>
    <t>64</t>
  </si>
  <si>
    <t>65</t>
  </si>
  <si>
    <t>66</t>
  </si>
  <si>
    <t>67</t>
  </si>
  <si>
    <t>68</t>
  </si>
  <si>
    <t>69</t>
  </si>
  <si>
    <t>70</t>
  </si>
  <si>
    <t>71</t>
  </si>
  <si>
    <t>72</t>
  </si>
  <si>
    <t>73</t>
  </si>
  <si>
    <t>74</t>
  </si>
  <si>
    <t>75</t>
  </si>
  <si>
    <t>76</t>
  </si>
  <si>
    <t>77</t>
  </si>
  <si>
    <t>ALE P</t>
  </si>
  <si>
    <t>RANGO</t>
  </si>
  <si>
    <t>Z</t>
  </si>
  <si>
    <t>NR</t>
  </si>
  <si>
    <t>C</t>
  </si>
  <si>
    <t>Q</t>
  </si>
  <si>
    <t>R</t>
  </si>
  <si>
    <t>T</t>
  </si>
  <si>
    <t>U</t>
  </si>
  <si>
    <t>V</t>
  </si>
  <si>
    <t>W</t>
  </si>
  <si>
    <t>X</t>
  </si>
  <si>
    <t>Y</t>
  </si>
  <si>
    <t>Descripcion</t>
  </si>
  <si>
    <t>PRI</t>
  </si>
  <si>
    <t>Columna7</t>
  </si>
  <si>
    <t>Columna8</t>
  </si>
  <si>
    <t>Columna9</t>
  </si>
  <si>
    <t>Columna10</t>
  </si>
  <si>
    <t>Columna11</t>
  </si>
  <si>
    <t>08_CL</t>
  </si>
  <si>
    <t>07_EN</t>
  </si>
  <si>
    <t>01_OM</t>
  </si>
  <si>
    <t>02_O2</t>
  </si>
  <si>
    <t>03_VF</t>
  </si>
  <si>
    <t>04_EM</t>
  </si>
  <si>
    <t>05_RC</t>
  </si>
  <si>
    <t>06_PP</t>
  </si>
  <si>
    <t>Columna34</t>
  </si>
  <si>
    <t>Columna35</t>
  </si>
  <si>
    <t>Columna36</t>
  </si>
  <si>
    <t>Columna37</t>
  </si>
  <si>
    <t>Columna38</t>
  </si>
  <si>
    <t>Columna39</t>
  </si>
  <si>
    <t>Columna40</t>
  </si>
  <si>
    <t>Columna41</t>
  </si>
  <si>
    <t>Columna42</t>
  </si>
  <si>
    <t>Columna43</t>
  </si>
  <si>
    <t>Columna44</t>
  </si>
  <si>
    <t>Columna45</t>
  </si>
  <si>
    <t>Columna46</t>
  </si>
  <si>
    <t>Columna47</t>
  </si>
  <si>
    <t>Columna48</t>
  </si>
  <si>
    <t>Columna49</t>
  </si>
  <si>
    <t>Columna50</t>
  </si>
  <si>
    <t>Columna51</t>
  </si>
  <si>
    <t>Columna52</t>
  </si>
  <si>
    <t>Columna53</t>
  </si>
  <si>
    <t>Columna54</t>
  </si>
  <si>
    <t>Columna55</t>
  </si>
  <si>
    <t>Columna56</t>
  </si>
  <si>
    <t>Columna57</t>
  </si>
  <si>
    <t>Columna58</t>
  </si>
  <si>
    <t>Columna59</t>
  </si>
  <si>
    <t>Columna60</t>
  </si>
  <si>
    <t>Columna61</t>
  </si>
  <si>
    <t>Columna82</t>
  </si>
  <si>
    <t>Columna83</t>
  </si>
  <si>
    <t>Columna84</t>
  </si>
  <si>
    <t>Columna85</t>
  </si>
  <si>
    <t>Columna86</t>
  </si>
  <si>
    <t>Columna87</t>
  </si>
  <si>
    <t>Columna88</t>
  </si>
  <si>
    <t>Columna89</t>
  </si>
  <si>
    <t>Columna90</t>
  </si>
  <si>
    <t>Columna91</t>
  </si>
  <si>
    <t>Columna92</t>
  </si>
  <si>
    <t>Columna93</t>
  </si>
  <si>
    <t>Columna94</t>
  </si>
  <si>
    <t>Columna95</t>
  </si>
  <si>
    <t>Columna96</t>
  </si>
  <si>
    <t>Columna97</t>
  </si>
  <si>
    <t>Columna98</t>
  </si>
  <si>
    <t>Columna99</t>
  </si>
  <si>
    <t>Columna100</t>
  </si>
  <si>
    <t>Columna101</t>
  </si>
  <si>
    <t>Columna102</t>
  </si>
  <si>
    <t>Columna103</t>
  </si>
  <si>
    <t>Columna104</t>
  </si>
  <si>
    <t>Columna105</t>
  </si>
  <si>
    <t>Columna106</t>
  </si>
  <si>
    <t>Columna107</t>
  </si>
  <si>
    <t>Columna108</t>
  </si>
  <si>
    <t>Columna109</t>
  </si>
  <si>
    <t>Columna110</t>
  </si>
  <si>
    <t>Columna111</t>
  </si>
  <si>
    <t>Columna112</t>
  </si>
  <si>
    <t>Columna113</t>
  </si>
  <si>
    <t>Columna114</t>
  </si>
  <si>
    <t>Columna115</t>
  </si>
  <si>
    <t>Columna116</t>
  </si>
  <si>
    <t>Columna117</t>
  </si>
  <si>
    <t>Columna118</t>
  </si>
  <si>
    <t>Columna119</t>
  </si>
  <si>
    <t>Columna120</t>
  </si>
  <si>
    <t>Columna121</t>
  </si>
  <si>
    <t>Columna122</t>
  </si>
  <si>
    <t>Columna123</t>
  </si>
  <si>
    <t>Columna124</t>
  </si>
  <si>
    <t>Columna125</t>
  </si>
  <si>
    <t>Columna126</t>
  </si>
  <si>
    <t>Columna127</t>
  </si>
  <si>
    <t>Columna128</t>
  </si>
  <si>
    <t>Columna129</t>
  </si>
  <si>
    <t>Columna130</t>
  </si>
  <si>
    <t>Columna131</t>
  </si>
  <si>
    <t>Columna132</t>
  </si>
  <si>
    <t>Columna133</t>
  </si>
  <si>
    <t>Columna134</t>
  </si>
  <si>
    <t>Columna135</t>
  </si>
  <si>
    <t>Columna136</t>
  </si>
  <si>
    <t>Columna137</t>
  </si>
  <si>
    <t>Columna138</t>
  </si>
  <si>
    <t>Columna139</t>
  </si>
  <si>
    <t>Columna140</t>
  </si>
  <si>
    <t>Columna141</t>
  </si>
  <si>
    <t>Columna142</t>
  </si>
  <si>
    <t>Columna143</t>
  </si>
  <si>
    <t>Columna144</t>
  </si>
  <si>
    <t>Columna145</t>
  </si>
  <si>
    <t>Columna146</t>
  </si>
  <si>
    <t>Columna147</t>
  </si>
  <si>
    <t>Columna148</t>
  </si>
  <si>
    <t>Columna149</t>
  </si>
  <si>
    <t>Columna150</t>
  </si>
  <si>
    <t>Columna151</t>
  </si>
  <si>
    <t>Columna152</t>
  </si>
  <si>
    <t>Columna153</t>
  </si>
  <si>
    <t>Columna154</t>
  </si>
  <si>
    <t>Columna155</t>
  </si>
  <si>
    <t>Columna156</t>
  </si>
  <si>
    <t>Columna157</t>
  </si>
  <si>
    <t>Columna158</t>
  </si>
  <si>
    <t>Columna159</t>
  </si>
  <si>
    <t>Columna160</t>
  </si>
  <si>
    <t>Columna161</t>
  </si>
  <si>
    <t>Columna162</t>
  </si>
  <si>
    <t>Columna163</t>
  </si>
  <si>
    <t>Columna164</t>
  </si>
  <si>
    <t>Columna165</t>
  </si>
  <si>
    <t>Columna166</t>
  </si>
  <si>
    <t>Columna167</t>
  </si>
  <si>
    <t>Columna168</t>
  </si>
  <si>
    <t>Columna169</t>
  </si>
  <si>
    <t>Columna170</t>
  </si>
  <si>
    <t>Columna171</t>
  </si>
  <si>
    <t>Columna172</t>
  </si>
  <si>
    <t>Columna173</t>
  </si>
  <si>
    <t>Columna174</t>
  </si>
  <si>
    <t>Columna175</t>
  </si>
  <si>
    <t>Columna176</t>
  </si>
  <si>
    <t>Columna177</t>
  </si>
  <si>
    <t>Columna178</t>
  </si>
  <si>
    <t>Columna179</t>
  </si>
  <si>
    <t>Columna180</t>
  </si>
  <si>
    <t>Columna181</t>
  </si>
  <si>
    <t>Columna182</t>
  </si>
  <si>
    <t>Columna183</t>
  </si>
  <si>
    <t>Columna184</t>
  </si>
  <si>
    <t>Columna185</t>
  </si>
  <si>
    <t>Columna186</t>
  </si>
  <si>
    <t>Columna187</t>
  </si>
  <si>
    <t>Columna188</t>
  </si>
  <si>
    <t>Columna189</t>
  </si>
  <si>
    <t>Columna190</t>
  </si>
  <si>
    <t>Columna191</t>
  </si>
  <si>
    <t>Columna192</t>
  </si>
  <si>
    <t>Columna193</t>
  </si>
  <si>
    <t>Columna194</t>
  </si>
  <si>
    <t>Columna195</t>
  </si>
  <si>
    <t>Columna196</t>
  </si>
  <si>
    <t>Columna197</t>
  </si>
  <si>
    <t>Columna198</t>
  </si>
  <si>
    <t>Columna199</t>
  </si>
  <si>
    <t>Columna200</t>
  </si>
  <si>
    <t>Columna201</t>
  </si>
  <si>
    <t>Columna202</t>
  </si>
  <si>
    <t>Columna203</t>
  </si>
  <si>
    <t>Columna204</t>
  </si>
  <si>
    <t>Columna205</t>
  </si>
  <si>
    <t>Columna206</t>
  </si>
  <si>
    <t>Columna207</t>
  </si>
  <si>
    <t>Columna208</t>
  </si>
  <si>
    <t>Columna209</t>
  </si>
  <si>
    <t>Columna210</t>
  </si>
  <si>
    <t>Columna211</t>
  </si>
  <si>
    <t>Columna212</t>
  </si>
  <si>
    <t>Columna213</t>
  </si>
  <si>
    <t>Columna214</t>
  </si>
  <si>
    <t>Columna215</t>
  </si>
  <si>
    <t>Columna216</t>
  </si>
  <si>
    <t>Columna217</t>
  </si>
  <si>
    <t>Columna218</t>
  </si>
  <si>
    <t>Columna219</t>
  </si>
  <si>
    <t>Columna220</t>
  </si>
  <si>
    <t>Columna221</t>
  </si>
  <si>
    <t>Columna222</t>
  </si>
  <si>
    <t>Columna223</t>
  </si>
  <si>
    <t>Columna224</t>
  </si>
  <si>
    <t>Columna225</t>
  </si>
  <si>
    <t>Columna226</t>
  </si>
  <si>
    <t>Columna227</t>
  </si>
  <si>
    <t>Columna228</t>
  </si>
  <si>
    <t>Columna229</t>
  </si>
  <si>
    <t>Columna230</t>
  </si>
  <si>
    <t>Columna231</t>
  </si>
  <si>
    <t>Columna232</t>
  </si>
  <si>
    <t>Columna233</t>
  </si>
  <si>
    <t>Columna234</t>
  </si>
  <si>
    <t>Columna235</t>
  </si>
  <si>
    <t>Columna236</t>
  </si>
  <si>
    <t>Columna237</t>
  </si>
  <si>
    <t>Columna238</t>
  </si>
  <si>
    <t>Columna239</t>
  </si>
  <si>
    <t>Columna240</t>
  </si>
  <si>
    <t>Columna241</t>
  </si>
  <si>
    <t>Columna242</t>
  </si>
  <si>
    <t>Columna243</t>
  </si>
  <si>
    <t>Columna244</t>
  </si>
  <si>
    <t>Columna245</t>
  </si>
  <si>
    <t>Columna246</t>
  </si>
  <si>
    <t>Columna247</t>
  </si>
  <si>
    <t>Columna248</t>
  </si>
  <si>
    <t>Columna249</t>
  </si>
  <si>
    <t>Columna250</t>
  </si>
  <si>
    <t>Columna251</t>
  </si>
  <si>
    <t>Columna252</t>
  </si>
  <si>
    <t>Columna253</t>
  </si>
  <si>
    <t>Columna254</t>
  </si>
  <si>
    <t>Columna255</t>
  </si>
  <si>
    <t>Columna256</t>
  </si>
  <si>
    <t>Columna257</t>
  </si>
  <si>
    <t>Columna258</t>
  </si>
  <si>
    <t>Columna259</t>
  </si>
  <si>
    <t>Columna260</t>
  </si>
  <si>
    <t>Columna261</t>
  </si>
  <si>
    <t>Columna262</t>
  </si>
  <si>
    <t>Columna263</t>
  </si>
  <si>
    <t>Columna264</t>
  </si>
  <si>
    <t>Columna265</t>
  </si>
  <si>
    <t>Columna266</t>
  </si>
  <si>
    <t>Columna267</t>
  </si>
  <si>
    <t>Columna268</t>
  </si>
  <si>
    <t>Columna269</t>
  </si>
  <si>
    <t>Columna270</t>
  </si>
  <si>
    <t>Columna271</t>
  </si>
  <si>
    <t>Columna272</t>
  </si>
  <si>
    <t>Columna273</t>
  </si>
  <si>
    <t>Columna274</t>
  </si>
  <si>
    <t>Columna275</t>
  </si>
  <si>
    <t>Columna276</t>
  </si>
  <si>
    <t>Columna277</t>
  </si>
  <si>
    <t>Columna278</t>
  </si>
  <si>
    <t>Columna279</t>
  </si>
  <si>
    <t>Columna280</t>
  </si>
  <si>
    <t>Columna281</t>
  </si>
  <si>
    <t>Columna282</t>
  </si>
  <si>
    <t>Columna283</t>
  </si>
  <si>
    <t>Columna284</t>
  </si>
  <si>
    <t>Columna285</t>
  </si>
  <si>
    <t>Columna286</t>
  </si>
  <si>
    <t>Columna287</t>
  </si>
  <si>
    <t>Columna288</t>
  </si>
  <si>
    <t>Columna289</t>
  </si>
  <si>
    <t>Columna290</t>
  </si>
  <si>
    <t>Columna291</t>
  </si>
  <si>
    <t>Columna292</t>
  </si>
  <si>
    <t>Columna293</t>
  </si>
  <si>
    <t>Columna294</t>
  </si>
  <si>
    <t>Columna295</t>
  </si>
  <si>
    <t>Columna296</t>
  </si>
  <si>
    <t>Columna297</t>
  </si>
  <si>
    <t>Columna298</t>
  </si>
  <si>
    <t>Columna299</t>
  </si>
  <si>
    <t>Columna300</t>
  </si>
  <si>
    <t>Columna301</t>
  </si>
  <si>
    <t>Columna302</t>
  </si>
  <si>
    <t>Columna303</t>
  </si>
  <si>
    <t>Columna304</t>
  </si>
  <si>
    <t>Columna305</t>
  </si>
  <si>
    <t>Columna306</t>
  </si>
  <si>
    <t>Columna307</t>
  </si>
  <si>
    <t>Columna308</t>
  </si>
  <si>
    <t>Columna309</t>
  </si>
  <si>
    <t>Columna310</t>
  </si>
  <si>
    <t>Columna311</t>
  </si>
  <si>
    <t>Columna312</t>
  </si>
  <si>
    <t>Columna313</t>
  </si>
  <si>
    <t>Columna314</t>
  </si>
  <si>
    <t>Columna315</t>
  </si>
  <si>
    <t>Columna316</t>
  </si>
  <si>
    <t>Columna317</t>
  </si>
  <si>
    <t>Columna318</t>
  </si>
  <si>
    <t>Columna319</t>
  </si>
  <si>
    <t>Columna320</t>
  </si>
  <si>
    <t>Columna321</t>
  </si>
  <si>
    <t>Columna322</t>
  </si>
  <si>
    <t>Columna323</t>
  </si>
  <si>
    <t>Columna324</t>
  </si>
  <si>
    <t>Columna325</t>
  </si>
  <si>
    <t>Columna326</t>
  </si>
  <si>
    <t>Columna327</t>
  </si>
  <si>
    <t>Columna328</t>
  </si>
  <si>
    <t>Columna329</t>
  </si>
  <si>
    <t>Columna330</t>
  </si>
  <si>
    <t>Columna331</t>
  </si>
  <si>
    <t>Columna332</t>
  </si>
  <si>
    <t>Columna333</t>
  </si>
  <si>
    <t>Columna334</t>
  </si>
  <si>
    <t>Columna335</t>
  </si>
  <si>
    <t>Columna336</t>
  </si>
  <si>
    <t>Columna337</t>
  </si>
  <si>
    <t>Columna338</t>
  </si>
  <si>
    <t>Columna339</t>
  </si>
  <si>
    <t>Columna340</t>
  </si>
  <si>
    <t>Columna341</t>
  </si>
  <si>
    <t>Columna342</t>
  </si>
  <si>
    <t>Columna343</t>
  </si>
  <si>
    <t>Columna344</t>
  </si>
  <si>
    <t>Columna345</t>
  </si>
  <si>
    <t>Columna346</t>
  </si>
  <si>
    <t>Columna347</t>
  </si>
  <si>
    <t>Columna348</t>
  </si>
  <si>
    <t>Columna349</t>
  </si>
  <si>
    <t>Columna350</t>
  </si>
  <si>
    <t>Columna351</t>
  </si>
  <si>
    <t>Columna352</t>
  </si>
  <si>
    <t>Columna353</t>
  </si>
  <si>
    <t>Columna354</t>
  </si>
  <si>
    <t>Columna355</t>
  </si>
  <si>
    <t>Columna356</t>
  </si>
  <si>
    <t>Columna357</t>
  </si>
  <si>
    <t>Columna358</t>
  </si>
  <si>
    <t>Columna359</t>
  </si>
  <si>
    <t>Columna360</t>
  </si>
  <si>
    <t>Columna361</t>
  </si>
  <si>
    <t>Columna362</t>
  </si>
  <si>
    <t>Columna363</t>
  </si>
  <si>
    <t>Columna364</t>
  </si>
  <si>
    <t>Columna365</t>
  </si>
  <si>
    <t>Columna366</t>
  </si>
  <si>
    <t>Columna367</t>
  </si>
  <si>
    <t>Columna368</t>
  </si>
  <si>
    <t>Columna369</t>
  </si>
  <si>
    <t>Columna370</t>
  </si>
  <si>
    <t>Columna371</t>
  </si>
  <si>
    <t>Columna372</t>
  </si>
  <si>
    <t>Columna373</t>
  </si>
  <si>
    <t>Columna374</t>
  </si>
  <si>
    <t>Columna375</t>
  </si>
  <si>
    <t>Columna376</t>
  </si>
  <si>
    <t>Columna377</t>
  </si>
  <si>
    <t>Columna378</t>
  </si>
  <si>
    <t>Columna379</t>
  </si>
  <si>
    <t>Columna380</t>
  </si>
  <si>
    <t>Columna381</t>
  </si>
  <si>
    <t>Columna382</t>
  </si>
  <si>
    <t>Columna383</t>
  </si>
  <si>
    <t>Columna384</t>
  </si>
  <si>
    <t>Columna385</t>
  </si>
  <si>
    <t>Columna386</t>
  </si>
  <si>
    <t>Columna387</t>
  </si>
  <si>
    <t>Columna388</t>
  </si>
  <si>
    <t>Columna389</t>
  </si>
  <si>
    <t>Columna390</t>
  </si>
  <si>
    <t>Columna391</t>
  </si>
  <si>
    <t>Columna392</t>
  </si>
  <si>
    <t>Columna393</t>
  </si>
  <si>
    <t>Columna394</t>
  </si>
  <si>
    <t>Columna395</t>
  </si>
  <si>
    <t>Columna396</t>
  </si>
  <si>
    <t>Columna397</t>
  </si>
  <si>
    <t>Columna398</t>
  </si>
  <si>
    <t>Columna399</t>
  </si>
  <si>
    <t>Columna400</t>
  </si>
  <si>
    <t>Columna401</t>
  </si>
  <si>
    <t>Columna402</t>
  </si>
  <si>
    <t>Columna403</t>
  </si>
  <si>
    <t>Columna404</t>
  </si>
  <si>
    <t>Columna405</t>
  </si>
  <si>
    <t>Columna406</t>
  </si>
  <si>
    <t>Columna407</t>
  </si>
  <si>
    <t>Columna408</t>
  </si>
  <si>
    <t>Columna409</t>
  </si>
  <si>
    <t>Columna410</t>
  </si>
  <si>
    <t>Columna411</t>
  </si>
  <si>
    <t>Columna412</t>
  </si>
  <si>
    <t>Columna413</t>
  </si>
  <si>
    <t>Columna414</t>
  </si>
  <si>
    <t>Columna415</t>
  </si>
  <si>
    <t>Columna416</t>
  </si>
  <si>
    <t>Columna417</t>
  </si>
  <si>
    <t>Columna418</t>
  </si>
  <si>
    <t>Columna419</t>
  </si>
  <si>
    <t>Columna420</t>
  </si>
  <si>
    <t>Columna421</t>
  </si>
  <si>
    <t>Columna422</t>
  </si>
  <si>
    <t>Columna423</t>
  </si>
  <si>
    <t>Columna424</t>
  </si>
  <si>
    <t>Columna425</t>
  </si>
  <si>
    <t>Columna426</t>
  </si>
  <si>
    <t>Columna427</t>
  </si>
  <si>
    <t>Columna428</t>
  </si>
  <si>
    <t>Columna429</t>
  </si>
  <si>
    <t>Columna430</t>
  </si>
  <si>
    <t>Columna431</t>
  </si>
  <si>
    <t>Columna432</t>
  </si>
  <si>
    <t>Columna433</t>
  </si>
  <si>
    <t>Columna434</t>
  </si>
  <si>
    <t>Columna435</t>
  </si>
  <si>
    <t>Columna436</t>
  </si>
  <si>
    <t>Columna437</t>
  </si>
  <si>
    <t>Columna438</t>
  </si>
  <si>
    <t>Columna439</t>
  </si>
  <si>
    <t>Columna440</t>
  </si>
  <si>
    <t>Columna441</t>
  </si>
  <si>
    <t>Columna442</t>
  </si>
  <si>
    <t>Columna443</t>
  </si>
  <si>
    <t>Columna444</t>
  </si>
  <si>
    <t>Columna445</t>
  </si>
  <si>
    <t>Columna446</t>
  </si>
  <si>
    <t>Columna447</t>
  </si>
  <si>
    <t>Columna448</t>
  </si>
  <si>
    <t>Columna449</t>
  </si>
  <si>
    <t>Columna450</t>
  </si>
  <si>
    <t>Columna451</t>
  </si>
  <si>
    <t>Columna452</t>
  </si>
  <si>
    <t>Columna453</t>
  </si>
  <si>
    <t>Columna454</t>
  </si>
  <si>
    <t>Columna455</t>
  </si>
  <si>
    <t>Columna456</t>
  </si>
  <si>
    <t>Columna457</t>
  </si>
  <si>
    <t>Columna458</t>
  </si>
  <si>
    <t>Columna459</t>
  </si>
  <si>
    <t>Columna460</t>
  </si>
  <si>
    <t>Columna461</t>
  </si>
  <si>
    <t>Columna462</t>
  </si>
  <si>
    <t>Columna463</t>
  </si>
  <si>
    <t>Columna464</t>
  </si>
  <si>
    <t>Columna465</t>
  </si>
  <si>
    <t>Columna466</t>
  </si>
  <si>
    <t>Columna467</t>
  </si>
  <si>
    <t>Columna468</t>
  </si>
  <si>
    <t>Columna469</t>
  </si>
  <si>
    <t>Columna470</t>
  </si>
  <si>
    <t>Columna471</t>
  </si>
  <si>
    <t>Columna472</t>
  </si>
  <si>
    <t>Columna473</t>
  </si>
  <si>
    <t>Columna474</t>
  </si>
  <si>
    <t>Columna475</t>
  </si>
  <si>
    <t>Columna476</t>
  </si>
  <si>
    <t>Columna477</t>
  </si>
  <si>
    <t>Columna478</t>
  </si>
  <si>
    <t>Columna479</t>
  </si>
  <si>
    <t>Columna480</t>
  </si>
  <si>
    <t>Columna481</t>
  </si>
  <si>
    <t>Columna482</t>
  </si>
  <si>
    <t>Columna483</t>
  </si>
  <si>
    <t>Columna484</t>
  </si>
  <si>
    <t>Columna485</t>
  </si>
  <si>
    <t>Columna486</t>
  </si>
  <si>
    <t>Columna487</t>
  </si>
  <si>
    <t>Columna488</t>
  </si>
  <si>
    <t>Columna489</t>
  </si>
  <si>
    <t>Columna490</t>
  </si>
  <si>
    <t>Columna491</t>
  </si>
  <si>
    <t>Columna492</t>
  </si>
  <si>
    <t>Columna493</t>
  </si>
  <si>
    <t>Columna494</t>
  </si>
  <si>
    <t>Columna495</t>
  </si>
  <si>
    <t>Columna496</t>
  </si>
  <si>
    <t>Columna497</t>
  </si>
  <si>
    <t>Columna498</t>
  </si>
  <si>
    <t>Columna499</t>
  </si>
  <si>
    <t>Columna500</t>
  </si>
  <si>
    <t>Columna501</t>
  </si>
  <si>
    <t>Columna502</t>
  </si>
  <si>
    <t>Columna503</t>
  </si>
  <si>
    <t>Columna504</t>
  </si>
  <si>
    <t>Columna505</t>
  </si>
  <si>
    <t>Columna506</t>
  </si>
  <si>
    <t>Columna507</t>
  </si>
  <si>
    <t>Columna508</t>
  </si>
  <si>
    <t>Columna509</t>
  </si>
  <si>
    <t>Columna510</t>
  </si>
  <si>
    <t>Columna511</t>
  </si>
  <si>
    <t>Columna512</t>
  </si>
  <si>
    <t>Columna513</t>
  </si>
  <si>
    <t>Columna514</t>
  </si>
  <si>
    <t>Columna515</t>
  </si>
  <si>
    <t>Columna516</t>
  </si>
  <si>
    <t>Columna517</t>
  </si>
  <si>
    <t>Columna518</t>
  </si>
  <si>
    <t>Columna519</t>
  </si>
  <si>
    <t>Columna520</t>
  </si>
  <si>
    <t>Columna521</t>
  </si>
  <si>
    <t>Columna522</t>
  </si>
  <si>
    <t>Columna523</t>
  </si>
  <si>
    <t>Columna524</t>
  </si>
  <si>
    <t>Columna525</t>
  </si>
  <si>
    <t>Columna526</t>
  </si>
  <si>
    <t>Columna527</t>
  </si>
  <si>
    <t>Columna528</t>
  </si>
  <si>
    <t>Columna529</t>
  </si>
  <si>
    <t>Columna530</t>
  </si>
  <si>
    <t>Columna531</t>
  </si>
  <si>
    <t>Columna532</t>
  </si>
  <si>
    <t>Columna533</t>
  </si>
  <si>
    <t>Columna534</t>
  </si>
  <si>
    <t>Columna535</t>
  </si>
  <si>
    <t>Columna536</t>
  </si>
  <si>
    <t>Columna537</t>
  </si>
  <si>
    <t>Columna538</t>
  </si>
  <si>
    <t>Columna539</t>
  </si>
  <si>
    <t>Columna540</t>
  </si>
  <si>
    <t>Columna541</t>
  </si>
  <si>
    <t>Columna542</t>
  </si>
  <si>
    <t>Columna543</t>
  </si>
  <si>
    <t>Columna544</t>
  </si>
  <si>
    <t>Columna545</t>
  </si>
  <si>
    <t>Columna546</t>
  </si>
  <si>
    <t>Columna547</t>
  </si>
  <si>
    <t>Columna548</t>
  </si>
  <si>
    <t>Columna549</t>
  </si>
  <si>
    <t>Columna550</t>
  </si>
  <si>
    <t>Columna551</t>
  </si>
  <si>
    <t>Columna552</t>
  </si>
  <si>
    <t>Columna553</t>
  </si>
  <si>
    <t>Columna554</t>
  </si>
  <si>
    <t>Columna555</t>
  </si>
  <si>
    <t>Columna556</t>
  </si>
  <si>
    <t>Columna557</t>
  </si>
  <si>
    <t>Columna558</t>
  </si>
  <si>
    <t>Columna559</t>
  </si>
  <si>
    <t>Columna560</t>
  </si>
  <si>
    <t>Columna561</t>
  </si>
  <si>
    <t>Columna562</t>
  </si>
  <si>
    <t>Columna563</t>
  </si>
  <si>
    <t>Columna564</t>
  </si>
  <si>
    <t>Columna565</t>
  </si>
  <si>
    <t>Columna566</t>
  </si>
  <si>
    <t>Columna567</t>
  </si>
  <si>
    <t>Columna568</t>
  </si>
  <si>
    <t>Columna569</t>
  </si>
  <si>
    <t>Columna570</t>
  </si>
  <si>
    <t>Columna571</t>
  </si>
  <si>
    <t>Columna572</t>
  </si>
  <si>
    <t>Columna573</t>
  </si>
  <si>
    <t>Columna574</t>
  </si>
  <si>
    <t>Columna575</t>
  </si>
  <si>
    <t>Columna576</t>
  </si>
  <si>
    <t>Columna577</t>
  </si>
  <si>
    <t>Columna578</t>
  </si>
  <si>
    <t>Columna579</t>
  </si>
  <si>
    <t>Columna580</t>
  </si>
  <si>
    <t>Columna581</t>
  </si>
  <si>
    <t>Columna582</t>
  </si>
  <si>
    <t>Columna583</t>
  </si>
  <si>
    <t>Columna584</t>
  </si>
  <si>
    <t>Columna585</t>
  </si>
  <si>
    <t>Columna586</t>
  </si>
  <si>
    <t>Columna587</t>
  </si>
  <si>
    <t>Columna588</t>
  </si>
  <si>
    <t>Columna589</t>
  </si>
  <si>
    <t>Columna590</t>
  </si>
  <si>
    <t>Columna591</t>
  </si>
  <si>
    <t>Columna592</t>
  </si>
  <si>
    <t>Columna593</t>
  </si>
  <si>
    <t>Columna594</t>
  </si>
  <si>
    <t>Columna595</t>
  </si>
  <si>
    <t>Columna596</t>
  </si>
  <si>
    <t>Columna597</t>
  </si>
  <si>
    <t>Columna598</t>
  </si>
  <si>
    <t>Columna599</t>
  </si>
  <si>
    <t>Columna600</t>
  </si>
  <si>
    <t>Columna601</t>
  </si>
  <si>
    <t>Columna602</t>
  </si>
  <si>
    <t>Columna603</t>
  </si>
  <si>
    <t>Columna604</t>
  </si>
  <si>
    <t>Columna605</t>
  </si>
  <si>
    <t>Columna606</t>
  </si>
  <si>
    <t>Columna607</t>
  </si>
  <si>
    <t>Columna608</t>
  </si>
  <si>
    <t>Columna609</t>
  </si>
  <si>
    <t>Columna610</t>
  </si>
  <si>
    <t>Columna611</t>
  </si>
  <si>
    <t>Columna612</t>
  </si>
  <si>
    <t>Columna613</t>
  </si>
  <si>
    <t>Columna614</t>
  </si>
  <si>
    <t>Columna615</t>
  </si>
  <si>
    <t>Columna616</t>
  </si>
  <si>
    <t>Columna617</t>
  </si>
  <si>
    <t>Columna618</t>
  </si>
  <si>
    <t>Columna619</t>
  </si>
  <si>
    <t>Columna620</t>
  </si>
  <si>
    <t>Columna621</t>
  </si>
  <si>
    <t>Columna622</t>
  </si>
  <si>
    <t>Columna623</t>
  </si>
  <si>
    <t>Columna624</t>
  </si>
  <si>
    <t>Columna625</t>
  </si>
  <si>
    <t>Columna626</t>
  </si>
  <si>
    <t>Columna627</t>
  </si>
  <si>
    <t>Columna628</t>
  </si>
  <si>
    <t>Columna629</t>
  </si>
  <si>
    <t>Columna630</t>
  </si>
  <si>
    <t>Columna631</t>
  </si>
  <si>
    <t>Columna632</t>
  </si>
  <si>
    <t>Columna633</t>
  </si>
  <si>
    <t>Columna634</t>
  </si>
  <si>
    <t>Columna635</t>
  </si>
  <si>
    <t>Columna636</t>
  </si>
  <si>
    <t>Columna637</t>
  </si>
  <si>
    <t>Columna638</t>
  </si>
  <si>
    <t>Columna639</t>
  </si>
  <si>
    <t>Columna640</t>
  </si>
  <si>
    <t>Columna641</t>
  </si>
  <si>
    <t>Columna642</t>
  </si>
  <si>
    <t>Columna643</t>
  </si>
  <si>
    <t>Columna644</t>
  </si>
  <si>
    <t>Columna645</t>
  </si>
  <si>
    <t>Columna646</t>
  </si>
  <si>
    <t>Columna647</t>
  </si>
  <si>
    <t>Columna648</t>
  </si>
  <si>
    <t>Columna649</t>
  </si>
  <si>
    <t>Columna650</t>
  </si>
  <si>
    <t>Columna651</t>
  </si>
  <si>
    <t>Columna652</t>
  </si>
  <si>
    <t>Columna653</t>
  </si>
  <si>
    <t>Columna654</t>
  </si>
  <si>
    <t>Columna655</t>
  </si>
  <si>
    <t>Columna656</t>
  </si>
  <si>
    <t>Columna657</t>
  </si>
  <si>
    <t>Columna658</t>
  </si>
  <si>
    <t>Columna659</t>
  </si>
  <si>
    <t>Columna660</t>
  </si>
  <si>
    <t>Columna661</t>
  </si>
  <si>
    <t>Columna662</t>
  </si>
  <si>
    <t>Columna663</t>
  </si>
  <si>
    <t>Columna664</t>
  </si>
  <si>
    <t>Columna665</t>
  </si>
  <si>
    <t>Columna666</t>
  </si>
  <si>
    <t>Columna667</t>
  </si>
  <si>
    <t>Columna668</t>
  </si>
  <si>
    <t>Columna669</t>
  </si>
  <si>
    <t>Columna670</t>
  </si>
  <si>
    <t>Columna671</t>
  </si>
  <si>
    <t>Columna672</t>
  </si>
  <si>
    <t>Columna673</t>
  </si>
  <si>
    <t>Columna674</t>
  </si>
  <si>
    <t>Columna675</t>
  </si>
  <si>
    <t>Columna676</t>
  </si>
  <si>
    <t>Columna677</t>
  </si>
  <si>
    <t>Columna678</t>
  </si>
  <si>
    <t>Columna679</t>
  </si>
  <si>
    <t>Columna680</t>
  </si>
  <si>
    <t>Columna681</t>
  </si>
  <si>
    <t>Columna682</t>
  </si>
  <si>
    <t>Columna683</t>
  </si>
  <si>
    <t>Columna684</t>
  </si>
  <si>
    <t>Columna685</t>
  </si>
  <si>
    <t>Columna686</t>
  </si>
  <si>
    <t>Columna687</t>
  </si>
  <si>
    <t>Columna688</t>
  </si>
  <si>
    <t>Columna689</t>
  </si>
  <si>
    <t>Columna690</t>
  </si>
  <si>
    <t>Columna691</t>
  </si>
  <si>
    <t>Columna692</t>
  </si>
  <si>
    <t>Columna693</t>
  </si>
  <si>
    <t>Columna694</t>
  </si>
  <si>
    <t>Columna695</t>
  </si>
  <si>
    <t>Columna696</t>
  </si>
  <si>
    <t>Columna697</t>
  </si>
  <si>
    <t>Columna698</t>
  </si>
  <si>
    <t>Columna699</t>
  </si>
  <si>
    <t>Columna700</t>
  </si>
  <si>
    <t>Columna701</t>
  </si>
  <si>
    <t>Columna702</t>
  </si>
  <si>
    <t>Columna703</t>
  </si>
  <si>
    <t>Columna704</t>
  </si>
  <si>
    <t>Columna705</t>
  </si>
  <si>
    <t>Columna706</t>
  </si>
  <si>
    <t>Columna707</t>
  </si>
  <si>
    <t>Columna708</t>
  </si>
  <si>
    <t>Columna709</t>
  </si>
  <si>
    <t>Columna710</t>
  </si>
  <si>
    <t>Columna711</t>
  </si>
  <si>
    <t>Columna712</t>
  </si>
  <si>
    <t>Columna713</t>
  </si>
  <si>
    <t>Columna714</t>
  </si>
  <si>
    <t>Columna715</t>
  </si>
  <si>
    <t>Columna716</t>
  </si>
  <si>
    <t>Columna717</t>
  </si>
  <si>
    <t>Columna718</t>
  </si>
  <si>
    <t>Columna719</t>
  </si>
  <si>
    <t>Columna720</t>
  </si>
  <si>
    <t>Columna721</t>
  </si>
  <si>
    <t>Columna722</t>
  </si>
  <si>
    <t>Columna723</t>
  </si>
  <si>
    <t>Columna724</t>
  </si>
  <si>
    <t>Columna725</t>
  </si>
  <si>
    <t>Columna726</t>
  </si>
  <si>
    <t>Columna727</t>
  </si>
  <si>
    <t>Columna728</t>
  </si>
  <si>
    <t>Columna729</t>
  </si>
  <si>
    <t>Columna730</t>
  </si>
  <si>
    <t>Columna731</t>
  </si>
  <si>
    <t>Columna732</t>
  </si>
  <si>
    <t>Columna733</t>
  </si>
  <si>
    <t>Columna734</t>
  </si>
  <si>
    <t>Columna735</t>
  </si>
  <si>
    <t>Columna736</t>
  </si>
  <si>
    <t>Columna737</t>
  </si>
  <si>
    <t>Columna738</t>
  </si>
  <si>
    <t>Columna739</t>
  </si>
  <si>
    <t>Columna740</t>
  </si>
  <si>
    <t>Columna741</t>
  </si>
  <si>
    <t>Columna742</t>
  </si>
  <si>
    <t>Columna743</t>
  </si>
  <si>
    <t>Columna744</t>
  </si>
  <si>
    <t>Columna745</t>
  </si>
  <si>
    <t>Columna746</t>
  </si>
  <si>
    <t>Columna747</t>
  </si>
  <si>
    <t>Columna748</t>
  </si>
  <si>
    <t>Columna749</t>
  </si>
  <si>
    <t>Columna750</t>
  </si>
  <si>
    <t>Columna751</t>
  </si>
  <si>
    <t>Columna752</t>
  </si>
  <si>
    <t>Columna753</t>
  </si>
  <si>
    <t>Columna754</t>
  </si>
  <si>
    <t>Columna755</t>
  </si>
  <si>
    <t>Columna756</t>
  </si>
  <si>
    <t>Columna757</t>
  </si>
  <si>
    <t>Columna758</t>
  </si>
  <si>
    <t>Columna759</t>
  </si>
  <si>
    <t>Columna760</t>
  </si>
  <si>
    <t>Columna761</t>
  </si>
  <si>
    <t>Columna762</t>
  </si>
  <si>
    <t>Columna763</t>
  </si>
  <si>
    <t>Columna764</t>
  </si>
  <si>
    <t>Columna765</t>
  </si>
  <si>
    <t>Columna766</t>
  </si>
  <si>
    <t>Columna767</t>
  </si>
  <si>
    <t>Columna768</t>
  </si>
  <si>
    <t>Columna769</t>
  </si>
  <si>
    <t>Columna770</t>
  </si>
  <si>
    <t>Columna771</t>
  </si>
  <si>
    <t>Columna772</t>
  </si>
  <si>
    <t>Columna773</t>
  </si>
  <si>
    <t>Columna774</t>
  </si>
  <si>
    <t>Columna775</t>
  </si>
  <si>
    <t>Columna776</t>
  </si>
  <si>
    <t>Columna777</t>
  </si>
  <si>
    <t>Columna778</t>
  </si>
  <si>
    <t>Columna779</t>
  </si>
  <si>
    <t>Columna780</t>
  </si>
  <si>
    <t>Columna781</t>
  </si>
  <si>
    <t>Columna782</t>
  </si>
  <si>
    <t>Columna783</t>
  </si>
  <si>
    <t>Columna784</t>
  </si>
  <si>
    <t>Columna785</t>
  </si>
  <si>
    <t>Columna786</t>
  </si>
  <si>
    <t>Columna787</t>
  </si>
  <si>
    <t>Columna788</t>
  </si>
  <si>
    <t>Columna789</t>
  </si>
  <si>
    <t>Columna790</t>
  </si>
  <si>
    <t>Columna791</t>
  </si>
  <si>
    <t>Columna792</t>
  </si>
  <si>
    <t>Columna793</t>
  </si>
  <si>
    <t>Columna794</t>
  </si>
  <si>
    <t>Columna795</t>
  </si>
  <si>
    <t>Columna796</t>
  </si>
  <si>
    <t>Columna797</t>
  </si>
  <si>
    <t>Columna798</t>
  </si>
  <si>
    <t>Columna799</t>
  </si>
  <si>
    <t>Columna800</t>
  </si>
  <si>
    <t>Columna801</t>
  </si>
  <si>
    <t>Columna802</t>
  </si>
  <si>
    <t>Columna803</t>
  </si>
  <si>
    <t>Columna804</t>
  </si>
  <si>
    <t>Columna805</t>
  </si>
  <si>
    <t>Columna806</t>
  </si>
  <si>
    <t>Columna807</t>
  </si>
  <si>
    <t>Columna808</t>
  </si>
  <si>
    <t>Columna809</t>
  </si>
  <si>
    <t>Columna810</t>
  </si>
  <si>
    <t>Columna811</t>
  </si>
  <si>
    <t>Columna812</t>
  </si>
  <si>
    <t>Columna813</t>
  </si>
  <si>
    <t>Columna814</t>
  </si>
  <si>
    <t>Columna815</t>
  </si>
  <si>
    <t>Columna816</t>
  </si>
  <si>
    <t>Columna817</t>
  </si>
  <si>
    <t>Columna818</t>
  </si>
  <si>
    <t>Columna819</t>
  </si>
  <si>
    <t>Columna820</t>
  </si>
  <si>
    <t>Columna821</t>
  </si>
  <si>
    <t>Columna822</t>
  </si>
  <si>
    <t>Columna823</t>
  </si>
  <si>
    <t>Columna824</t>
  </si>
  <si>
    <t>Columna825</t>
  </si>
  <si>
    <t>Columna826</t>
  </si>
  <si>
    <t>Columna827</t>
  </si>
  <si>
    <t>Columna828</t>
  </si>
  <si>
    <t>Columna829</t>
  </si>
  <si>
    <t>Columna830</t>
  </si>
  <si>
    <t>Columna831</t>
  </si>
  <si>
    <t>Columna832</t>
  </si>
  <si>
    <t>Columna833</t>
  </si>
  <si>
    <t>Columna834</t>
  </si>
  <si>
    <t>Columna835</t>
  </si>
  <si>
    <t>Columna836</t>
  </si>
  <si>
    <t>Columna837</t>
  </si>
  <si>
    <t>Columna838</t>
  </si>
  <si>
    <t>Columna839</t>
  </si>
  <si>
    <t>Columna840</t>
  </si>
  <si>
    <t>Columna841</t>
  </si>
  <si>
    <t>Columna842</t>
  </si>
  <si>
    <t>Columna843</t>
  </si>
  <si>
    <t>Columna844</t>
  </si>
  <si>
    <t>Columna845</t>
  </si>
  <si>
    <t>Columna846</t>
  </si>
  <si>
    <t>Columna847</t>
  </si>
  <si>
    <t>Columna848</t>
  </si>
  <si>
    <t>Columna849</t>
  </si>
  <si>
    <t>Columna850</t>
  </si>
  <si>
    <t>Columna851</t>
  </si>
  <si>
    <t>Columna852</t>
  </si>
  <si>
    <t>Columna853</t>
  </si>
  <si>
    <t>Columna854</t>
  </si>
  <si>
    <t>Columna855</t>
  </si>
  <si>
    <t>Columna856</t>
  </si>
  <si>
    <t>Columna857</t>
  </si>
  <si>
    <t>Columna858</t>
  </si>
  <si>
    <t>Columna859</t>
  </si>
  <si>
    <t>Columna860</t>
  </si>
  <si>
    <t>Columna861</t>
  </si>
  <si>
    <t>Columna862</t>
  </si>
  <si>
    <t>Columna863</t>
  </si>
  <si>
    <t>Columna864</t>
  </si>
  <si>
    <t>Columna865</t>
  </si>
  <si>
    <t>Columna866</t>
  </si>
  <si>
    <t>Columna867</t>
  </si>
  <si>
    <t>Columna868</t>
  </si>
  <si>
    <t>Columna869</t>
  </si>
  <si>
    <t>Columna870</t>
  </si>
  <si>
    <t>Columna871</t>
  </si>
  <si>
    <t>Columna872</t>
  </si>
  <si>
    <t>Columna873</t>
  </si>
  <si>
    <t>Columna874</t>
  </si>
  <si>
    <t>Columna875</t>
  </si>
  <si>
    <t>Columna876</t>
  </si>
  <si>
    <t>Columna877</t>
  </si>
  <si>
    <t>Columna878</t>
  </si>
  <si>
    <t>Columna879</t>
  </si>
  <si>
    <t>Columna880</t>
  </si>
  <si>
    <t>Columna881</t>
  </si>
  <si>
    <t>Columna882</t>
  </si>
  <si>
    <t>Columna883</t>
  </si>
  <si>
    <t>Columna884</t>
  </si>
  <si>
    <t>Columna885</t>
  </si>
  <si>
    <t>Columna886</t>
  </si>
  <si>
    <t>Columna887</t>
  </si>
  <si>
    <t>Columna888</t>
  </si>
  <si>
    <t>Columna889</t>
  </si>
  <si>
    <t>Columna890</t>
  </si>
  <si>
    <t>Columna891</t>
  </si>
  <si>
    <t>Columna892</t>
  </si>
  <si>
    <t>Columna893</t>
  </si>
  <si>
    <t>Columna894</t>
  </si>
  <si>
    <t>Columna895</t>
  </si>
  <si>
    <t>Columna896</t>
  </si>
  <si>
    <t>Columna897</t>
  </si>
  <si>
    <t>Columna898</t>
  </si>
  <si>
    <t>Columna899</t>
  </si>
  <si>
    <t>Columna900</t>
  </si>
  <si>
    <t>Columna901</t>
  </si>
  <si>
    <t>Columna902</t>
  </si>
  <si>
    <t>Columna903</t>
  </si>
  <si>
    <t>Columna904</t>
  </si>
  <si>
    <t>Columna905</t>
  </si>
  <si>
    <t>Columna906</t>
  </si>
  <si>
    <t>Columna907</t>
  </si>
  <si>
    <t>Columna908</t>
  </si>
  <si>
    <t>Columna909</t>
  </si>
  <si>
    <t>Columna910</t>
  </si>
  <si>
    <t>Columna911</t>
  </si>
  <si>
    <t>Columna912</t>
  </si>
  <si>
    <t>Columna913</t>
  </si>
  <si>
    <t>Columna914</t>
  </si>
  <si>
    <t>Columna915</t>
  </si>
  <si>
    <t>Columna916</t>
  </si>
  <si>
    <t>Columna917</t>
  </si>
  <si>
    <t>Columna918</t>
  </si>
  <si>
    <t>Columna919</t>
  </si>
  <si>
    <t>Columna920</t>
  </si>
  <si>
    <t>Columna921</t>
  </si>
  <si>
    <t>Columna922</t>
  </si>
  <si>
    <t>Columna923</t>
  </si>
  <si>
    <t>Columna924</t>
  </si>
  <si>
    <t>Columna925</t>
  </si>
  <si>
    <t>Columna926</t>
  </si>
  <si>
    <t>Columna927</t>
  </si>
  <si>
    <t>Columna928</t>
  </si>
  <si>
    <t>Columna929</t>
  </si>
  <si>
    <t>Columna930</t>
  </si>
  <si>
    <t>Columna931</t>
  </si>
  <si>
    <t>Columna932</t>
  </si>
  <si>
    <t>Columna933</t>
  </si>
  <si>
    <t>Columna934</t>
  </si>
  <si>
    <t>Columna935</t>
  </si>
  <si>
    <t>Columna936</t>
  </si>
  <si>
    <t>Columna937</t>
  </si>
  <si>
    <t>Columna938</t>
  </si>
  <si>
    <t>Columna939</t>
  </si>
  <si>
    <t>Columna940</t>
  </si>
  <si>
    <t>Columna941</t>
  </si>
  <si>
    <t>Columna942</t>
  </si>
  <si>
    <t>Columna943</t>
  </si>
  <si>
    <t>Columna944</t>
  </si>
  <si>
    <t>Columna945</t>
  </si>
  <si>
    <t>Columna946</t>
  </si>
  <si>
    <t>Columna947</t>
  </si>
  <si>
    <t>Columna948</t>
  </si>
  <si>
    <t>Columna949</t>
  </si>
  <si>
    <t>Columna950</t>
  </si>
  <si>
    <t>Columna951</t>
  </si>
  <si>
    <t>Columna952</t>
  </si>
  <si>
    <t>Columna953</t>
  </si>
  <si>
    <t>Columna954</t>
  </si>
  <si>
    <t>Columna955</t>
  </si>
  <si>
    <t>Columna956</t>
  </si>
  <si>
    <t>Columna957</t>
  </si>
  <si>
    <t>Columna958</t>
  </si>
  <si>
    <t>Columna959</t>
  </si>
  <si>
    <t>Columna960</t>
  </si>
  <si>
    <t>Columna961</t>
  </si>
  <si>
    <t>Columna962</t>
  </si>
  <si>
    <t>Columna963</t>
  </si>
  <si>
    <t>Columna964</t>
  </si>
  <si>
    <t>Columna965</t>
  </si>
  <si>
    <t>Columna966</t>
  </si>
  <si>
    <t>Columna967</t>
  </si>
  <si>
    <t>Columna968</t>
  </si>
  <si>
    <t>Columna969</t>
  </si>
  <si>
    <t>Columna970</t>
  </si>
  <si>
    <t>Columna971</t>
  </si>
  <si>
    <t>Columna972</t>
  </si>
  <si>
    <t>Columna973</t>
  </si>
  <si>
    <t>Columna974</t>
  </si>
  <si>
    <t>Columna975</t>
  </si>
  <si>
    <t>Columna976</t>
  </si>
  <si>
    <t>Columna977</t>
  </si>
  <si>
    <t>Columna978</t>
  </si>
  <si>
    <t>Columna979</t>
  </si>
  <si>
    <t>Columna980</t>
  </si>
  <si>
    <t>Columna981</t>
  </si>
  <si>
    <t>Columna982</t>
  </si>
  <si>
    <t>Columna983</t>
  </si>
  <si>
    <t>Columna984</t>
  </si>
  <si>
    <t>Columna985</t>
  </si>
  <si>
    <t>Columna986</t>
  </si>
  <si>
    <t>Columna987</t>
  </si>
  <si>
    <t>Columna988</t>
  </si>
  <si>
    <t>Columna989</t>
  </si>
  <si>
    <t>Columna990</t>
  </si>
  <si>
    <t>Columna991</t>
  </si>
  <si>
    <t>Columna992</t>
  </si>
  <si>
    <t>Columna993</t>
  </si>
  <si>
    <t>Columna994</t>
  </si>
  <si>
    <t>Columna995</t>
  </si>
  <si>
    <t>Columna996</t>
  </si>
  <si>
    <t>Columna997</t>
  </si>
  <si>
    <t>Columna998</t>
  </si>
  <si>
    <t>Columna999</t>
  </si>
  <si>
    <t>Columna1000</t>
  </si>
  <si>
    <t>Columna1001</t>
  </si>
  <si>
    <t>Columna1002</t>
  </si>
  <si>
    <t>Columna1003</t>
  </si>
  <si>
    <t>Columna1004</t>
  </si>
  <si>
    <t>Columna1005</t>
  </si>
  <si>
    <t>Columna1006</t>
  </si>
  <si>
    <t>Columna1007</t>
  </si>
  <si>
    <t>Columna1008</t>
  </si>
  <si>
    <t>Columna1009</t>
  </si>
  <si>
    <t>Columna1010</t>
  </si>
  <si>
    <t>Columna1011</t>
  </si>
  <si>
    <t>Columna1012</t>
  </si>
  <si>
    <t>Columna1013</t>
  </si>
  <si>
    <t>Columna1014</t>
  </si>
  <si>
    <t>Columna1015</t>
  </si>
  <si>
    <t>Columna1016</t>
  </si>
  <si>
    <t>Columna1017</t>
  </si>
  <si>
    <t>Columna1018</t>
  </si>
  <si>
    <t>Columna1019</t>
  </si>
  <si>
    <t>Columna1020</t>
  </si>
  <si>
    <t>Columna1021</t>
  </si>
  <si>
    <t>Columna1022</t>
  </si>
  <si>
    <t>Columna1023</t>
  </si>
  <si>
    <t>Columna1024</t>
  </si>
  <si>
    <t>Columna1025</t>
  </si>
  <si>
    <t>Columna1026</t>
  </si>
  <si>
    <t>Columna1027</t>
  </si>
  <si>
    <t>Columna1028</t>
  </si>
  <si>
    <t>Columna1029</t>
  </si>
  <si>
    <t>Columna1030</t>
  </si>
  <si>
    <t>Columna1031</t>
  </si>
  <si>
    <t>Columna1032</t>
  </si>
  <si>
    <t>Columna1033</t>
  </si>
  <si>
    <t>Columna1034</t>
  </si>
  <si>
    <t>Columna1035</t>
  </si>
  <si>
    <t>Columna1036</t>
  </si>
  <si>
    <t>Columna1037</t>
  </si>
  <si>
    <t>Columna1038</t>
  </si>
  <si>
    <t>Columna1039</t>
  </si>
  <si>
    <t>Columna1040</t>
  </si>
  <si>
    <t>Columna1041</t>
  </si>
  <si>
    <t>Columna1042</t>
  </si>
  <si>
    <t>Columna1043</t>
  </si>
  <si>
    <t>Columna1044</t>
  </si>
  <si>
    <t>Columna1045</t>
  </si>
  <si>
    <t>Columna1046</t>
  </si>
  <si>
    <t>Columna1047</t>
  </si>
  <si>
    <t>Columna1048</t>
  </si>
  <si>
    <t>Columna1049</t>
  </si>
  <si>
    <t>Columna1050</t>
  </si>
  <si>
    <t>Columna1051</t>
  </si>
  <si>
    <t>Columna1052</t>
  </si>
  <si>
    <t>Columna1053</t>
  </si>
  <si>
    <t>Columna1054</t>
  </si>
  <si>
    <t>Columna1055</t>
  </si>
  <si>
    <t>Columna1056</t>
  </si>
  <si>
    <t>Columna1057</t>
  </si>
  <si>
    <t>Columna1058</t>
  </si>
  <si>
    <t>Columna1059</t>
  </si>
  <si>
    <t>Columna1060</t>
  </si>
  <si>
    <t>Columna1061</t>
  </si>
  <si>
    <t>Columna1062</t>
  </si>
  <si>
    <t>Columna1063</t>
  </si>
  <si>
    <t>Columna1064</t>
  </si>
  <si>
    <t>Columna1065</t>
  </si>
  <si>
    <t>Columna1066</t>
  </si>
  <si>
    <t>Columna1067</t>
  </si>
  <si>
    <t>Columna1068</t>
  </si>
  <si>
    <t>Columna1069</t>
  </si>
  <si>
    <t>Columna1070</t>
  </si>
  <si>
    <t>Columna1071</t>
  </si>
  <si>
    <t>Columna1072</t>
  </si>
  <si>
    <t>Columna1073</t>
  </si>
  <si>
    <t>Columna1074</t>
  </si>
  <si>
    <t>Columna1075</t>
  </si>
  <si>
    <t>Columna1076</t>
  </si>
  <si>
    <t>Columna1077</t>
  </si>
  <si>
    <t>Columna1078</t>
  </si>
  <si>
    <t>Columna1079</t>
  </si>
  <si>
    <t>Columna1080</t>
  </si>
  <si>
    <t>Columna1081</t>
  </si>
  <si>
    <t>Columna1082</t>
  </si>
  <si>
    <t>Columna1083</t>
  </si>
  <si>
    <t>Columna1084</t>
  </si>
  <si>
    <t>Columna1085</t>
  </si>
  <si>
    <t>Columna1086</t>
  </si>
  <si>
    <t>Columna1087</t>
  </si>
  <si>
    <t>Columna1088</t>
  </si>
  <si>
    <t>Columna1089</t>
  </si>
  <si>
    <t>Columna1090</t>
  </si>
  <si>
    <t>Columna1091</t>
  </si>
  <si>
    <t>Columna1092</t>
  </si>
  <si>
    <t>Columna1093</t>
  </si>
  <si>
    <t>Columna1094</t>
  </si>
  <si>
    <t>Columna1095</t>
  </si>
  <si>
    <t>Columna1096</t>
  </si>
  <si>
    <t>Columna1097</t>
  </si>
  <si>
    <t>Columna1098</t>
  </si>
  <si>
    <t>Columna1099</t>
  </si>
  <si>
    <t>Columna1100</t>
  </si>
  <si>
    <t>Columna1101</t>
  </si>
  <si>
    <t>Columna1102</t>
  </si>
  <si>
    <t>Columna1103</t>
  </si>
  <si>
    <t>Columna1104</t>
  </si>
  <si>
    <t>Columna1105</t>
  </si>
  <si>
    <t>Columna1106</t>
  </si>
  <si>
    <t>Columna1107</t>
  </si>
  <si>
    <t>Columna1108</t>
  </si>
  <si>
    <t>Columna1109</t>
  </si>
  <si>
    <t>Columna1110</t>
  </si>
  <si>
    <t>Columna1111</t>
  </si>
  <si>
    <t>Columna1112</t>
  </si>
  <si>
    <t>Columna1113</t>
  </si>
  <si>
    <t>Columna1114</t>
  </si>
  <si>
    <t>Columna1115</t>
  </si>
  <si>
    <t>Columna1116</t>
  </si>
  <si>
    <t>Columna1117</t>
  </si>
  <si>
    <t>Columna1118</t>
  </si>
  <si>
    <t>Columna1119</t>
  </si>
  <si>
    <t>Columna1120</t>
  </si>
  <si>
    <t>Columna1121</t>
  </si>
  <si>
    <t>Columna1122</t>
  </si>
  <si>
    <t>Columna1123</t>
  </si>
  <si>
    <t>Columna1124</t>
  </si>
  <si>
    <t>Columna1125</t>
  </si>
  <si>
    <t>Columna1126</t>
  </si>
  <si>
    <t>Columna1127</t>
  </si>
  <si>
    <t>Columna1128</t>
  </si>
  <si>
    <t>Columna1129</t>
  </si>
  <si>
    <t>Columna1130</t>
  </si>
  <si>
    <t>Columna1131</t>
  </si>
  <si>
    <t>Columna1132</t>
  </si>
  <si>
    <t>Columna1133</t>
  </si>
  <si>
    <t>Columna1134</t>
  </si>
  <si>
    <t>Columna1135</t>
  </si>
  <si>
    <t>Columna1136</t>
  </si>
  <si>
    <t>Columna1137</t>
  </si>
  <si>
    <t>Columna1138</t>
  </si>
  <si>
    <t>Columna1139</t>
  </si>
  <si>
    <t>Columna1140</t>
  </si>
  <si>
    <t>Columna1141</t>
  </si>
  <si>
    <t>Columna1142</t>
  </si>
  <si>
    <t>Columna1143</t>
  </si>
  <si>
    <t>Columna1144</t>
  </si>
  <si>
    <t>Columna1145</t>
  </si>
  <si>
    <t>Columna1146</t>
  </si>
  <si>
    <t>Columna1147</t>
  </si>
  <si>
    <t>Columna1148</t>
  </si>
  <si>
    <t>Columna1149</t>
  </si>
  <si>
    <t>Columna1150</t>
  </si>
  <si>
    <t>Columna1151</t>
  </si>
  <si>
    <t>Columna1152</t>
  </si>
  <si>
    <t>Columna1153</t>
  </si>
  <si>
    <t>Columna1154</t>
  </si>
  <si>
    <t>Columna1155</t>
  </si>
  <si>
    <t>Columna1156</t>
  </si>
  <si>
    <t>Columna1157</t>
  </si>
  <si>
    <t>Columna1158</t>
  </si>
  <si>
    <t>Columna1159</t>
  </si>
  <si>
    <t>Columna1160</t>
  </si>
  <si>
    <t>Columna1161</t>
  </si>
  <si>
    <t>Columna1162</t>
  </si>
  <si>
    <t>Columna1163</t>
  </si>
  <si>
    <t>Columna1164</t>
  </si>
  <si>
    <t>Columna1165</t>
  </si>
  <si>
    <t>Columna1166</t>
  </si>
  <si>
    <t>Columna1167</t>
  </si>
  <si>
    <t>Columna1168</t>
  </si>
  <si>
    <t>Columna1169</t>
  </si>
  <si>
    <t>Columna1170</t>
  </si>
  <si>
    <t>Columna1171</t>
  </si>
  <si>
    <t>Columna1172</t>
  </si>
  <si>
    <t>Columna1173</t>
  </si>
  <si>
    <t>Columna1174</t>
  </si>
  <si>
    <t>Columna1175</t>
  </si>
  <si>
    <t>Columna1176</t>
  </si>
  <si>
    <t>Columna1177</t>
  </si>
  <si>
    <t>Columna1178</t>
  </si>
  <si>
    <t>Columna1179</t>
  </si>
  <si>
    <t>Columna1180</t>
  </si>
  <si>
    <t>Columna1181</t>
  </si>
  <si>
    <t>Columna1182</t>
  </si>
  <si>
    <t>Columna1183</t>
  </si>
  <si>
    <t>Columna1184</t>
  </si>
  <si>
    <t>Columna1185</t>
  </si>
  <si>
    <t>Columna1186</t>
  </si>
  <si>
    <t>Columna1187</t>
  </si>
  <si>
    <t>Columna1188</t>
  </si>
  <si>
    <t>Columna1189</t>
  </si>
  <si>
    <t>Columna1190</t>
  </si>
  <si>
    <t>Columna1191</t>
  </si>
  <si>
    <t>Columna1192</t>
  </si>
  <si>
    <t>Columna1193</t>
  </si>
  <si>
    <t>Columna1194</t>
  </si>
  <si>
    <t>Columna1195</t>
  </si>
  <si>
    <t>Columna1196</t>
  </si>
  <si>
    <t>Columna1197</t>
  </si>
  <si>
    <t>Columna1198</t>
  </si>
  <si>
    <t>Columna1199</t>
  </si>
  <si>
    <t>Columna1200</t>
  </si>
  <si>
    <t>Columna1201</t>
  </si>
  <si>
    <t>Columna1202</t>
  </si>
  <si>
    <t>Columna1203</t>
  </si>
  <si>
    <t>Columna1204</t>
  </si>
  <si>
    <t>Columna1205</t>
  </si>
  <si>
    <t>Columna1206</t>
  </si>
  <si>
    <t>Columna1207</t>
  </si>
  <si>
    <t>Columna1208</t>
  </si>
  <si>
    <t>Columna1209</t>
  </si>
  <si>
    <t>Columna1210</t>
  </si>
  <si>
    <t>Columna1211</t>
  </si>
  <si>
    <t>Columna1212</t>
  </si>
  <si>
    <t>Columna1213</t>
  </si>
  <si>
    <t>Columna1214</t>
  </si>
  <si>
    <t>Columna1215</t>
  </si>
  <si>
    <t>Columna1216</t>
  </si>
  <si>
    <t>Columna1217</t>
  </si>
  <si>
    <t>Columna1218</t>
  </si>
  <si>
    <t>Columna1219</t>
  </si>
  <si>
    <t>Columna1220</t>
  </si>
  <si>
    <t>Columna1221</t>
  </si>
  <si>
    <t>Columna1222</t>
  </si>
  <si>
    <t>Columna1223</t>
  </si>
  <si>
    <t>Columna1224</t>
  </si>
  <si>
    <t>Columna1225</t>
  </si>
  <si>
    <t>Columna1226</t>
  </si>
  <si>
    <t>Columna1227</t>
  </si>
  <si>
    <t>Columna1228</t>
  </si>
  <si>
    <t>Columna1229</t>
  </si>
  <si>
    <t>Columna1230</t>
  </si>
  <si>
    <t>Columna1231</t>
  </si>
  <si>
    <t>Columna1232</t>
  </si>
  <si>
    <t>Columna1233</t>
  </si>
  <si>
    <t>Columna1234</t>
  </si>
  <si>
    <t>Columna1235</t>
  </si>
  <si>
    <t>Columna1236</t>
  </si>
  <si>
    <t>Columna1237</t>
  </si>
  <si>
    <t>Columna1238</t>
  </si>
  <si>
    <t>Columna1239</t>
  </si>
  <si>
    <t>Columna1240</t>
  </si>
  <si>
    <t>Columna1241</t>
  </si>
  <si>
    <t>Columna1242</t>
  </si>
  <si>
    <t>Columna1243</t>
  </si>
  <si>
    <t>Columna1244</t>
  </si>
  <si>
    <t>Columna1245</t>
  </si>
  <si>
    <t>Columna1246</t>
  </si>
  <si>
    <t>Columna1247</t>
  </si>
  <si>
    <t>Columna1248</t>
  </si>
  <si>
    <t>Columna1249</t>
  </si>
  <si>
    <t>Columna1250</t>
  </si>
  <si>
    <t>Columna1251</t>
  </si>
  <si>
    <t>Columna1252</t>
  </si>
  <si>
    <t>Columna1253</t>
  </si>
  <si>
    <t>Columna1254</t>
  </si>
  <si>
    <t>Columna1255</t>
  </si>
  <si>
    <t>Columna1256</t>
  </si>
  <si>
    <t>Columna1257</t>
  </si>
  <si>
    <t>Columna1258</t>
  </si>
  <si>
    <t>Columna1259</t>
  </si>
  <si>
    <t>Columna1260</t>
  </si>
  <si>
    <t>Columna1261</t>
  </si>
  <si>
    <t>Columna1262</t>
  </si>
  <si>
    <t>Columna1263</t>
  </si>
  <si>
    <t>Columna1264</t>
  </si>
  <si>
    <t>Columna1265</t>
  </si>
  <si>
    <t>Columna1266</t>
  </si>
  <si>
    <t>Columna1267</t>
  </si>
  <si>
    <t>Columna1268</t>
  </si>
  <si>
    <t>Columna1269</t>
  </si>
  <si>
    <t>Columna1270</t>
  </si>
  <si>
    <t>Columna1271</t>
  </si>
  <si>
    <t>Columna1272</t>
  </si>
  <si>
    <t>Columna1273</t>
  </si>
  <si>
    <t>Columna1274</t>
  </si>
  <si>
    <t>Columna1275</t>
  </si>
  <si>
    <t>Columna1276</t>
  </si>
  <si>
    <t>Columna1277</t>
  </si>
  <si>
    <t>Columna1278</t>
  </si>
  <si>
    <t>Columna1279</t>
  </si>
  <si>
    <t>Columna1280</t>
  </si>
  <si>
    <t>Columna1281</t>
  </si>
  <si>
    <t>Columna1282</t>
  </si>
  <si>
    <t>Columna1283</t>
  </si>
  <si>
    <t>Columna1284</t>
  </si>
  <si>
    <t>Columna1285</t>
  </si>
  <si>
    <t>Columna1286</t>
  </si>
  <si>
    <t>Columna1287</t>
  </si>
  <si>
    <t>Columna1288</t>
  </si>
  <si>
    <t>Columna1289</t>
  </si>
  <si>
    <t>Columna1290</t>
  </si>
  <si>
    <t>Columna1291</t>
  </si>
  <si>
    <t>Columna1292</t>
  </si>
  <si>
    <t>Columna1293</t>
  </si>
  <si>
    <t>Columna1294</t>
  </si>
  <si>
    <t>Columna1295</t>
  </si>
  <si>
    <t>Columna1296</t>
  </si>
  <si>
    <t>Columna1297</t>
  </si>
  <si>
    <t>Columna1298</t>
  </si>
  <si>
    <t>Columna1299</t>
  </si>
  <si>
    <t>Columna1300</t>
  </si>
  <si>
    <t>Columna1301</t>
  </si>
  <si>
    <t>Columna1302</t>
  </si>
  <si>
    <t>Columna1303</t>
  </si>
  <si>
    <t>Columna1304</t>
  </si>
  <si>
    <t>Columna1305</t>
  </si>
  <si>
    <t>Columna1306</t>
  </si>
  <si>
    <t>Columna1307</t>
  </si>
  <si>
    <t>Columna1308</t>
  </si>
  <si>
    <t>Columna1309</t>
  </si>
  <si>
    <t>Columna1310</t>
  </si>
  <si>
    <t>Columna1311</t>
  </si>
  <si>
    <t>Columna1312</t>
  </si>
  <si>
    <t>Columna1313</t>
  </si>
  <si>
    <t>Columna1314</t>
  </si>
  <si>
    <t>Columna1315</t>
  </si>
  <si>
    <t>Columna1316</t>
  </si>
  <si>
    <t>Columna1317</t>
  </si>
  <si>
    <t>Columna1318</t>
  </si>
  <si>
    <t>Columna1319</t>
  </si>
  <si>
    <t>Columna1320</t>
  </si>
  <si>
    <t>Columna1321</t>
  </si>
  <si>
    <t>Columna1322</t>
  </si>
  <si>
    <t>Columna1323</t>
  </si>
  <si>
    <t>Columna1324</t>
  </si>
  <si>
    <t>Columna1325</t>
  </si>
  <si>
    <t>Columna1326</t>
  </si>
  <si>
    <t>Columna1327</t>
  </si>
  <si>
    <t>Columna1328</t>
  </si>
  <si>
    <t>Columna1329</t>
  </si>
  <si>
    <t>Columna1330</t>
  </si>
  <si>
    <t>Columna1331</t>
  </si>
  <si>
    <t>Columna1332</t>
  </si>
  <si>
    <t>Columna1333</t>
  </si>
  <si>
    <t>Columna1334</t>
  </si>
  <si>
    <t>Columna1335</t>
  </si>
  <si>
    <t>Columna1336</t>
  </si>
  <si>
    <t>Columna1337</t>
  </si>
  <si>
    <t>Columna1338</t>
  </si>
  <si>
    <t>Columna1339</t>
  </si>
  <si>
    <t>Columna1340</t>
  </si>
  <si>
    <t>Columna1341</t>
  </si>
  <si>
    <t>Columna1342</t>
  </si>
  <si>
    <t>Columna1343</t>
  </si>
  <si>
    <t>Columna1344</t>
  </si>
  <si>
    <t>Columna1345</t>
  </si>
  <si>
    <t>Columna1346</t>
  </si>
  <si>
    <t>Columna1347</t>
  </si>
  <si>
    <t>Columna1348</t>
  </si>
  <si>
    <t>Columna1349</t>
  </si>
  <si>
    <t>Columna1350</t>
  </si>
  <si>
    <t>Columna1351</t>
  </si>
  <si>
    <t>Columna1352</t>
  </si>
  <si>
    <t>Columna1353</t>
  </si>
  <si>
    <t>Columna1354</t>
  </si>
  <si>
    <t>Columna1355</t>
  </si>
  <si>
    <t>Columna1356</t>
  </si>
  <si>
    <t>Columna1357</t>
  </si>
  <si>
    <t>Columna1358</t>
  </si>
  <si>
    <t>Columna1359</t>
  </si>
  <si>
    <t>Columna1360</t>
  </si>
  <si>
    <t>Columna1361</t>
  </si>
  <si>
    <t>Columna1362</t>
  </si>
  <si>
    <t>Columna1363</t>
  </si>
  <si>
    <t>Columna1364</t>
  </si>
  <si>
    <t>Columna1365</t>
  </si>
  <si>
    <t>Columna1366</t>
  </si>
  <si>
    <t>Columna1367</t>
  </si>
  <si>
    <t>Columna1368</t>
  </si>
  <si>
    <t>Columna1369</t>
  </si>
  <si>
    <t>Columna1370</t>
  </si>
  <si>
    <t>Columna1371</t>
  </si>
  <si>
    <t>Columna1372</t>
  </si>
  <si>
    <t>Columna1373</t>
  </si>
  <si>
    <t>Columna1374</t>
  </si>
  <si>
    <t>Columna1375</t>
  </si>
  <si>
    <t>Columna1376</t>
  </si>
  <si>
    <t>Columna1377</t>
  </si>
  <si>
    <t>Columna1378</t>
  </si>
  <si>
    <t>Columna1379</t>
  </si>
  <si>
    <t>Columna1380</t>
  </si>
  <si>
    <t>Columna1381</t>
  </si>
  <si>
    <t>Columna1382</t>
  </si>
  <si>
    <t>Columna1383</t>
  </si>
  <si>
    <t>Columna1384</t>
  </si>
  <si>
    <t>Columna1385</t>
  </si>
  <si>
    <t>Columna1386</t>
  </si>
  <si>
    <t>Columna1387</t>
  </si>
  <si>
    <t>Columna1388</t>
  </si>
  <si>
    <t>Columna1389</t>
  </si>
  <si>
    <t>Columna1390</t>
  </si>
  <si>
    <t>Columna1391</t>
  </si>
  <si>
    <t>Columna1392</t>
  </si>
  <si>
    <t>Columna1393</t>
  </si>
  <si>
    <t>Columna1394</t>
  </si>
  <si>
    <t>Columna1395</t>
  </si>
  <si>
    <t>Columna1396</t>
  </si>
  <si>
    <t>Columna1397</t>
  </si>
  <si>
    <t>Columna1398</t>
  </si>
  <si>
    <t>Columna1399</t>
  </si>
  <si>
    <t>Columna1400</t>
  </si>
  <si>
    <t>Columna1401</t>
  </si>
  <si>
    <t>Columna1402</t>
  </si>
  <si>
    <t>Columna1403</t>
  </si>
  <si>
    <t>Columna1404</t>
  </si>
  <si>
    <t>Columna1405</t>
  </si>
  <si>
    <t>Columna1406</t>
  </si>
  <si>
    <t>Columna1407</t>
  </si>
  <si>
    <t>Columna1408</t>
  </si>
  <si>
    <t>Columna1409</t>
  </si>
  <si>
    <t>Columna1410</t>
  </si>
  <si>
    <t>Columna1411</t>
  </si>
  <si>
    <t>Columna1412</t>
  </si>
  <si>
    <t>Columna1413</t>
  </si>
  <si>
    <t>Columna1414</t>
  </si>
  <si>
    <t>Columna1415</t>
  </si>
  <si>
    <t>Columna1416</t>
  </si>
  <si>
    <t>Columna1417</t>
  </si>
  <si>
    <t>Columna1418</t>
  </si>
  <si>
    <t>Columna1419</t>
  </si>
  <si>
    <t>Columna1420</t>
  </si>
  <si>
    <t>Columna1421</t>
  </si>
  <si>
    <t>Columna1422</t>
  </si>
  <si>
    <t>Columna1423</t>
  </si>
  <si>
    <t>Columna1424</t>
  </si>
  <si>
    <t>Columna1425</t>
  </si>
  <si>
    <t>Columna1426</t>
  </si>
  <si>
    <t>Columna1427</t>
  </si>
  <si>
    <t>Columna1428</t>
  </si>
  <si>
    <t>Columna1429</t>
  </si>
  <si>
    <t>Columna1430</t>
  </si>
  <si>
    <t>Columna1431</t>
  </si>
  <si>
    <t>Columna1432</t>
  </si>
  <si>
    <t>Columna1433</t>
  </si>
  <si>
    <t>Columna1434</t>
  </si>
  <si>
    <t>Columna1435</t>
  </si>
  <si>
    <t>Columna1436</t>
  </si>
  <si>
    <t>Columna1437</t>
  </si>
  <si>
    <t>Columna1438</t>
  </si>
  <si>
    <t>Columna1439</t>
  </si>
  <si>
    <t>Columna1440</t>
  </si>
  <si>
    <t>Columna1441</t>
  </si>
  <si>
    <t>Columna1442</t>
  </si>
  <si>
    <t>Columna1443</t>
  </si>
  <si>
    <t>Columna1444</t>
  </si>
  <si>
    <t>Columna1445</t>
  </si>
  <si>
    <t>Columna1446</t>
  </si>
  <si>
    <t>Columna1447</t>
  </si>
  <si>
    <t>Columna1448</t>
  </si>
  <si>
    <t>Columna1449</t>
  </si>
  <si>
    <t>Columna1450</t>
  </si>
  <si>
    <t>Columna1451</t>
  </si>
  <si>
    <t>Columna1452</t>
  </si>
  <si>
    <t>Columna1453</t>
  </si>
  <si>
    <t>Columna1454</t>
  </si>
  <si>
    <t>Columna1455</t>
  </si>
  <si>
    <t>Columna1456</t>
  </si>
  <si>
    <t>Columna1457</t>
  </si>
  <si>
    <t>Columna1458</t>
  </si>
  <si>
    <t>Columna1459</t>
  </si>
  <si>
    <t>Columna1460</t>
  </si>
  <si>
    <t>Columna1461</t>
  </si>
  <si>
    <t>Columna1462</t>
  </si>
  <si>
    <t>Columna1463</t>
  </si>
  <si>
    <t>Columna1464</t>
  </si>
  <si>
    <t>Columna1465</t>
  </si>
  <si>
    <t>Columna1466</t>
  </si>
  <si>
    <t>Columna1467</t>
  </si>
  <si>
    <t>Columna1468</t>
  </si>
  <si>
    <t>Columna1469</t>
  </si>
  <si>
    <t>Columna1470</t>
  </si>
  <si>
    <t>Columna1471</t>
  </si>
  <si>
    <t>Columna1472</t>
  </si>
  <si>
    <t>Columna1473</t>
  </si>
  <si>
    <t>Columna1474</t>
  </si>
  <si>
    <t>Columna1475</t>
  </si>
  <si>
    <t>Columna1476</t>
  </si>
  <si>
    <t>Columna1477</t>
  </si>
  <si>
    <t>Columna1478</t>
  </si>
  <si>
    <t>Columna1479</t>
  </si>
  <si>
    <t>Columna1480</t>
  </si>
  <si>
    <t>Columna1481</t>
  </si>
  <si>
    <t>Columna1482</t>
  </si>
  <si>
    <t>Columna1483</t>
  </si>
  <si>
    <t>Columna1484</t>
  </si>
  <si>
    <t>Columna1485</t>
  </si>
  <si>
    <t>Columna1486</t>
  </si>
  <si>
    <t>Columna1487</t>
  </si>
  <si>
    <t>Columna1488</t>
  </si>
  <si>
    <t>Columna1489</t>
  </si>
  <si>
    <t>Columna1490</t>
  </si>
  <si>
    <t>Columna1491</t>
  </si>
  <si>
    <t>Columna1492</t>
  </si>
  <si>
    <t>Columna1493</t>
  </si>
  <si>
    <t>Columna1494</t>
  </si>
  <si>
    <t>Columna1495</t>
  </si>
  <si>
    <t>Columna1496</t>
  </si>
  <si>
    <t>Columna1497</t>
  </si>
  <si>
    <t>Columna1498</t>
  </si>
  <si>
    <t>Columna1499</t>
  </si>
  <si>
    <t>Columna1500</t>
  </si>
  <si>
    <t>Columna1501</t>
  </si>
  <si>
    <t>Columna1502</t>
  </si>
  <si>
    <t>Columna1503</t>
  </si>
  <si>
    <t>Columna1504</t>
  </si>
  <si>
    <t>Columna1505</t>
  </si>
  <si>
    <t>Columna1506</t>
  </si>
  <si>
    <t>Columna1507</t>
  </si>
  <si>
    <t>Columna1508</t>
  </si>
  <si>
    <t>Columna1509</t>
  </si>
  <si>
    <t>Columna1510</t>
  </si>
  <si>
    <t>Columna1511</t>
  </si>
  <si>
    <t>Columna1512</t>
  </si>
  <si>
    <t>Columna1513</t>
  </si>
  <si>
    <t>Columna1514</t>
  </si>
  <si>
    <t>Columna1515</t>
  </si>
  <si>
    <t>Columna1516</t>
  </si>
  <si>
    <t>Columna1517</t>
  </si>
  <si>
    <t>Columna1518</t>
  </si>
  <si>
    <t>Columna1519</t>
  </si>
  <si>
    <t>Columna1520</t>
  </si>
  <si>
    <t>Columna1521</t>
  </si>
  <si>
    <t>Columna1522</t>
  </si>
  <si>
    <t>Columna1523</t>
  </si>
  <si>
    <t>Columna1524</t>
  </si>
  <si>
    <t>Columna1525</t>
  </si>
  <si>
    <t>Columna1526</t>
  </si>
  <si>
    <t>Columna1527</t>
  </si>
  <si>
    <t>Columna1528</t>
  </si>
  <si>
    <t>Columna1529</t>
  </si>
  <si>
    <t>Columna1530</t>
  </si>
  <si>
    <t>Columna1531</t>
  </si>
  <si>
    <t>Columna1532</t>
  </si>
  <si>
    <t>Columna1533</t>
  </si>
  <si>
    <t>Columna1534</t>
  </si>
  <si>
    <t>Columna1535</t>
  </si>
  <si>
    <t>Columna1536</t>
  </si>
  <si>
    <t>Columna1537</t>
  </si>
  <si>
    <t>Columna1538</t>
  </si>
  <si>
    <t>Columna1539</t>
  </si>
  <si>
    <t>Columna1540</t>
  </si>
  <si>
    <t>Columna1541</t>
  </si>
  <si>
    <t>Columna1542</t>
  </si>
  <si>
    <t>Columna1543</t>
  </si>
  <si>
    <t>Columna1544</t>
  </si>
  <si>
    <t>Columna1545</t>
  </si>
  <si>
    <t>Columna1546</t>
  </si>
  <si>
    <t>Columna1547</t>
  </si>
  <si>
    <t>Columna1548</t>
  </si>
  <si>
    <t>Columna1549</t>
  </si>
  <si>
    <t>Columna1550</t>
  </si>
  <si>
    <t>Columna1551</t>
  </si>
  <si>
    <t>Columna1552</t>
  </si>
  <si>
    <t>Columna1553</t>
  </si>
  <si>
    <t>Columna1554</t>
  </si>
  <si>
    <t>Columna1555</t>
  </si>
  <si>
    <t>Columna1556</t>
  </si>
  <si>
    <t>Columna1557</t>
  </si>
  <si>
    <t>Columna1558</t>
  </si>
  <si>
    <t>Columna1559</t>
  </si>
  <si>
    <t>Columna1560</t>
  </si>
  <si>
    <t>Columna1561</t>
  </si>
  <si>
    <t>Columna1562</t>
  </si>
  <si>
    <t>Columna1563</t>
  </si>
  <si>
    <t>Columna1564</t>
  </si>
  <si>
    <t>Columna1565</t>
  </si>
  <si>
    <t>Columna1566</t>
  </si>
  <si>
    <t>Columna1567</t>
  </si>
  <si>
    <t>Columna1568</t>
  </si>
  <si>
    <t>Columna1569</t>
  </si>
  <si>
    <t>Columna1570</t>
  </si>
  <si>
    <t>Columna1571</t>
  </si>
  <si>
    <t>Columna1572</t>
  </si>
  <si>
    <t>Columna1573</t>
  </si>
  <si>
    <t>Columna1574</t>
  </si>
  <si>
    <t>Columna1575</t>
  </si>
  <si>
    <t>Columna1576</t>
  </si>
  <si>
    <t>Columna1577</t>
  </si>
  <si>
    <t>Columna1578</t>
  </si>
  <si>
    <t>Columna1579</t>
  </si>
  <si>
    <t>Columna1580</t>
  </si>
  <si>
    <t>Columna1581</t>
  </si>
  <si>
    <t>Columna1582</t>
  </si>
  <si>
    <t>Columna1583</t>
  </si>
  <si>
    <t>Columna1584</t>
  </si>
  <si>
    <t>Columna1585</t>
  </si>
  <si>
    <t>Columna1586</t>
  </si>
  <si>
    <t>Columna1587</t>
  </si>
  <si>
    <t>Columna1588</t>
  </si>
  <si>
    <t>Columna1589</t>
  </si>
  <si>
    <t>Columna1590</t>
  </si>
  <si>
    <t>Columna1591</t>
  </si>
  <si>
    <t>Columna1592</t>
  </si>
  <si>
    <t>Columna1593</t>
  </si>
  <si>
    <t>Columna1594</t>
  </si>
  <si>
    <t>Columna1595</t>
  </si>
  <si>
    <t>Columna1596</t>
  </si>
  <si>
    <t>Columna1597</t>
  </si>
  <si>
    <t>Columna1598</t>
  </si>
  <si>
    <t>Columna1599</t>
  </si>
  <si>
    <t>Columna1600</t>
  </si>
  <si>
    <t>Columna1601</t>
  </si>
  <si>
    <t>Columna1602</t>
  </si>
  <si>
    <t>Columna1603</t>
  </si>
  <si>
    <t>Columna1604</t>
  </si>
  <si>
    <t>Columna1605</t>
  </si>
  <si>
    <t>Columna1606</t>
  </si>
  <si>
    <t>Columna1607</t>
  </si>
  <si>
    <t>Columna1608</t>
  </si>
  <si>
    <t>Columna1609</t>
  </si>
  <si>
    <t>Columna1610</t>
  </si>
  <si>
    <t>Columna1611</t>
  </si>
  <si>
    <t>Columna1612</t>
  </si>
  <si>
    <t>Columna1613</t>
  </si>
  <si>
    <t>Columna1614</t>
  </si>
  <si>
    <t>Columna1615</t>
  </si>
  <si>
    <t>Columna1616</t>
  </si>
  <si>
    <t>Columna1617</t>
  </si>
  <si>
    <t>Columna1618</t>
  </si>
  <si>
    <t>Columna1619</t>
  </si>
  <si>
    <t>Columna1620</t>
  </si>
  <si>
    <t>Columna1621</t>
  </si>
  <si>
    <t>Columna1622</t>
  </si>
  <si>
    <t>Columna1623</t>
  </si>
  <si>
    <t>Columna1624</t>
  </si>
  <si>
    <t>Columna1625</t>
  </si>
  <si>
    <t>Columna1626</t>
  </si>
  <si>
    <t>Columna1627</t>
  </si>
  <si>
    <t>Columna1628</t>
  </si>
  <si>
    <t>Columna1629</t>
  </si>
  <si>
    <t>Columna1630</t>
  </si>
  <si>
    <t>Columna1631</t>
  </si>
  <si>
    <t>Columna1632</t>
  </si>
  <si>
    <t>Columna1633</t>
  </si>
  <si>
    <t>Columna1634</t>
  </si>
  <si>
    <t>Columna1635</t>
  </si>
  <si>
    <t>Columna1636</t>
  </si>
  <si>
    <t>Columna1637</t>
  </si>
  <si>
    <t>Columna1638</t>
  </si>
  <si>
    <t>Columna1639</t>
  </si>
  <si>
    <t>Columna1640</t>
  </si>
  <si>
    <t>Columna1641</t>
  </si>
  <si>
    <t>Columna1642</t>
  </si>
  <si>
    <t>Columna1643</t>
  </si>
  <si>
    <t>Columna1644</t>
  </si>
  <si>
    <t>Columna1645</t>
  </si>
  <si>
    <t>Columna1646</t>
  </si>
  <si>
    <t>Columna1647</t>
  </si>
  <si>
    <t>Columna1648</t>
  </si>
  <si>
    <t>Columna1649</t>
  </si>
  <si>
    <t>Columna1650</t>
  </si>
  <si>
    <t>Columna1651</t>
  </si>
  <si>
    <t>Columna1652</t>
  </si>
  <si>
    <t>Columna1653</t>
  </si>
  <si>
    <t>Columna1654</t>
  </si>
  <si>
    <t>Columna1655</t>
  </si>
  <si>
    <t>Columna1656</t>
  </si>
  <si>
    <t>Columna1657</t>
  </si>
  <si>
    <t>Columna1658</t>
  </si>
  <si>
    <t>Columna1659</t>
  </si>
  <si>
    <t>Columna1660</t>
  </si>
  <si>
    <t>Columna1661</t>
  </si>
  <si>
    <t>Columna1662</t>
  </si>
  <si>
    <t>Columna1663</t>
  </si>
  <si>
    <t>Columna1664</t>
  </si>
  <si>
    <t>Columna1665</t>
  </si>
  <si>
    <t>Columna1666</t>
  </si>
  <si>
    <t>Columna1667</t>
  </si>
  <si>
    <t>Columna1668</t>
  </si>
  <si>
    <t>Columna1669</t>
  </si>
  <si>
    <t>Columna1670</t>
  </si>
  <si>
    <t>Columna1671</t>
  </si>
  <si>
    <t>Columna1672</t>
  </si>
  <si>
    <t>Columna1673</t>
  </si>
  <si>
    <t>Columna1674</t>
  </si>
  <si>
    <t>Columna1675</t>
  </si>
  <si>
    <t>Columna1676</t>
  </si>
  <si>
    <t>Columna1677</t>
  </si>
  <si>
    <t>Columna1678</t>
  </si>
  <si>
    <t>Columna1679</t>
  </si>
  <si>
    <t>Columna1680</t>
  </si>
  <si>
    <t>Columna1681</t>
  </si>
  <si>
    <t>Columna1682</t>
  </si>
  <si>
    <t>Columna1683</t>
  </si>
  <si>
    <t>Columna1684</t>
  </si>
  <si>
    <t>Columna1685</t>
  </si>
  <si>
    <t>Columna1686</t>
  </si>
  <si>
    <t>Columna1687</t>
  </si>
  <si>
    <t>Columna1688</t>
  </si>
  <si>
    <t>Columna1689</t>
  </si>
  <si>
    <t>Columna1690</t>
  </si>
  <si>
    <t>Columna1691</t>
  </si>
  <si>
    <t>Columna1692</t>
  </si>
  <si>
    <t>Columna1693</t>
  </si>
  <si>
    <t>Columna1694</t>
  </si>
  <si>
    <t>Columna1695</t>
  </si>
  <si>
    <t>Columna1696</t>
  </si>
  <si>
    <t>Columna1697</t>
  </si>
  <si>
    <t>Columna1698</t>
  </si>
  <si>
    <t>Columna1699</t>
  </si>
  <si>
    <t>Columna1700</t>
  </si>
  <si>
    <t>Columna1701</t>
  </si>
  <si>
    <t>Columna1702</t>
  </si>
  <si>
    <t>Columna1703</t>
  </si>
  <si>
    <t>Columna1704</t>
  </si>
  <si>
    <t>Columna1705</t>
  </si>
  <si>
    <t>Columna1706</t>
  </si>
  <si>
    <t>Columna1707</t>
  </si>
  <si>
    <t>Columna1708</t>
  </si>
  <si>
    <t>Columna1709</t>
  </si>
  <si>
    <t>Columna1710</t>
  </si>
  <si>
    <t>Columna1711</t>
  </si>
  <si>
    <t>Columna1712</t>
  </si>
  <si>
    <t>Columna1713</t>
  </si>
  <si>
    <t>Columna1714</t>
  </si>
  <si>
    <t>Columna1715</t>
  </si>
  <si>
    <t>Columna1716</t>
  </si>
  <si>
    <t>Columna1717</t>
  </si>
  <si>
    <t>Columna1718</t>
  </si>
  <si>
    <t>Columna1719</t>
  </si>
  <si>
    <t>Columna1720</t>
  </si>
  <si>
    <t>Columna1721</t>
  </si>
  <si>
    <t>Columna1722</t>
  </si>
  <si>
    <t>Columna1723</t>
  </si>
  <si>
    <t>Columna1724</t>
  </si>
  <si>
    <t>Columna1725</t>
  </si>
  <si>
    <t>Columna1726</t>
  </si>
  <si>
    <t>Columna1727</t>
  </si>
  <si>
    <t>Columna1728</t>
  </si>
  <si>
    <t>Columna1729</t>
  </si>
  <si>
    <t>Columna1730</t>
  </si>
  <si>
    <t>Columna1731</t>
  </si>
  <si>
    <t>Columna1732</t>
  </si>
  <si>
    <t>Columna1733</t>
  </si>
  <si>
    <t>Columna1734</t>
  </si>
  <si>
    <t>Columna1735</t>
  </si>
  <si>
    <t>Columna1736</t>
  </si>
  <si>
    <t>Columna1737</t>
  </si>
  <si>
    <t>Columna1738</t>
  </si>
  <si>
    <t>Columna1739</t>
  </si>
  <si>
    <t>Columna1740</t>
  </si>
  <si>
    <t>Columna1741</t>
  </si>
  <si>
    <t>Columna1742</t>
  </si>
  <si>
    <t>Columna1743</t>
  </si>
  <si>
    <t>Columna1744</t>
  </si>
  <si>
    <t>Columna1745</t>
  </si>
  <si>
    <t>Columna1746</t>
  </si>
  <si>
    <t>Columna1747</t>
  </si>
  <si>
    <t>Columna1748</t>
  </si>
  <si>
    <t>Columna1749</t>
  </si>
  <si>
    <t>Columna1750</t>
  </si>
  <si>
    <t>Columna1751</t>
  </si>
  <si>
    <t>Columna1752</t>
  </si>
  <si>
    <t>Columna1753</t>
  </si>
  <si>
    <t>Columna1754</t>
  </si>
  <si>
    <t>Columna1755</t>
  </si>
  <si>
    <t>Columna1756</t>
  </si>
  <si>
    <t>Columna1757</t>
  </si>
  <si>
    <t>Columna1758</t>
  </si>
  <si>
    <t>Columna1759</t>
  </si>
  <si>
    <t>Columna1760</t>
  </si>
  <si>
    <t>Columna1761</t>
  </si>
  <si>
    <t>Columna1762</t>
  </si>
  <si>
    <t>Columna1763</t>
  </si>
  <si>
    <t>Columna1764</t>
  </si>
  <si>
    <t>Columna1765</t>
  </si>
  <si>
    <t>Columna1766</t>
  </si>
  <si>
    <t>Columna1767</t>
  </si>
  <si>
    <t>Columna1768</t>
  </si>
  <si>
    <t>Columna1769</t>
  </si>
  <si>
    <t>Columna1770</t>
  </si>
  <si>
    <t>Columna1771</t>
  </si>
  <si>
    <t>Columna1772</t>
  </si>
  <si>
    <t>Columna1773</t>
  </si>
  <si>
    <t>Columna1774</t>
  </si>
  <si>
    <t>Columna1775</t>
  </si>
  <si>
    <t>Columna1776</t>
  </si>
  <si>
    <t>Columna1777</t>
  </si>
  <si>
    <t>Columna1778</t>
  </si>
  <si>
    <t>Columna1779</t>
  </si>
  <si>
    <t>Columna1780</t>
  </si>
  <si>
    <t>Columna1781</t>
  </si>
  <si>
    <t>Columna1782</t>
  </si>
  <si>
    <t>Columna1783</t>
  </si>
  <si>
    <t>Columna1784</t>
  </si>
  <si>
    <t>Columna1785</t>
  </si>
  <si>
    <t>Columna1786</t>
  </si>
  <si>
    <t>Columna1787</t>
  </si>
  <si>
    <t>Columna1788</t>
  </si>
  <si>
    <t>Columna1789</t>
  </si>
  <si>
    <t>Columna1790</t>
  </si>
  <si>
    <t>Columna1791</t>
  </si>
  <si>
    <t>Columna1792</t>
  </si>
  <si>
    <t>Columna1793</t>
  </si>
  <si>
    <t>Columna1794</t>
  </si>
  <si>
    <t>Columna1795</t>
  </si>
  <si>
    <t>Columna1796</t>
  </si>
  <si>
    <t>Columna1797</t>
  </si>
  <si>
    <t>Columna1798</t>
  </si>
  <si>
    <t>Columna1799</t>
  </si>
  <si>
    <t>Columna1800</t>
  </si>
  <si>
    <t>Columna1801</t>
  </si>
  <si>
    <t>Columna1802</t>
  </si>
  <si>
    <t>Columna1803</t>
  </si>
  <si>
    <t>Columna1804</t>
  </si>
  <si>
    <t>Columna1805</t>
  </si>
  <si>
    <t>Columna1806</t>
  </si>
  <si>
    <t>Columna1807</t>
  </si>
  <si>
    <t>Columna1808</t>
  </si>
  <si>
    <t>Columna1809</t>
  </si>
  <si>
    <t>Columna1810</t>
  </si>
  <si>
    <t>Columna1811</t>
  </si>
  <si>
    <t>Columna1812</t>
  </si>
  <si>
    <t>Columna1813</t>
  </si>
  <si>
    <t>Columna1814</t>
  </si>
  <si>
    <t>Columna1815</t>
  </si>
  <si>
    <t>Columna1816</t>
  </si>
  <si>
    <t>Columna1817</t>
  </si>
  <si>
    <t>Columna1818</t>
  </si>
  <si>
    <t>Columna1819</t>
  </si>
  <si>
    <t>Columna1820</t>
  </si>
  <si>
    <t>Columna1821</t>
  </si>
  <si>
    <t>Columna1822</t>
  </si>
  <si>
    <t>Columna1823</t>
  </si>
  <si>
    <t>Columna1824</t>
  </si>
  <si>
    <t>Columna1825</t>
  </si>
  <si>
    <t>Columna1826</t>
  </si>
  <si>
    <t>Columna1827</t>
  </si>
  <si>
    <t>Columna1828</t>
  </si>
  <si>
    <t>Columna1829</t>
  </si>
  <si>
    <t>Columna1830</t>
  </si>
  <si>
    <t>Columna1831</t>
  </si>
  <si>
    <t>Columna1832</t>
  </si>
  <si>
    <t>Columna1833</t>
  </si>
  <si>
    <t>Columna1834</t>
  </si>
  <si>
    <t>Columna1835</t>
  </si>
  <si>
    <t>Columna1836</t>
  </si>
  <si>
    <t>Columna1837</t>
  </si>
  <si>
    <t>Columna1838</t>
  </si>
  <si>
    <t>Columna1839</t>
  </si>
  <si>
    <t>Columna1840</t>
  </si>
  <si>
    <t>Columna1841</t>
  </si>
  <si>
    <t>Columna1842</t>
  </si>
  <si>
    <t>Columna1843</t>
  </si>
  <si>
    <t>Columna1844</t>
  </si>
  <si>
    <t>Columna1845</t>
  </si>
  <si>
    <t>Columna1846</t>
  </si>
  <si>
    <t>Columna1847</t>
  </si>
  <si>
    <t>Columna1848</t>
  </si>
  <si>
    <t>Columna1849</t>
  </si>
  <si>
    <t>Columna1850</t>
  </si>
  <si>
    <t>Columna1851</t>
  </si>
  <si>
    <t>Columna1852</t>
  </si>
  <si>
    <t>Columna1853</t>
  </si>
  <si>
    <t>Columna1854</t>
  </si>
  <si>
    <t>Columna1855</t>
  </si>
  <si>
    <t>Columna1856</t>
  </si>
  <si>
    <t>Columna1857</t>
  </si>
  <si>
    <t>Columna1858</t>
  </si>
  <si>
    <t>Columna1859</t>
  </si>
  <si>
    <t>Columna1860</t>
  </si>
  <si>
    <t>Columna1861</t>
  </si>
  <si>
    <t>Columna1862</t>
  </si>
  <si>
    <t>Columna1863</t>
  </si>
  <si>
    <t>Columna1864</t>
  </si>
  <si>
    <t>Columna1865</t>
  </si>
  <si>
    <t>Columna1866</t>
  </si>
  <si>
    <t>Columna1867</t>
  </si>
  <si>
    <t>Columna1868</t>
  </si>
  <si>
    <t>Columna1869</t>
  </si>
  <si>
    <t>Columna1870</t>
  </si>
  <si>
    <t>Columna1871</t>
  </si>
  <si>
    <t>Columna1872</t>
  </si>
  <si>
    <t>Columna1873</t>
  </si>
  <si>
    <t>Columna1874</t>
  </si>
  <si>
    <t>Columna1875</t>
  </si>
  <si>
    <t>Columna1876</t>
  </si>
  <si>
    <t>Columna1877</t>
  </si>
  <si>
    <t>Columna1878</t>
  </si>
  <si>
    <t>Columna1879</t>
  </si>
  <si>
    <t>Columna1880</t>
  </si>
  <si>
    <t>Columna1881</t>
  </si>
  <si>
    <t>Columna1882</t>
  </si>
  <si>
    <t>Columna1883</t>
  </si>
  <si>
    <t>Columna1884</t>
  </si>
  <si>
    <t>Columna1885</t>
  </si>
  <si>
    <t>Columna1886</t>
  </si>
  <si>
    <t>Columna1887</t>
  </si>
  <si>
    <t>Columna1888</t>
  </si>
  <si>
    <t>Columna1889</t>
  </si>
  <si>
    <t>Columna1890</t>
  </si>
  <si>
    <t>Columna1891</t>
  </si>
  <si>
    <t>Columna1892</t>
  </si>
  <si>
    <t>Columna1893</t>
  </si>
  <si>
    <t>Columna1894</t>
  </si>
  <si>
    <t>Columna1895</t>
  </si>
  <si>
    <t>Columna1896</t>
  </si>
  <si>
    <t>Columna1897</t>
  </si>
  <si>
    <t>Columna1898</t>
  </si>
  <si>
    <t>Columna1899</t>
  </si>
  <si>
    <t>Columna1900</t>
  </si>
  <si>
    <t>Columna1901</t>
  </si>
  <si>
    <t>Columna1902</t>
  </si>
  <si>
    <t>Columna1903</t>
  </si>
  <si>
    <t>Columna1904</t>
  </si>
  <si>
    <t>Columna1905</t>
  </si>
  <si>
    <t>Columna1906</t>
  </si>
  <si>
    <t>Columna1907</t>
  </si>
  <si>
    <t>Columna1908</t>
  </si>
  <si>
    <t>Columna1909</t>
  </si>
  <si>
    <t>Columna1910</t>
  </si>
  <si>
    <t>Columna1911</t>
  </si>
  <si>
    <t>Columna1912</t>
  </si>
  <si>
    <t>Columna1913</t>
  </si>
  <si>
    <t>Columna1914</t>
  </si>
  <si>
    <t>Columna1915</t>
  </si>
  <si>
    <t>Columna1916</t>
  </si>
  <si>
    <t>Columna1917</t>
  </si>
  <si>
    <t>Columna1918</t>
  </si>
  <si>
    <t>Columna1919</t>
  </si>
  <si>
    <t>Columna1920</t>
  </si>
  <si>
    <t>Columna1921</t>
  </si>
  <si>
    <t>Columna1922</t>
  </si>
  <si>
    <t>Columna1923</t>
  </si>
  <si>
    <t>Columna1924</t>
  </si>
  <si>
    <t>Columna1925</t>
  </si>
  <si>
    <t>Columna1926</t>
  </si>
  <si>
    <t>Columna1927</t>
  </si>
  <si>
    <t>Columna1928</t>
  </si>
  <si>
    <t>Columna1929</t>
  </si>
  <si>
    <t>Columna1930</t>
  </si>
  <si>
    <t>Columna1931</t>
  </si>
  <si>
    <t>Columna1932</t>
  </si>
  <si>
    <t>Columna1933</t>
  </si>
  <si>
    <t>Columna1934</t>
  </si>
  <si>
    <t>Columna1935</t>
  </si>
  <si>
    <t>Columna1936</t>
  </si>
  <si>
    <t>Columna1937</t>
  </si>
  <si>
    <t>Columna1938</t>
  </si>
  <si>
    <t>Columna1939</t>
  </si>
  <si>
    <t>Columna1940</t>
  </si>
  <si>
    <t>Columna1941</t>
  </si>
  <si>
    <t>Columna1942</t>
  </si>
  <si>
    <t>Columna1943</t>
  </si>
  <si>
    <t>Columna1944</t>
  </si>
  <si>
    <t>Columna1945</t>
  </si>
  <si>
    <t>Columna1946</t>
  </si>
  <si>
    <t>Columna1947</t>
  </si>
  <si>
    <t>Columna1948</t>
  </si>
  <si>
    <t>Columna1949</t>
  </si>
  <si>
    <t>Columna1950</t>
  </si>
  <si>
    <t>Columna1951</t>
  </si>
  <si>
    <t>Columna1952</t>
  </si>
  <si>
    <t>Columna1953</t>
  </si>
  <si>
    <t>Columna1954</t>
  </si>
  <si>
    <t>Columna1955</t>
  </si>
  <si>
    <t>Columna1956</t>
  </si>
  <si>
    <t>Columna1957</t>
  </si>
  <si>
    <t>Columna1958</t>
  </si>
  <si>
    <t>Columna1959</t>
  </si>
  <si>
    <t>Columna1960</t>
  </si>
  <si>
    <t>Columna1961</t>
  </si>
  <si>
    <t>Columna1962</t>
  </si>
  <si>
    <t>Columna1963</t>
  </si>
  <si>
    <t>Columna1964</t>
  </si>
  <si>
    <t>Columna1965</t>
  </si>
  <si>
    <t>Columna1966</t>
  </si>
  <si>
    <t>Columna1967</t>
  </si>
  <si>
    <t>Columna1968</t>
  </si>
  <si>
    <t>Columna1969</t>
  </si>
  <si>
    <t>Columna1970</t>
  </si>
  <si>
    <t>Columna1971</t>
  </si>
  <si>
    <t>Columna1972</t>
  </si>
  <si>
    <t>Columna1973</t>
  </si>
  <si>
    <t>Columna1974</t>
  </si>
  <si>
    <t>Columna1975</t>
  </si>
  <si>
    <t>Columna1976</t>
  </si>
  <si>
    <t>Columna1977</t>
  </si>
  <si>
    <t>Columna1978</t>
  </si>
  <si>
    <t>Columna1979</t>
  </si>
  <si>
    <t>Columna1980</t>
  </si>
  <si>
    <t>Columna1981</t>
  </si>
  <si>
    <t>Columna1982</t>
  </si>
  <si>
    <t>Columna1983</t>
  </si>
  <si>
    <t>Columna1984</t>
  </si>
  <si>
    <t>Columna1985</t>
  </si>
  <si>
    <t>Columna1986</t>
  </si>
  <si>
    <t>Columna1987</t>
  </si>
  <si>
    <t>Columna1988</t>
  </si>
  <si>
    <t>Columna1989</t>
  </si>
  <si>
    <t>Columna1990</t>
  </si>
  <si>
    <t>Columna1991</t>
  </si>
  <si>
    <t>Columna1992</t>
  </si>
  <si>
    <t>Columna1993</t>
  </si>
  <si>
    <t>Columna1994</t>
  </si>
  <si>
    <t>Columna1995</t>
  </si>
  <si>
    <t>Columna1996</t>
  </si>
  <si>
    <t>Columna1997</t>
  </si>
  <si>
    <t>Columna1998</t>
  </si>
  <si>
    <t>Columna1999</t>
  </si>
  <si>
    <t>Columna2000</t>
  </si>
  <si>
    <t>Columna2001</t>
  </si>
  <si>
    <t>Columna2002</t>
  </si>
  <si>
    <t>Columna2003</t>
  </si>
  <si>
    <t>Columna2004</t>
  </si>
  <si>
    <t>Columna2005</t>
  </si>
  <si>
    <t>Columna2006</t>
  </si>
  <si>
    <t>Columna2007</t>
  </si>
  <si>
    <t>Columna2008</t>
  </si>
  <si>
    <t>Columna2009</t>
  </si>
  <si>
    <t>Columna2010</t>
  </si>
  <si>
    <t>Columna2011</t>
  </si>
  <si>
    <t>Columna2012</t>
  </si>
  <si>
    <t>Columna2013</t>
  </si>
  <si>
    <t>Columna2014</t>
  </si>
  <si>
    <t>Columna2015</t>
  </si>
  <si>
    <t>Columna2016</t>
  </si>
  <si>
    <t>Columna2017</t>
  </si>
  <si>
    <t>Columna2018</t>
  </si>
  <si>
    <t>Columna2019</t>
  </si>
  <si>
    <t>Columna2020</t>
  </si>
  <si>
    <t>Columna2021</t>
  </si>
  <si>
    <t>Columna2022</t>
  </si>
  <si>
    <t>Columna2023</t>
  </si>
  <si>
    <t>Columna2024</t>
  </si>
  <si>
    <t>Columna2025</t>
  </si>
  <si>
    <t>Columna2026</t>
  </si>
  <si>
    <t>Columna2027</t>
  </si>
  <si>
    <t>Columna2028</t>
  </si>
  <si>
    <t>Columna2029</t>
  </si>
  <si>
    <t>Columna2030</t>
  </si>
  <si>
    <t>Columna2031</t>
  </si>
  <si>
    <t>Columna2032</t>
  </si>
  <si>
    <t>Columna2033</t>
  </si>
  <si>
    <t>Columna2034</t>
  </si>
  <si>
    <t>Columna2035</t>
  </si>
  <si>
    <t>Columna2036</t>
  </si>
  <si>
    <t>Columna2037</t>
  </si>
  <si>
    <t>Columna2038</t>
  </si>
  <si>
    <t>Columna2039</t>
  </si>
  <si>
    <t>Columna2040</t>
  </si>
  <si>
    <t>Columna2041</t>
  </si>
  <si>
    <t>Columna2042</t>
  </si>
  <si>
    <t>Columna2043</t>
  </si>
  <si>
    <t>Columna2044</t>
  </si>
  <si>
    <t>Columna2045</t>
  </si>
  <si>
    <t>Columna2046</t>
  </si>
  <si>
    <t>Columna2047</t>
  </si>
  <si>
    <t>Columna2048</t>
  </si>
  <si>
    <t>Columna2049</t>
  </si>
  <si>
    <t>Columna2050</t>
  </si>
  <si>
    <t>Columna2051</t>
  </si>
  <si>
    <t>Columna2052</t>
  </si>
  <si>
    <t>Columna2053</t>
  </si>
  <si>
    <t>Columna2054</t>
  </si>
  <si>
    <t>Columna2055</t>
  </si>
  <si>
    <t>Columna2056</t>
  </si>
  <si>
    <t>Columna2057</t>
  </si>
  <si>
    <t>Columna2058</t>
  </si>
  <si>
    <t>Columna2059</t>
  </si>
  <si>
    <t>Columna2060</t>
  </si>
  <si>
    <t>Columna2061</t>
  </si>
  <si>
    <t>Columna2062</t>
  </si>
  <si>
    <t>Columna2063</t>
  </si>
  <si>
    <t>Columna2064</t>
  </si>
  <si>
    <t>Columna2065</t>
  </si>
  <si>
    <t>Columna2066</t>
  </si>
  <si>
    <t>Columna2067</t>
  </si>
  <si>
    <t>Columna2068</t>
  </si>
  <si>
    <t>Columna2069</t>
  </si>
  <si>
    <t>Columna2070</t>
  </si>
  <si>
    <t>Columna2071</t>
  </si>
  <si>
    <t>Columna2072</t>
  </si>
  <si>
    <t>Columna2073</t>
  </si>
  <si>
    <t>Columna2074</t>
  </si>
  <si>
    <t>Columna2075</t>
  </si>
  <si>
    <t>Columna2076</t>
  </si>
  <si>
    <t>Columna2077</t>
  </si>
  <si>
    <t>Columna2078</t>
  </si>
  <si>
    <t>Columna2079</t>
  </si>
  <si>
    <t>Columna2080</t>
  </si>
  <si>
    <t>Columna2081</t>
  </si>
  <si>
    <t>Columna2082</t>
  </si>
  <si>
    <t>Columna2083</t>
  </si>
  <si>
    <t>Columna2084</t>
  </si>
  <si>
    <t>Columna2085</t>
  </si>
  <si>
    <t>Columna2086</t>
  </si>
  <si>
    <t>Columna2087</t>
  </si>
  <si>
    <t>Columna2088</t>
  </si>
  <si>
    <t>Columna2089</t>
  </si>
  <si>
    <t>Columna2090</t>
  </si>
  <si>
    <t>Columna2091</t>
  </si>
  <si>
    <t>Columna2092</t>
  </si>
  <si>
    <t>Columna2093</t>
  </si>
  <si>
    <t>Columna2094</t>
  </si>
  <si>
    <t>Columna2095</t>
  </si>
  <si>
    <t>Columna2096</t>
  </si>
  <si>
    <t>Columna2097</t>
  </si>
  <si>
    <t>Columna2098</t>
  </si>
  <si>
    <t>Columna2099</t>
  </si>
  <si>
    <t>Columna2100</t>
  </si>
  <si>
    <t>Columna2101</t>
  </si>
  <si>
    <t>Columna2102</t>
  </si>
  <si>
    <t>Columna2103</t>
  </si>
  <si>
    <t>Columna2104</t>
  </si>
  <si>
    <t>Columna2105</t>
  </si>
  <si>
    <t>Columna2106</t>
  </si>
  <si>
    <t>Columna2107</t>
  </si>
  <si>
    <t>Columna2108</t>
  </si>
  <si>
    <t>Columna2109</t>
  </si>
  <si>
    <t>Columna2110</t>
  </si>
  <si>
    <t>Columna2111</t>
  </si>
  <si>
    <t>Columna2112</t>
  </si>
  <si>
    <t>Columna2113</t>
  </si>
  <si>
    <t>Columna2114</t>
  </si>
  <si>
    <t>Columna2115</t>
  </si>
  <si>
    <t>Columna2116</t>
  </si>
  <si>
    <t>Columna2117</t>
  </si>
  <si>
    <t>Columna2118</t>
  </si>
  <si>
    <t>Columna2119</t>
  </si>
  <si>
    <t>Columna2120</t>
  </si>
  <si>
    <t>Columna2121</t>
  </si>
  <si>
    <t>Columna2122</t>
  </si>
  <si>
    <t>Columna2123</t>
  </si>
  <si>
    <t>Columna2124</t>
  </si>
  <si>
    <t>Columna2125</t>
  </si>
  <si>
    <t>Columna2126</t>
  </si>
  <si>
    <t>Columna2127</t>
  </si>
  <si>
    <t>Columna2128</t>
  </si>
  <si>
    <t>Columna2129</t>
  </si>
  <si>
    <t>Columna2130</t>
  </si>
  <si>
    <t>Columna2131</t>
  </si>
  <si>
    <t>Columna2132</t>
  </si>
  <si>
    <t>Columna2133</t>
  </si>
  <si>
    <t>Columna2134</t>
  </si>
  <si>
    <t>Columna2135</t>
  </si>
  <si>
    <t>Columna2136</t>
  </si>
  <si>
    <t>Columna2137</t>
  </si>
  <si>
    <t>Columna2138</t>
  </si>
  <si>
    <t>Columna2139</t>
  </si>
  <si>
    <t>Columna2140</t>
  </si>
  <si>
    <t>Columna2141</t>
  </si>
  <si>
    <t>Columna2142</t>
  </si>
  <si>
    <t>Columna2143</t>
  </si>
  <si>
    <t>Columna2144</t>
  </si>
  <si>
    <t>Columna2145</t>
  </si>
  <si>
    <t>Columna2146</t>
  </si>
  <si>
    <t>Columna2147</t>
  </si>
  <si>
    <t>Columna2148</t>
  </si>
  <si>
    <t>Columna2149</t>
  </si>
  <si>
    <t>Columna2150</t>
  </si>
  <si>
    <t>Columna2151</t>
  </si>
  <si>
    <t>Columna2152</t>
  </si>
  <si>
    <t>Columna2153</t>
  </si>
  <si>
    <t>Columna2154</t>
  </si>
  <si>
    <t>Columna2155</t>
  </si>
  <si>
    <t>Columna2156</t>
  </si>
  <si>
    <t>Columna2157</t>
  </si>
  <si>
    <t>Columna2158</t>
  </si>
  <si>
    <t>Columna2159</t>
  </si>
  <si>
    <t>Columna2160</t>
  </si>
  <si>
    <t>Columna2161</t>
  </si>
  <si>
    <t>Columna2162</t>
  </si>
  <si>
    <t>Columna2163</t>
  </si>
  <si>
    <t>Columna2164</t>
  </si>
  <si>
    <t>Columna2165</t>
  </si>
  <si>
    <t>Columna2166</t>
  </si>
  <si>
    <t>Columna2167</t>
  </si>
  <si>
    <t>Columna2168</t>
  </si>
  <si>
    <t>Columna2169</t>
  </si>
  <si>
    <t>Columna2170</t>
  </si>
  <si>
    <t>Columna2171</t>
  </si>
  <si>
    <t>Columna2172</t>
  </si>
  <si>
    <t>Columna2173</t>
  </si>
  <si>
    <t>Columna2174</t>
  </si>
  <si>
    <t>Columna2175</t>
  </si>
  <si>
    <t>Columna2176</t>
  </si>
  <si>
    <t>Columna2177</t>
  </si>
  <si>
    <t>Columna2178</t>
  </si>
  <si>
    <t>Columna2179</t>
  </si>
  <si>
    <t>Columna2180</t>
  </si>
  <si>
    <t>Columna2181</t>
  </si>
  <si>
    <t>Columna2182</t>
  </si>
  <si>
    <t>Columna2183</t>
  </si>
  <si>
    <t>Columna2184</t>
  </si>
  <si>
    <t>Columna2185</t>
  </si>
  <si>
    <t>Columna2186</t>
  </si>
  <si>
    <t>Columna2187</t>
  </si>
  <si>
    <t>Columna2188</t>
  </si>
  <si>
    <t>Columna2189</t>
  </si>
  <si>
    <t>Columna2190</t>
  </si>
  <si>
    <t>Columna2191</t>
  </si>
  <si>
    <t>Columna2192</t>
  </si>
  <si>
    <t>Columna2193</t>
  </si>
  <si>
    <t>Columna2194</t>
  </si>
  <si>
    <t>Columna2195</t>
  </si>
  <si>
    <t>Columna2196</t>
  </si>
  <si>
    <t>Columna2197</t>
  </si>
  <si>
    <t>Columna2198</t>
  </si>
  <si>
    <t>Columna2199</t>
  </si>
  <si>
    <t>Columna2200</t>
  </si>
  <si>
    <t>Columna2201</t>
  </si>
  <si>
    <t>Columna2202</t>
  </si>
  <si>
    <t>Columna2203</t>
  </si>
  <si>
    <t>Columna2204</t>
  </si>
  <si>
    <t>Columna2205</t>
  </si>
  <si>
    <t>Columna2206</t>
  </si>
  <si>
    <t>Columna2207</t>
  </si>
  <si>
    <t>Columna2208</t>
  </si>
  <si>
    <t>Columna2209</t>
  </si>
  <si>
    <t>Columna2210</t>
  </si>
  <si>
    <t>Columna2211</t>
  </si>
  <si>
    <t>Columna2212</t>
  </si>
  <si>
    <t>Columna2213</t>
  </si>
  <si>
    <t>Columna2214</t>
  </si>
  <si>
    <t>Columna2215</t>
  </si>
  <si>
    <t>Columna2216</t>
  </si>
  <si>
    <t>Columna2217</t>
  </si>
  <si>
    <t>Columna2218</t>
  </si>
  <si>
    <t>Columna2219</t>
  </si>
  <si>
    <t>Columna2220</t>
  </si>
  <si>
    <t>Columna2221</t>
  </si>
  <si>
    <t>Columna2222</t>
  </si>
  <si>
    <t>Columna2223</t>
  </si>
  <si>
    <t>Columna2224</t>
  </si>
  <si>
    <t>Columna2225</t>
  </si>
  <si>
    <t>Columna2226</t>
  </si>
  <si>
    <t>Columna2227</t>
  </si>
  <si>
    <t>Columna2228</t>
  </si>
  <si>
    <t>Columna2229</t>
  </si>
  <si>
    <t>Columna2230</t>
  </si>
  <si>
    <t>Columna2231</t>
  </si>
  <si>
    <t>Columna2232</t>
  </si>
  <si>
    <t>Columna2233</t>
  </si>
  <si>
    <t>Columna2234</t>
  </si>
  <si>
    <t>Columna2235</t>
  </si>
  <si>
    <t>Columna2236</t>
  </si>
  <si>
    <t>Columna2237</t>
  </si>
  <si>
    <t>Columna2238</t>
  </si>
  <si>
    <t>Columna2239</t>
  </si>
  <si>
    <t>Columna2240</t>
  </si>
  <si>
    <t>Columna2241</t>
  </si>
  <si>
    <t>Columna2242</t>
  </si>
  <si>
    <t>Columna2243</t>
  </si>
  <si>
    <t>Columna2244</t>
  </si>
  <si>
    <t>Columna2245</t>
  </si>
  <si>
    <t>Columna2246</t>
  </si>
  <si>
    <t>Columna2247</t>
  </si>
  <si>
    <t>Columna2248</t>
  </si>
  <si>
    <t>Columna2249</t>
  </si>
  <si>
    <t>Columna2250</t>
  </si>
  <si>
    <t>Columna2251</t>
  </si>
  <si>
    <t>Columna2252</t>
  </si>
  <si>
    <t>Columna2253</t>
  </si>
  <si>
    <t>Columna2254</t>
  </si>
  <si>
    <t>Columna2255</t>
  </si>
  <si>
    <t>Columna2256</t>
  </si>
  <si>
    <t>Columna2257</t>
  </si>
  <si>
    <t>Columna2258</t>
  </si>
  <si>
    <t>Columna2259</t>
  </si>
  <si>
    <t>Columna2260</t>
  </si>
  <si>
    <t>Columna2261</t>
  </si>
  <si>
    <t>Columna2262</t>
  </si>
  <si>
    <t>Columna2263</t>
  </si>
  <si>
    <t>Columna2264</t>
  </si>
  <si>
    <t>Columna2265</t>
  </si>
  <si>
    <t>Columna2266</t>
  </si>
  <si>
    <t>Columna2267</t>
  </si>
  <si>
    <t>Columna2268</t>
  </si>
  <si>
    <t>Columna2269</t>
  </si>
  <si>
    <t>Columna2270</t>
  </si>
  <si>
    <t>Columna2271</t>
  </si>
  <si>
    <t>Columna2272</t>
  </si>
  <si>
    <t>Columna2273</t>
  </si>
  <si>
    <t>Columna2274</t>
  </si>
  <si>
    <t>Columna2275</t>
  </si>
  <si>
    <t>Columna2276</t>
  </si>
  <si>
    <t>Columna2277</t>
  </si>
  <si>
    <t>Columna2278</t>
  </si>
  <si>
    <t>Columna2279</t>
  </si>
  <si>
    <t>Columna2280</t>
  </si>
  <si>
    <t>Columna2281</t>
  </si>
  <si>
    <t>Columna2282</t>
  </si>
  <si>
    <t>Columna2283</t>
  </si>
  <si>
    <t>Columna2284</t>
  </si>
  <si>
    <t>Columna2285</t>
  </si>
  <si>
    <t>Columna2286</t>
  </si>
  <si>
    <t>Columna2287</t>
  </si>
  <si>
    <t>Columna2288</t>
  </si>
  <si>
    <t>Columna2289</t>
  </si>
  <si>
    <t>Columna2290</t>
  </si>
  <si>
    <t>Columna2291</t>
  </si>
  <si>
    <t>Columna2292</t>
  </si>
  <si>
    <t>Columna2293</t>
  </si>
  <si>
    <t>Columna2294</t>
  </si>
  <si>
    <t>Columna2295</t>
  </si>
  <si>
    <t>Columna2296</t>
  </si>
  <si>
    <t>Columna2297</t>
  </si>
  <si>
    <t>Columna2298</t>
  </si>
  <si>
    <t>Columna2299</t>
  </si>
  <si>
    <t>Columna2300</t>
  </si>
  <si>
    <t>Columna2301</t>
  </si>
  <si>
    <t>Columna2302</t>
  </si>
  <si>
    <t>Columna2303</t>
  </si>
  <si>
    <t>Columna2304</t>
  </si>
  <si>
    <t>Columna2305</t>
  </si>
  <si>
    <t>Columna2306</t>
  </si>
  <si>
    <t>Columna2307</t>
  </si>
  <si>
    <t>Columna2308</t>
  </si>
  <si>
    <t>Columna2309</t>
  </si>
  <si>
    <t>Columna2310</t>
  </si>
  <si>
    <t>Columna2311</t>
  </si>
  <si>
    <t>Columna2312</t>
  </si>
  <si>
    <t>Columna2313</t>
  </si>
  <si>
    <t>Columna2314</t>
  </si>
  <si>
    <t>Columna2315</t>
  </si>
  <si>
    <t>Columna2316</t>
  </si>
  <si>
    <t>Columna2317</t>
  </si>
  <si>
    <t>Columna2318</t>
  </si>
  <si>
    <t>Columna2319</t>
  </si>
  <si>
    <t>Columna2320</t>
  </si>
  <si>
    <t>Columna2321</t>
  </si>
  <si>
    <t>Columna2322</t>
  </si>
  <si>
    <t>Columna2323</t>
  </si>
  <si>
    <t>Columna2324</t>
  </si>
  <si>
    <t>Columna2325</t>
  </si>
  <si>
    <t>Columna2326</t>
  </si>
  <si>
    <t>Columna2327</t>
  </si>
  <si>
    <t>Columna2328</t>
  </si>
  <si>
    <t>Columna2329</t>
  </si>
  <si>
    <t>Columna2330</t>
  </si>
  <si>
    <t>Columna2331</t>
  </si>
  <si>
    <t>Columna2332</t>
  </si>
  <si>
    <t>Columna2333</t>
  </si>
  <si>
    <t>Columna2334</t>
  </si>
  <si>
    <t>Columna2335</t>
  </si>
  <si>
    <t>Columna2336</t>
  </si>
  <si>
    <t>Columna2337</t>
  </si>
  <si>
    <t>Columna2338</t>
  </si>
  <si>
    <t>Columna2339</t>
  </si>
  <si>
    <t>Columna2340</t>
  </si>
  <si>
    <t>Columna2341</t>
  </si>
  <si>
    <t>Columna2342</t>
  </si>
  <si>
    <t>Columna2343</t>
  </si>
  <si>
    <t>Columna2344</t>
  </si>
  <si>
    <t>Columna2345</t>
  </si>
  <si>
    <t>Columna2346</t>
  </si>
  <si>
    <t>Columna2347</t>
  </si>
  <si>
    <t>Columna2348</t>
  </si>
  <si>
    <t>Columna2349</t>
  </si>
  <si>
    <t>Columna2350</t>
  </si>
  <si>
    <t>Columna2351</t>
  </si>
  <si>
    <t>Columna2352</t>
  </si>
  <si>
    <t>Columna2353</t>
  </si>
  <si>
    <t>Columna2354</t>
  </si>
  <si>
    <t>Columna2355</t>
  </si>
  <si>
    <t>Columna2356</t>
  </si>
  <si>
    <t>Columna2357</t>
  </si>
  <si>
    <t>Columna2358</t>
  </si>
  <si>
    <t>Columna2359</t>
  </si>
  <si>
    <t>Columna2360</t>
  </si>
  <si>
    <t>Columna2361</t>
  </si>
  <si>
    <t>Columna2362</t>
  </si>
  <si>
    <t>Columna2363</t>
  </si>
  <si>
    <t>Columna2364</t>
  </si>
  <si>
    <t>Columna2365</t>
  </si>
  <si>
    <t>Columna2366</t>
  </si>
  <si>
    <t>Columna2367</t>
  </si>
  <si>
    <t>Columna2368</t>
  </si>
  <si>
    <t>Columna2369</t>
  </si>
  <si>
    <t>Columna2370</t>
  </si>
  <si>
    <t>Columna2371</t>
  </si>
  <si>
    <t>Columna2372</t>
  </si>
  <si>
    <t>Columna2373</t>
  </si>
  <si>
    <t>Columna2374</t>
  </si>
  <si>
    <t>Columna2375</t>
  </si>
  <si>
    <t>Columna2376</t>
  </si>
  <si>
    <t>Columna2377</t>
  </si>
  <si>
    <t>Columna2378</t>
  </si>
  <si>
    <t>Columna2379</t>
  </si>
  <si>
    <t>Columna2380</t>
  </si>
  <si>
    <t>Columna2381</t>
  </si>
  <si>
    <t>Columna2382</t>
  </si>
  <si>
    <t>Columna2383</t>
  </si>
  <si>
    <t>Columna2384</t>
  </si>
  <si>
    <t>Columna2385</t>
  </si>
  <si>
    <t>Columna2386</t>
  </si>
  <si>
    <t>Columna2387</t>
  </si>
  <si>
    <t>Columna2388</t>
  </si>
  <si>
    <t>Columna2389</t>
  </si>
  <si>
    <t>Columna2390</t>
  </si>
  <si>
    <t>Columna2391</t>
  </si>
  <si>
    <t>Columna2392</t>
  </si>
  <si>
    <t>Columna2393</t>
  </si>
  <si>
    <t>Columna2394</t>
  </si>
  <si>
    <t>Columna2395</t>
  </si>
  <si>
    <t>Columna2396</t>
  </si>
  <si>
    <t>Columna2397</t>
  </si>
  <si>
    <t>Columna2398</t>
  </si>
  <si>
    <t>Columna2399</t>
  </si>
  <si>
    <t>Columna2400</t>
  </si>
  <si>
    <t>Columna2401</t>
  </si>
  <si>
    <t>Columna2402</t>
  </si>
  <si>
    <t>Columna2403</t>
  </si>
  <si>
    <t>Columna2404</t>
  </si>
  <si>
    <t>Columna2405</t>
  </si>
  <si>
    <t>Columna2406</t>
  </si>
  <si>
    <t>Columna2407</t>
  </si>
  <si>
    <t>Columna2408</t>
  </si>
  <si>
    <t>Columna2409</t>
  </si>
  <si>
    <t>Columna2410</t>
  </si>
  <si>
    <t>Columna2411</t>
  </si>
  <si>
    <t>Columna2412</t>
  </si>
  <si>
    <t>Columna2413</t>
  </si>
  <si>
    <t>Columna2414</t>
  </si>
  <si>
    <t>Columna2415</t>
  </si>
  <si>
    <t>Columna2416</t>
  </si>
  <si>
    <t>Columna2417</t>
  </si>
  <si>
    <t>Columna2418</t>
  </si>
  <si>
    <t>Columna2419</t>
  </si>
  <si>
    <t>Columna2420</t>
  </si>
  <si>
    <t>Columna2421</t>
  </si>
  <si>
    <t>Columna2422</t>
  </si>
  <si>
    <t>Columna2423</t>
  </si>
  <si>
    <t>Columna2424</t>
  </si>
  <si>
    <t>Columna2425</t>
  </si>
  <si>
    <t>Columna2426</t>
  </si>
  <si>
    <t>Columna2427</t>
  </si>
  <si>
    <t>Columna2428</t>
  </si>
  <si>
    <t>Columna2429</t>
  </si>
  <si>
    <t>Columna2430</t>
  </si>
  <si>
    <t>Columna2431</t>
  </si>
  <si>
    <t>Columna2432</t>
  </si>
  <si>
    <t>Columna2433</t>
  </si>
  <si>
    <t>Columna2434</t>
  </si>
  <si>
    <t>Columna2435</t>
  </si>
  <si>
    <t>Columna2436</t>
  </si>
  <si>
    <t>Columna2437</t>
  </si>
  <si>
    <t>Columna2438</t>
  </si>
  <si>
    <t>Columna2439</t>
  </si>
  <si>
    <t>Columna2440</t>
  </si>
  <si>
    <t>Columna2441</t>
  </si>
  <si>
    <t>Columna2442</t>
  </si>
  <si>
    <t>Columna2443</t>
  </si>
  <si>
    <t>Columna2444</t>
  </si>
  <si>
    <t>Columna2445</t>
  </si>
  <si>
    <t>Columna2446</t>
  </si>
  <si>
    <t>Columna2447</t>
  </si>
  <si>
    <t>Columna2448</t>
  </si>
  <si>
    <t>Columna2449</t>
  </si>
  <si>
    <t>Columna2450</t>
  </si>
  <si>
    <t>Columna2451</t>
  </si>
  <si>
    <t>Columna2452</t>
  </si>
  <si>
    <t>Columna2453</t>
  </si>
  <si>
    <t>Columna2454</t>
  </si>
  <si>
    <t>Columna2455</t>
  </si>
  <si>
    <t>Columna2456</t>
  </si>
  <si>
    <t>Columna2457</t>
  </si>
  <si>
    <t>Columna2458</t>
  </si>
  <si>
    <t>Columna2459</t>
  </si>
  <si>
    <t>Columna2460</t>
  </si>
  <si>
    <t>Columna2461</t>
  </si>
  <si>
    <t>Columna2462</t>
  </si>
  <si>
    <t>Columna2463</t>
  </si>
  <si>
    <t>Columna2464</t>
  </si>
  <si>
    <t>Columna2465</t>
  </si>
  <si>
    <t>Columna2466</t>
  </si>
  <si>
    <t>Columna2467</t>
  </si>
  <si>
    <t>Columna2468</t>
  </si>
  <si>
    <t>Columna2469</t>
  </si>
  <si>
    <t>Columna2470</t>
  </si>
  <si>
    <t>Columna2471</t>
  </si>
  <si>
    <t>Columna2472</t>
  </si>
  <si>
    <t>Columna2473</t>
  </si>
  <si>
    <t>Columna2474</t>
  </si>
  <si>
    <t>Columna2475</t>
  </si>
  <si>
    <t>Columna2476</t>
  </si>
  <si>
    <t>Columna2477</t>
  </si>
  <si>
    <t>Columna2478</t>
  </si>
  <si>
    <t>Columna2479</t>
  </si>
  <si>
    <t>Columna2480</t>
  </si>
  <si>
    <t>Columna2481</t>
  </si>
  <si>
    <t>Columna2482</t>
  </si>
  <si>
    <t>Columna2483</t>
  </si>
  <si>
    <t>Columna2484</t>
  </si>
  <si>
    <t>Columna2485</t>
  </si>
  <si>
    <t>Columna2486</t>
  </si>
  <si>
    <t>Columna2487</t>
  </si>
  <si>
    <t>Columna2488</t>
  </si>
  <si>
    <t>Columna2489</t>
  </si>
  <si>
    <t>Columna2490</t>
  </si>
  <si>
    <t>Columna2491</t>
  </si>
  <si>
    <t>Columna2492</t>
  </si>
  <si>
    <t>Columna2493</t>
  </si>
  <si>
    <t>Columna2494</t>
  </si>
  <si>
    <t>Columna2495</t>
  </si>
  <si>
    <t>Columna2496</t>
  </si>
  <si>
    <t>Columna2497</t>
  </si>
  <si>
    <t>Columna2498</t>
  </si>
  <si>
    <t>Columna2499</t>
  </si>
  <si>
    <t>Columna2500</t>
  </si>
  <si>
    <t>Columna2501</t>
  </si>
  <si>
    <t>Columna2502</t>
  </si>
  <si>
    <t>Columna2503</t>
  </si>
  <si>
    <t>Columna2504</t>
  </si>
  <si>
    <t>Columna2505</t>
  </si>
  <si>
    <t>Columna2506</t>
  </si>
  <si>
    <t>Columna2507</t>
  </si>
  <si>
    <t>Columna2508</t>
  </si>
  <si>
    <t>Columna2509</t>
  </si>
  <si>
    <t>Columna2510</t>
  </si>
  <si>
    <t>Columna2511</t>
  </si>
  <si>
    <t>Columna2512</t>
  </si>
  <si>
    <t>Columna2513</t>
  </si>
  <si>
    <t>Columna2514</t>
  </si>
  <si>
    <t>Columna2515</t>
  </si>
  <si>
    <t>Columna2516</t>
  </si>
  <si>
    <t>Columna2517</t>
  </si>
  <si>
    <t>Columna2518</t>
  </si>
  <si>
    <t>Columna2519</t>
  </si>
  <si>
    <t>Columna2520</t>
  </si>
  <si>
    <t>Columna2521</t>
  </si>
  <si>
    <t>Columna2522</t>
  </si>
  <si>
    <t>Columna2523</t>
  </si>
  <si>
    <t>Columna2524</t>
  </si>
  <si>
    <t>Columna2525</t>
  </si>
  <si>
    <t>Columna2526</t>
  </si>
  <si>
    <t>Columna2527</t>
  </si>
  <si>
    <t>Columna2528</t>
  </si>
  <si>
    <t>Columna2529</t>
  </si>
  <si>
    <t>Columna2530</t>
  </si>
  <si>
    <t>Columna2531</t>
  </si>
  <si>
    <t>Columna2532</t>
  </si>
  <si>
    <t>Columna2533</t>
  </si>
  <si>
    <t>Columna2534</t>
  </si>
  <si>
    <t>Columna2535</t>
  </si>
  <si>
    <t>Columna2536</t>
  </si>
  <si>
    <t>Columna2537</t>
  </si>
  <si>
    <t>Columna2538</t>
  </si>
  <si>
    <t>Columna2539</t>
  </si>
  <si>
    <t>Columna2540</t>
  </si>
  <si>
    <t>Columna2541</t>
  </si>
  <si>
    <t>Columna2542</t>
  </si>
  <si>
    <t>Columna2543</t>
  </si>
  <si>
    <t>Columna2544</t>
  </si>
  <si>
    <t>Columna2545</t>
  </si>
  <si>
    <t>Columna2546</t>
  </si>
  <si>
    <t>Columna2547</t>
  </si>
  <si>
    <t>Columna2548</t>
  </si>
  <si>
    <t>Columna2549</t>
  </si>
  <si>
    <t>Columna2550</t>
  </si>
  <si>
    <t>Columna2551</t>
  </si>
  <si>
    <t>Columna2552</t>
  </si>
  <si>
    <t>Columna2553</t>
  </si>
  <si>
    <t>Columna2554</t>
  </si>
  <si>
    <t>Columna2555</t>
  </si>
  <si>
    <t>Columna2556</t>
  </si>
  <si>
    <t>Columna2557</t>
  </si>
  <si>
    <t>Columna2558</t>
  </si>
  <si>
    <t>Columna2559</t>
  </si>
  <si>
    <t>Columna2560</t>
  </si>
  <si>
    <t>Columna2561</t>
  </si>
  <si>
    <t>Columna2562</t>
  </si>
  <si>
    <t>Columna2563</t>
  </si>
  <si>
    <t>Columna2564</t>
  </si>
  <si>
    <t>Columna2565</t>
  </si>
  <si>
    <t>Columna2566</t>
  </si>
  <si>
    <t>Columna2567</t>
  </si>
  <si>
    <t>Columna2568</t>
  </si>
  <si>
    <t>Columna2569</t>
  </si>
  <si>
    <t>Columna2570</t>
  </si>
  <si>
    <t>Columna2571</t>
  </si>
  <si>
    <t>Columna2572</t>
  </si>
  <si>
    <t>Columna2573</t>
  </si>
  <si>
    <t>Columna2574</t>
  </si>
  <si>
    <t>Columna2575</t>
  </si>
  <si>
    <t>Columna2576</t>
  </si>
  <si>
    <t>Columna2577</t>
  </si>
  <si>
    <t>Columna2578</t>
  </si>
  <si>
    <t>Columna2579</t>
  </si>
  <si>
    <t>Columna2580</t>
  </si>
  <si>
    <t>Columna2581</t>
  </si>
  <si>
    <t>Columna2582</t>
  </si>
  <si>
    <t>Columna2583</t>
  </si>
  <si>
    <t>Columna2584</t>
  </si>
  <si>
    <t>Columna2585</t>
  </si>
  <si>
    <t>Columna2586</t>
  </si>
  <si>
    <t>Columna2587</t>
  </si>
  <si>
    <t>Columna2588</t>
  </si>
  <si>
    <t>Columna2589</t>
  </si>
  <si>
    <t>Columna2590</t>
  </si>
  <si>
    <t>Columna2591</t>
  </si>
  <si>
    <t>Columna2592</t>
  </si>
  <si>
    <t>Columna2593</t>
  </si>
  <si>
    <t>Columna2594</t>
  </si>
  <si>
    <t>Columna2595</t>
  </si>
  <si>
    <t>Columna2596</t>
  </si>
  <si>
    <t>Columna2597</t>
  </si>
  <si>
    <t>Columna2598</t>
  </si>
  <si>
    <t>Columna2599</t>
  </si>
  <si>
    <t>Columna2600</t>
  </si>
  <si>
    <t>Columna2601</t>
  </si>
  <si>
    <t>Columna2602</t>
  </si>
  <si>
    <t>Columna2603</t>
  </si>
  <si>
    <t>Columna2604</t>
  </si>
  <si>
    <t>Columna2605</t>
  </si>
  <si>
    <t>Columna2606</t>
  </si>
  <si>
    <t>Columna2607</t>
  </si>
  <si>
    <t>Columna2608</t>
  </si>
  <si>
    <t>Columna2609</t>
  </si>
  <si>
    <t>Columna2610</t>
  </si>
  <si>
    <t>Columna2611</t>
  </si>
  <si>
    <t>Columna2612</t>
  </si>
  <si>
    <t>Columna2613</t>
  </si>
  <si>
    <t>Columna2614</t>
  </si>
  <si>
    <t>Columna2615</t>
  </si>
  <si>
    <t>Columna2616</t>
  </si>
  <si>
    <t>Columna2617</t>
  </si>
  <si>
    <t>Columna2618</t>
  </si>
  <si>
    <t>Columna2619</t>
  </si>
  <si>
    <t>Columna2620</t>
  </si>
  <si>
    <t>Columna2621</t>
  </si>
  <si>
    <t>Columna2622</t>
  </si>
  <si>
    <t>Columna2623</t>
  </si>
  <si>
    <t>Columna2624</t>
  </si>
  <si>
    <t>Columna2625</t>
  </si>
  <si>
    <t>Columna2626</t>
  </si>
  <si>
    <t>Columna2627</t>
  </si>
  <si>
    <t>Columna2628</t>
  </si>
  <si>
    <t>Columna2629</t>
  </si>
  <si>
    <t>Columna2630</t>
  </si>
  <si>
    <t>Columna2631</t>
  </si>
  <si>
    <t>Columna2632</t>
  </si>
  <si>
    <t>Columna2633</t>
  </si>
  <si>
    <t>Columna2634</t>
  </si>
  <si>
    <t>Columna2635</t>
  </si>
  <si>
    <t>Columna2636</t>
  </si>
  <si>
    <t>Columna2637</t>
  </si>
  <si>
    <t>Columna2638</t>
  </si>
  <si>
    <t>Columna2639</t>
  </si>
  <si>
    <t>Columna2640</t>
  </si>
  <si>
    <t>Columna2641</t>
  </si>
  <si>
    <t>Columna2642</t>
  </si>
  <si>
    <t>Columna2643</t>
  </si>
  <si>
    <t>Columna2644</t>
  </si>
  <si>
    <t>Columna2645</t>
  </si>
  <si>
    <t>Columna2646</t>
  </si>
  <si>
    <t>Columna2647</t>
  </si>
  <si>
    <t>Columna2648</t>
  </si>
  <si>
    <t>Columna2649</t>
  </si>
  <si>
    <t>Columna2650</t>
  </si>
  <si>
    <t>Columna2651</t>
  </si>
  <si>
    <t>Columna2652</t>
  </si>
  <si>
    <t>Columna2653</t>
  </si>
  <si>
    <t>Columna2654</t>
  </si>
  <si>
    <t>Columna2655</t>
  </si>
  <si>
    <t>Columna2656</t>
  </si>
  <si>
    <t>Columna2657</t>
  </si>
  <si>
    <t>Columna2658</t>
  </si>
  <si>
    <t>Columna2659</t>
  </si>
  <si>
    <t>Columna2660</t>
  </si>
  <si>
    <t>Columna2661</t>
  </si>
  <si>
    <t>Columna2662</t>
  </si>
  <si>
    <t>Columna2663</t>
  </si>
  <si>
    <t>Columna2664</t>
  </si>
  <si>
    <t>Columna2665</t>
  </si>
  <si>
    <t>Columna2666</t>
  </si>
  <si>
    <t>Columna2667</t>
  </si>
  <si>
    <t>Columna2668</t>
  </si>
  <si>
    <t>Columna2669</t>
  </si>
  <si>
    <t>Columna2670</t>
  </si>
  <si>
    <t>Columna2671</t>
  </si>
  <si>
    <t>Columna2672</t>
  </si>
  <si>
    <t>Columna2673</t>
  </si>
  <si>
    <t>Columna2674</t>
  </si>
  <si>
    <t>Columna2675</t>
  </si>
  <si>
    <t>Columna2676</t>
  </si>
  <si>
    <t>Columna2677</t>
  </si>
  <si>
    <t>Columna2678</t>
  </si>
  <si>
    <t>Columna2679</t>
  </si>
  <si>
    <t>Columna2680</t>
  </si>
  <si>
    <t>Columna2681</t>
  </si>
  <si>
    <t>Columna2682</t>
  </si>
  <si>
    <t>Columna2683</t>
  </si>
  <si>
    <t>Columna2684</t>
  </si>
  <si>
    <t>Columna2685</t>
  </si>
  <si>
    <t>Columna2686</t>
  </si>
  <si>
    <t>Columna2687</t>
  </si>
  <si>
    <t>Columna2688</t>
  </si>
  <si>
    <t>Columna2689</t>
  </si>
  <si>
    <t>Columna2690</t>
  </si>
  <si>
    <t>Columna2691</t>
  </si>
  <si>
    <t>Columna2692</t>
  </si>
  <si>
    <t>Columna2693</t>
  </si>
  <si>
    <t>Columna2694</t>
  </si>
  <si>
    <t>Columna2695</t>
  </si>
  <si>
    <t>Columna2696</t>
  </si>
  <si>
    <t>Columna2697</t>
  </si>
  <si>
    <t>Columna2698</t>
  </si>
  <si>
    <t>Columna2699</t>
  </si>
  <si>
    <t>Columna2700</t>
  </si>
  <si>
    <t>Columna2701</t>
  </si>
  <si>
    <t>Columna2702</t>
  </si>
  <si>
    <t>Columna2703</t>
  </si>
  <si>
    <t>Columna2704</t>
  </si>
  <si>
    <t>Columna2705</t>
  </si>
  <si>
    <t>Columna2706</t>
  </si>
  <si>
    <t>Columna2707</t>
  </si>
  <si>
    <t>Columna2708</t>
  </si>
  <si>
    <t>Columna2709</t>
  </si>
  <si>
    <t>Columna2710</t>
  </si>
  <si>
    <t>Columna2711</t>
  </si>
  <si>
    <t>Columna2712</t>
  </si>
  <si>
    <t>Columna2713</t>
  </si>
  <si>
    <t>Columna2714</t>
  </si>
  <si>
    <t>Columna2715</t>
  </si>
  <si>
    <t>Columna2716</t>
  </si>
  <si>
    <t>Columna2717</t>
  </si>
  <si>
    <t>Columna2718</t>
  </si>
  <si>
    <t>Columna2719</t>
  </si>
  <si>
    <t>Columna2720</t>
  </si>
  <si>
    <t>Columna2721</t>
  </si>
  <si>
    <t>Columna2722</t>
  </si>
  <si>
    <t>Columna2723</t>
  </si>
  <si>
    <t>Columna2724</t>
  </si>
  <si>
    <t>Columna2725</t>
  </si>
  <si>
    <t>Columna2726</t>
  </si>
  <si>
    <t>Columna2727</t>
  </si>
  <si>
    <t>Columna2728</t>
  </si>
  <si>
    <t>Columna2729</t>
  </si>
  <si>
    <t>Columna2730</t>
  </si>
  <si>
    <t>Columna2731</t>
  </si>
  <si>
    <t>Columna2732</t>
  </si>
  <si>
    <t>Columna2733</t>
  </si>
  <si>
    <t>Columna2734</t>
  </si>
  <si>
    <t>Columna2735</t>
  </si>
  <si>
    <t>Columna2736</t>
  </si>
  <si>
    <t>Columna2737</t>
  </si>
  <si>
    <t>Columna2738</t>
  </si>
  <si>
    <t>Columna2739</t>
  </si>
  <si>
    <t>Columna2740</t>
  </si>
  <si>
    <t>Columna2741</t>
  </si>
  <si>
    <t>Columna2742</t>
  </si>
  <si>
    <t>Columna2743</t>
  </si>
  <si>
    <t>Columna2744</t>
  </si>
  <si>
    <t>Columna2745</t>
  </si>
  <si>
    <t>Columna2746</t>
  </si>
  <si>
    <t>Columna2747</t>
  </si>
  <si>
    <t>Columna2748</t>
  </si>
  <si>
    <t>Columna2749</t>
  </si>
  <si>
    <t>Columna2750</t>
  </si>
  <si>
    <t>Columna2751</t>
  </si>
  <si>
    <t>Columna2752</t>
  </si>
  <si>
    <t>Columna2753</t>
  </si>
  <si>
    <t>Columna2754</t>
  </si>
  <si>
    <t>Columna2755</t>
  </si>
  <si>
    <t>Columna2756</t>
  </si>
  <si>
    <t>Columna2757</t>
  </si>
  <si>
    <t>Columna2758</t>
  </si>
  <si>
    <t>Columna2759</t>
  </si>
  <si>
    <t>Columna2760</t>
  </si>
  <si>
    <t>Columna2761</t>
  </si>
  <si>
    <t>Columna2762</t>
  </si>
  <si>
    <t>Columna2763</t>
  </si>
  <si>
    <t>Columna2764</t>
  </si>
  <si>
    <t>Columna2765</t>
  </si>
  <si>
    <t>Columna2766</t>
  </si>
  <si>
    <t>Columna2767</t>
  </si>
  <si>
    <t>Columna2768</t>
  </si>
  <si>
    <t>Columna2769</t>
  </si>
  <si>
    <t>Columna2770</t>
  </si>
  <si>
    <t>Columna2771</t>
  </si>
  <si>
    <t>Columna2772</t>
  </si>
  <si>
    <t>Columna2773</t>
  </si>
  <si>
    <t>Columna2774</t>
  </si>
  <si>
    <t>Columna2775</t>
  </si>
  <si>
    <t>Columna2776</t>
  </si>
  <si>
    <t>Columna2777</t>
  </si>
  <si>
    <t>Columna2778</t>
  </si>
  <si>
    <t>Columna2779</t>
  </si>
  <si>
    <t>Columna2780</t>
  </si>
  <si>
    <t>Columna2781</t>
  </si>
  <si>
    <t>Columna2782</t>
  </si>
  <si>
    <t>Columna2783</t>
  </si>
  <si>
    <t>Columna2784</t>
  </si>
  <si>
    <t>Columna2785</t>
  </si>
  <si>
    <t>Columna2786</t>
  </si>
  <si>
    <t>Columna2787</t>
  </si>
  <si>
    <t>Columna2788</t>
  </si>
  <si>
    <t>Columna2789</t>
  </si>
  <si>
    <t>Columna2790</t>
  </si>
  <si>
    <t>Columna2791</t>
  </si>
  <si>
    <t>Columna2792</t>
  </si>
  <si>
    <t>Columna2793</t>
  </si>
  <si>
    <t>Columna2794</t>
  </si>
  <si>
    <t>Columna2795</t>
  </si>
  <si>
    <t>Columna2796</t>
  </si>
  <si>
    <t>Columna2797</t>
  </si>
  <si>
    <t>Columna2798</t>
  </si>
  <si>
    <t>Columna2799</t>
  </si>
  <si>
    <t>Columna2800</t>
  </si>
  <si>
    <t>Columna2801</t>
  </si>
  <si>
    <t>Columna2802</t>
  </si>
  <si>
    <t>Columna2803</t>
  </si>
  <si>
    <t>Columna2804</t>
  </si>
  <si>
    <t>Columna2805</t>
  </si>
  <si>
    <t>Columna2806</t>
  </si>
  <si>
    <t>Columna2807</t>
  </si>
  <si>
    <t>Columna2808</t>
  </si>
  <si>
    <t>Columna2809</t>
  </si>
  <si>
    <t>Columna2810</t>
  </si>
  <si>
    <t>Columna2811</t>
  </si>
  <si>
    <t>Columna2812</t>
  </si>
  <si>
    <t>Columna2813</t>
  </si>
  <si>
    <t>Columna2814</t>
  </si>
  <si>
    <t>Columna2815</t>
  </si>
  <si>
    <t>Columna2816</t>
  </si>
  <si>
    <t>Columna2817</t>
  </si>
  <si>
    <t>Columna2818</t>
  </si>
  <si>
    <t>Columna2819</t>
  </si>
  <si>
    <t>Columna2820</t>
  </si>
  <si>
    <t>Columna2821</t>
  </si>
  <si>
    <t>Columna2822</t>
  </si>
  <si>
    <t>Columna2823</t>
  </si>
  <si>
    <t>Columna2824</t>
  </si>
  <si>
    <t>Columna2825</t>
  </si>
  <si>
    <t>Columna2826</t>
  </si>
  <si>
    <t>Columna2827</t>
  </si>
  <si>
    <t>Columna2828</t>
  </si>
  <si>
    <t>Columna2829</t>
  </si>
  <si>
    <t>Columna2830</t>
  </si>
  <si>
    <t>Columna2831</t>
  </si>
  <si>
    <t>Columna2832</t>
  </si>
  <si>
    <t>Columna2833</t>
  </si>
  <si>
    <t>Columna2834</t>
  </si>
  <si>
    <t>Columna2835</t>
  </si>
  <si>
    <t>Columna2836</t>
  </si>
  <si>
    <t>Columna2837</t>
  </si>
  <si>
    <t>Columna2838</t>
  </si>
  <si>
    <t>Columna2839</t>
  </si>
  <si>
    <t>Columna2840</t>
  </si>
  <si>
    <t>Columna2841</t>
  </si>
  <si>
    <t>Columna2842</t>
  </si>
  <si>
    <t>Columna2843</t>
  </si>
  <si>
    <t>Columna2844</t>
  </si>
  <si>
    <t>Columna2845</t>
  </si>
  <si>
    <t>Columna2846</t>
  </si>
  <si>
    <t>Columna2847</t>
  </si>
  <si>
    <t>Columna2848</t>
  </si>
  <si>
    <t>Columna2849</t>
  </si>
  <si>
    <t>Columna2850</t>
  </si>
  <si>
    <t>Columna2851</t>
  </si>
  <si>
    <t>Columna2852</t>
  </si>
  <si>
    <t>Columna2853</t>
  </si>
  <si>
    <t>Columna2854</t>
  </si>
  <si>
    <t>Columna2855</t>
  </si>
  <si>
    <t>Columna2856</t>
  </si>
  <si>
    <t>Columna2857</t>
  </si>
  <si>
    <t>Columna2858</t>
  </si>
  <si>
    <t>Columna2859</t>
  </si>
  <si>
    <t>Columna2860</t>
  </si>
  <si>
    <t>Columna2861</t>
  </si>
  <si>
    <t>Columna2862</t>
  </si>
  <si>
    <t>Columna2863</t>
  </si>
  <si>
    <t>Columna2864</t>
  </si>
  <si>
    <t>Columna2865</t>
  </si>
  <si>
    <t>Columna2866</t>
  </si>
  <si>
    <t>Columna2867</t>
  </si>
  <si>
    <t>Columna2868</t>
  </si>
  <si>
    <t>Columna2869</t>
  </si>
  <si>
    <t>Columna2870</t>
  </si>
  <si>
    <t>Columna2871</t>
  </si>
  <si>
    <t>Columna2872</t>
  </si>
  <si>
    <t>Columna2873</t>
  </si>
  <si>
    <t>Columna2874</t>
  </si>
  <si>
    <t>Columna2875</t>
  </si>
  <si>
    <t>Columna2876</t>
  </si>
  <si>
    <t>Columna2877</t>
  </si>
  <si>
    <t>Columna2878</t>
  </si>
  <si>
    <t>Columna2879</t>
  </si>
  <si>
    <t>Columna2880</t>
  </si>
  <si>
    <t>Columna2881</t>
  </si>
  <si>
    <t>Columna2882</t>
  </si>
  <si>
    <t>Columna2883</t>
  </si>
  <si>
    <t>Columna2884</t>
  </si>
  <si>
    <t>Columna2885</t>
  </si>
  <si>
    <t>Columna2886</t>
  </si>
  <si>
    <t>Columna2887</t>
  </si>
  <si>
    <t>Columna2888</t>
  </si>
  <si>
    <t>Columna2889</t>
  </si>
  <si>
    <t>Columna2890</t>
  </si>
  <si>
    <t>Columna2891</t>
  </si>
  <si>
    <t>Columna2892</t>
  </si>
  <si>
    <t>Columna2893</t>
  </si>
  <si>
    <t>Columna2894</t>
  </si>
  <si>
    <t>Columna2895</t>
  </si>
  <si>
    <t>Columna2896</t>
  </si>
  <si>
    <t>Columna2897</t>
  </si>
  <si>
    <t>Columna2898</t>
  </si>
  <si>
    <t>Columna2899</t>
  </si>
  <si>
    <t>Columna2900</t>
  </si>
  <si>
    <t>Columna2901</t>
  </si>
  <si>
    <t>Columna2902</t>
  </si>
  <si>
    <t>Columna2903</t>
  </si>
  <si>
    <t>Columna2904</t>
  </si>
  <si>
    <t>Columna2905</t>
  </si>
  <si>
    <t>Columna2906</t>
  </si>
  <si>
    <t>Columna2907</t>
  </si>
  <si>
    <t>Columna2908</t>
  </si>
  <si>
    <t>Columna2909</t>
  </si>
  <si>
    <t>Columna2910</t>
  </si>
  <si>
    <t>Columna2911</t>
  </si>
  <si>
    <t>Columna2912</t>
  </si>
  <si>
    <t>Columna2913</t>
  </si>
  <si>
    <t>Columna2914</t>
  </si>
  <si>
    <t>Columna2915</t>
  </si>
  <si>
    <t>Columna2916</t>
  </si>
  <si>
    <t>Columna2917</t>
  </si>
  <si>
    <t>Columna2918</t>
  </si>
  <si>
    <t>Columna2919</t>
  </si>
  <si>
    <t>Columna2920</t>
  </si>
  <si>
    <t>Columna2921</t>
  </si>
  <si>
    <t>Columna2922</t>
  </si>
  <si>
    <t>Columna2923</t>
  </si>
  <si>
    <t>Columna2924</t>
  </si>
  <si>
    <t>Columna2925</t>
  </si>
  <si>
    <t>Columna2926</t>
  </si>
  <si>
    <t>Columna2927</t>
  </si>
  <si>
    <t>Columna2928</t>
  </si>
  <si>
    <t>Columna2929</t>
  </si>
  <si>
    <t>Columna2930</t>
  </si>
  <si>
    <t>Columna2931</t>
  </si>
  <si>
    <t>Columna2932</t>
  </si>
  <si>
    <t>Columna2933</t>
  </si>
  <si>
    <t>Columna2934</t>
  </si>
  <si>
    <t>Columna2935</t>
  </si>
  <si>
    <t>Columna2936</t>
  </si>
  <si>
    <t>Columna2937</t>
  </si>
  <si>
    <t>Columna2938</t>
  </si>
  <si>
    <t>Columna2939</t>
  </si>
  <si>
    <t>Columna2940</t>
  </si>
  <si>
    <t>Columna2941</t>
  </si>
  <si>
    <t>Columna2942</t>
  </si>
  <si>
    <t>Columna2943</t>
  </si>
  <si>
    <t>Columna2944</t>
  </si>
  <si>
    <t>Columna2945</t>
  </si>
  <si>
    <t>Columna2946</t>
  </si>
  <si>
    <t>Columna2947</t>
  </si>
  <si>
    <t>Columna2948</t>
  </si>
  <si>
    <t>Columna2949</t>
  </si>
  <si>
    <t>Columna2950</t>
  </si>
  <si>
    <t>Columna2951</t>
  </si>
  <si>
    <t>Columna2952</t>
  </si>
  <si>
    <t>Columna2953</t>
  </si>
  <si>
    <t>Columna2954</t>
  </si>
  <si>
    <t>Columna2955</t>
  </si>
  <si>
    <t>Columna2956</t>
  </si>
  <si>
    <t>Columna2957</t>
  </si>
  <si>
    <t>Columna2958</t>
  </si>
  <si>
    <t>Columna2959</t>
  </si>
  <si>
    <t>Columna2960</t>
  </si>
  <si>
    <t>Columna2961</t>
  </si>
  <si>
    <t>Columna2962</t>
  </si>
  <si>
    <t>Columna2963</t>
  </si>
  <si>
    <t>Columna2964</t>
  </si>
  <si>
    <t>Columna2965</t>
  </si>
  <si>
    <t>Columna2966</t>
  </si>
  <si>
    <t>Columna2967</t>
  </si>
  <si>
    <t>Columna2968</t>
  </si>
  <si>
    <t>Columna2969</t>
  </si>
  <si>
    <t>Columna2970</t>
  </si>
  <si>
    <t>Columna2971</t>
  </si>
  <si>
    <t>Columna2972</t>
  </si>
  <si>
    <t>Columna2973</t>
  </si>
  <si>
    <t>Columna2974</t>
  </si>
  <si>
    <t>Columna2975</t>
  </si>
  <si>
    <t>Columna2976</t>
  </si>
  <si>
    <t>Columna2977</t>
  </si>
  <si>
    <t>Columna2978</t>
  </si>
  <si>
    <t>Columna2979</t>
  </si>
  <si>
    <t>Columna2980</t>
  </si>
  <si>
    <t>Columna2981</t>
  </si>
  <si>
    <t>Columna2982</t>
  </si>
  <si>
    <t>Columna2983</t>
  </si>
  <si>
    <t>Columna2984</t>
  </si>
  <si>
    <t>Columna2985</t>
  </si>
  <si>
    <t>Columna2986</t>
  </si>
  <si>
    <t>Columna2987</t>
  </si>
  <si>
    <t>Columna2988</t>
  </si>
  <si>
    <t>Columna2989</t>
  </si>
  <si>
    <t>Columna2990</t>
  </si>
  <si>
    <t>Columna2991</t>
  </si>
  <si>
    <t>Columna2992</t>
  </si>
  <si>
    <t>Columna2993</t>
  </si>
  <si>
    <t>Columna2994</t>
  </si>
  <si>
    <t>Columna2995</t>
  </si>
  <si>
    <t>Columna2996</t>
  </si>
  <si>
    <t>Columna2997</t>
  </si>
  <si>
    <t>Columna2998</t>
  </si>
  <si>
    <t>Columna2999</t>
  </si>
  <si>
    <t>Columna3000</t>
  </si>
  <si>
    <t>Columna3001</t>
  </si>
  <si>
    <t>Columna3002</t>
  </si>
  <si>
    <t>Columna3003</t>
  </si>
  <si>
    <t>Columna3004</t>
  </si>
  <si>
    <t>Columna3005</t>
  </si>
  <si>
    <t>Columna3006</t>
  </si>
  <si>
    <t>Columna3007</t>
  </si>
  <si>
    <t>Columna3008</t>
  </si>
  <si>
    <t>Columna3009</t>
  </si>
  <si>
    <t>Columna3010</t>
  </si>
  <si>
    <t>Columna3011</t>
  </si>
  <si>
    <t>Columna3012</t>
  </si>
  <si>
    <t>Columna3013</t>
  </si>
  <si>
    <t>Columna3014</t>
  </si>
  <si>
    <t>Columna3015</t>
  </si>
  <si>
    <t>Columna3016</t>
  </si>
  <si>
    <t>Columna3017</t>
  </si>
  <si>
    <t>Columna3018</t>
  </si>
  <si>
    <t>Columna3019</t>
  </si>
  <si>
    <t>Columna3020</t>
  </si>
  <si>
    <t>Columna3021</t>
  </si>
  <si>
    <t>Columna3022</t>
  </si>
  <si>
    <t>Columna3023</t>
  </si>
  <si>
    <t>Columna3024</t>
  </si>
  <si>
    <t>Columna3025</t>
  </si>
  <si>
    <t>Columna3026</t>
  </si>
  <si>
    <t>Columna3027</t>
  </si>
  <si>
    <t>Columna3028</t>
  </si>
  <si>
    <t>Columna3029</t>
  </si>
  <si>
    <t>Columna3030</t>
  </si>
  <si>
    <t>Columna3031</t>
  </si>
  <si>
    <t>Columna3032</t>
  </si>
  <si>
    <t>Columna3033</t>
  </si>
  <si>
    <t>Columna3034</t>
  </si>
  <si>
    <t>Columna3035</t>
  </si>
  <si>
    <t>Columna3036</t>
  </si>
  <si>
    <t>Columna3037</t>
  </si>
  <si>
    <t>Columna3038</t>
  </si>
  <si>
    <t>Columna3039</t>
  </si>
  <si>
    <t>Columna3040</t>
  </si>
  <si>
    <t>Columna3041</t>
  </si>
  <si>
    <t>Columna3042</t>
  </si>
  <si>
    <t>Columna3043</t>
  </si>
  <si>
    <t>Columna3044</t>
  </si>
  <si>
    <t>Columna3045</t>
  </si>
  <si>
    <t>Columna3046</t>
  </si>
  <si>
    <t>Columna3047</t>
  </si>
  <si>
    <t>Columna3048</t>
  </si>
  <si>
    <t>Columna3049</t>
  </si>
  <si>
    <t>Columna3050</t>
  </si>
  <si>
    <t>Columna3051</t>
  </si>
  <si>
    <t>Columna3052</t>
  </si>
  <si>
    <t>Columna3053</t>
  </si>
  <si>
    <t>Columna3054</t>
  </si>
  <si>
    <t>Columna3055</t>
  </si>
  <si>
    <t>Columna3056</t>
  </si>
  <si>
    <t>Columna3057</t>
  </si>
  <si>
    <t>Columna3058</t>
  </si>
  <si>
    <t>Columna3059</t>
  </si>
  <si>
    <t>Columna3060</t>
  </si>
  <si>
    <t>Columna3061</t>
  </si>
  <si>
    <t>Columna3062</t>
  </si>
  <si>
    <t>Columna3063</t>
  </si>
  <si>
    <t>Columna3064</t>
  </si>
  <si>
    <t>Columna3065</t>
  </si>
  <si>
    <t>Columna3066</t>
  </si>
  <si>
    <t>Columna3067</t>
  </si>
  <si>
    <t>Columna3068</t>
  </si>
  <si>
    <t>Columna3069</t>
  </si>
  <si>
    <t>Columna3070</t>
  </si>
  <si>
    <t>Columna3071</t>
  </si>
  <si>
    <t>Columna3072</t>
  </si>
  <si>
    <t>Columna3073</t>
  </si>
  <si>
    <t>Columna3074</t>
  </si>
  <si>
    <t>Columna3075</t>
  </si>
  <si>
    <t>Columna3076</t>
  </si>
  <si>
    <t>Columna3077</t>
  </si>
  <si>
    <t>Columna3078</t>
  </si>
  <si>
    <t>Columna3079</t>
  </si>
  <si>
    <t>Columna3080</t>
  </si>
  <si>
    <t>Columna3081</t>
  </si>
  <si>
    <t>Columna3082</t>
  </si>
  <si>
    <t>Columna3083</t>
  </si>
  <si>
    <t>Columna3084</t>
  </si>
  <si>
    <t>Columna3085</t>
  </si>
  <si>
    <t>Columna3086</t>
  </si>
  <si>
    <t>Columna3087</t>
  </si>
  <si>
    <t>Columna3088</t>
  </si>
  <si>
    <t>Columna3089</t>
  </si>
  <si>
    <t>Columna3090</t>
  </si>
  <si>
    <t>Columna3091</t>
  </si>
  <si>
    <t>Columna3092</t>
  </si>
  <si>
    <t>Columna3093</t>
  </si>
  <si>
    <t>Columna3094</t>
  </si>
  <si>
    <t>Columna3095</t>
  </si>
  <si>
    <t>Columna3096</t>
  </si>
  <si>
    <t>Columna3097</t>
  </si>
  <si>
    <t>Columna3098</t>
  </si>
  <si>
    <t>Columna3099</t>
  </si>
  <si>
    <t>Columna3100</t>
  </si>
  <si>
    <t>Columna3101</t>
  </si>
  <si>
    <t>Columna3102</t>
  </si>
  <si>
    <t>Columna3103</t>
  </si>
  <si>
    <t>Columna3104</t>
  </si>
  <si>
    <t>Columna3105</t>
  </si>
  <si>
    <t>Columna3106</t>
  </si>
  <si>
    <t>Columna3107</t>
  </si>
  <si>
    <t>Columna3108</t>
  </si>
  <si>
    <t>Columna3109</t>
  </si>
  <si>
    <t>Columna3110</t>
  </si>
  <si>
    <t>Columna3111</t>
  </si>
  <si>
    <t>Columna3112</t>
  </si>
  <si>
    <t>Columna3113</t>
  </si>
  <si>
    <t>Columna3114</t>
  </si>
  <si>
    <t>Columna3115</t>
  </si>
  <si>
    <t>Columna3116</t>
  </si>
  <si>
    <t>Columna3117</t>
  </si>
  <si>
    <t>Columna3118</t>
  </si>
  <si>
    <t>Columna3119</t>
  </si>
  <si>
    <t>Columna3120</t>
  </si>
  <si>
    <t>Columna3121</t>
  </si>
  <si>
    <t>Columna3122</t>
  </si>
  <si>
    <t>Columna3123</t>
  </si>
  <si>
    <t>Columna3124</t>
  </si>
  <si>
    <t>Columna3125</t>
  </si>
  <si>
    <t>Columna3126</t>
  </si>
  <si>
    <t>Columna3127</t>
  </si>
  <si>
    <t>Columna3128</t>
  </si>
  <si>
    <t>Columna3129</t>
  </si>
  <si>
    <t>Columna3130</t>
  </si>
  <si>
    <t>Columna3131</t>
  </si>
  <si>
    <t>Columna3132</t>
  </si>
  <si>
    <t>Columna3133</t>
  </si>
  <si>
    <t>Columna3134</t>
  </si>
  <si>
    <t>Columna3135</t>
  </si>
  <si>
    <t>Columna3136</t>
  </si>
  <si>
    <t>Columna3137</t>
  </si>
  <si>
    <t>Columna3138</t>
  </si>
  <si>
    <t>Columna3139</t>
  </si>
  <si>
    <t>Columna3140</t>
  </si>
  <si>
    <t>Columna3141</t>
  </si>
  <si>
    <t>Columna3142</t>
  </si>
  <si>
    <t>Columna3143</t>
  </si>
  <si>
    <t>Columna3144</t>
  </si>
  <si>
    <t>Columna3145</t>
  </si>
  <si>
    <t>Columna3146</t>
  </si>
  <si>
    <t>Columna3147</t>
  </si>
  <si>
    <t>Columna3148</t>
  </si>
  <si>
    <t>Columna3149</t>
  </si>
  <si>
    <t>Columna3150</t>
  </si>
  <si>
    <t>Columna3151</t>
  </si>
  <si>
    <t>Columna3152</t>
  </si>
  <si>
    <t>Columna3153</t>
  </si>
  <si>
    <t>Columna3154</t>
  </si>
  <si>
    <t>Columna3155</t>
  </si>
  <si>
    <t>Columna3156</t>
  </si>
  <si>
    <t>Columna3157</t>
  </si>
  <si>
    <t>Columna3158</t>
  </si>
  <si>
    <t>Columna3159</t>
  </si>
  <si>
    <t>Columna3160</t>
  </si>
  <si>
    <t>Columna3161</t>
  </si>
  <si>
    <t>Columna3162</t>
  </si>
  <si>
    <t>Columna3163</t>
  </si>
  <si>
    <t>Columna3164</t>
  </si>
  <si>
    <t>Columna3165</t>
  </si>
  <si>
    <t>Columna3166</t>
  </si>
  <si>
    <t>Columna3167</t>
  </si>
  <si>
    <t>Columna3168</t>
  </si>
  <si>
    <t>Columna3169</t>
  </si>
  <si>
    <t>Columna3170</t>
  </si>
  <si>
    <t>Columna3171</t>
  </si>
  <si>
    <t>Columna3172</t>
  </si>
  <si>
    <t>Columna3173</t>
  </si>
  <si>
    <t>Columna3174</t>
  </si>
  <si>
    <t>Columna3175</t>
  </si>
  <si>
    <t>Columna3176</t>
  </si>
  <si>
    <t>Columna3177</t>
  </si>
  <si>
    <t>Columna3178</t>
  </si>
  <si>
    <t>Columna3179</t>
  </si>
  <si>
    <t>Columna3180</t>
  </si>
  <si>
    <t>Columna3181</t>
  </si>
  <si>
    <t>Columna3182</t>
  </si>
  <si>
    <t>Columna3183</t>
  </si>
  <si>
    <t>Columna3184</t>
  </si>
  <si>
    <t>Columna3185</t>
  </si>
  <si>
    <t>Columna3186</t>
  </si>
  <si>
    <t>Columna3187</t>
  </si>
  <si>
    <t>Columna3188</t>
  </si>
  <si>
    <t>Columna3189</t>
  </si>
  <si>
    <t>Columna3190</t>
  </si>
  <si>
    <t>Columna3191</t>
  </si>
  <si>
    <t>Columna3192</t>
  </si>
  <si>
    <t>Columna3193</t>
  </si>
  <si>
    <t>Columna3194</t>
  </si>
  <si>
    <t>Columna3195</t>
  </si>
  <si>
    <t>Columna3196</t>
  </si>
  <si>
    <t>Columna3197</t>
  </si>
  <si>
    <t>Columna3198</t>
  </si>
  <si>
    <t>Columna3199</t>
  </si>
  <si>
    <t>Columna3200</t>
  </si>
  <si>
    <t>Columna3201</t>
  </si>
  <si>
    <t>Columna3202</t>
  </si>
  <si>
    <t>Columna3203</t>
  </si>
  <si>
    <t>Columna3204</t>
  </si>
  <si>
    <t>Columna3205</t>
  </si>
  <si>
    <t>Columna3206</t>
  </si>
  <si>
    <t>Columna3207</t>
  </si>
  <si>
    <t>Columna3208</t>
  </si>
  <si>
    <t>Columna3209</t>
  </si>
  <si>
    <t>Columna3210</t>
  </si>
  <si>
    <t>Columna3211</t>
  </si>
  <si>
    <t>Columna3212</t>
  </si>
  <si>
    <t>Columna3213</t>
  </si>
  <si>
    <t>Columna3214</t>
  </si>
  <si>
    <t>Columna3215</t>
  </si>
  <si>
    <t>Columna3216</t>
  </si>
  <si>
    <t>Columna3217</t>
  </si>
  <si>
    <t>Columna3218</t>
  </si>
  <si>
    <t>Columna3219</t>
  </si>
  <si>
    <t>Columna3220</t>
  </si>
  <si>
    <t>Columna3221</t>
  </si>
  <si>
    <t>Columna3222</t>
  </si>
  <si>
    <t>Columna3223</t>
  </si>
  <si>
    <t>Columna3224</t>
  </si>
  <si>
    <t>Columna3225</t>
  </si>
  <si>
    <t>Columna3226</t>
  </si>
  <si>
    <t>Columna3227</t>
  </si>
  <si>
    <t>Columna3228</t>
  </si>
  <si>
    <t>Columna3229</t>
  </si>
  <si>
    <t>Columna3230</t>
  </si>
  <si>
    <t>Columna3231</t>
  </si>
  <si>
    <t>Columna3232</t>
  </si>
  <si>
    <t>Columna3233</t>
  </si>
  <si>
    <t>Columna3234</t>
  </si>
  <si>
    <t>Columna3235</t>
  </si>
  <si>
    <t>Columna3236</t>
  </si>
  <si>
    <t>Columna3237</t>
  </si>
  <si>
    <t>Columna3238</t>
  </si>
  <si>
    <t>Columna3239</t>
  </si>
  <si>
    <t>Columna3240</t>
  </si>
  <si>
    <t>Columna3241</t>
  </si>
  <si>
    <t>Columna3242</t>
  </si>
  <si>
    <t>Columna3243</t>
  </si>
  <si>
    <t>Columna3244</t>
  </si>
  <si>
    <t>Columna3245</t>
  </si>
  <si>
    <t>Columna3246</t>
  </si>
  <si>
    <t>Columna3247</t>
  </si>
  <si>
    <t>Columna3248</t>
  </si>
  <si>
    <t>Columna3249</t>
  </si>
  <si>
    <t>Columna3250</t>
  </si>
  <si>
    <t>Columna3251</t>
  </si>
  <si>
    <t>Columna3252</t>
  </si>
  <si>
    <t>Columna3253</t>
  </si>
  <si>
    <t>Columna3254</t>
  </si>
  <si>
    <t>Columna3255</t>
  </si>
  <si>
    <t>Columna3256</t>
  </si>
  <si>
    <t>Columna3257</t>
  </si>
  <si>
    <t>Columna3258</t>
  </si>
  <si>
    <t>Columna3259</t>
  </si>
  <si>
    <t>Columna3260</t>
  </si>
  <si>
    <t>Columna3261</t>
  </si>
  <si>
    <t>Columna3262</t>
  </si>
  <si>
    <t>Columna3263</t>
  </si>
  <si>
    <t>Columna3264</t>
  </si>
  <si>
    <t>Columna3265</t>
  </si>
  <si>
    <t>Columna3266</t>
  </si>
  <si>
    <t>Columna3267</t>
  </si>
  <si>
    <t>Columna3268</t>
  </si>
  <si>
    <t>Columna3269</t>
  </si>
  <si>
    <t>Columna3270</t>
  </si>
  <si>
    <t>Columna3271</t>
  </si>
  <si>
    <t>Columna3272</t>
  </si>
  <si>
    <t>Columna3273</t>
  </si>
  <si>
    <t>Columna3274</t>
  </si>
  <si>
    <t>Columna3275</t>
  </si>
  <si>
    <t>Columna3276</t>
  </si>
  <si>
    <t>Columna3277</t>
  </si>
  <si>
    <t>Columna3278</t>
  </si>
  <si>
    <t>Columna3279</t>
  </si>
  <si>
    <t>Columna3280</t>
  </si>
  <si>
    <t>Columna3281</t>
  </si>
  <si>
    <t>Columna3282</t>
  </si>
  <si>
    <t>Columna3283</t>
  </si>
  <si>
    <t>Columna3284</t>
  </si>
  <si>
    <t>Columna3285</t>
  </si>
  <si>
    <t>Columna3286</t>
  </si>
  <si>
    <t>Columna3287</t>
  </si>
  <si>
    <t>Columna3288</t>
  </si>
  <si>
    <t>Columna3289</t>
  </si>
  <si>
    <t>Columna3290</t>
  </si>
  <si>
    <t>Columna3291</t>
  </si>
  <si>
    <t>Columna3292</t>
  </si>
  <si>
    <t>Columna3293</t>
  </si>
  <si>
    <t>Columna3294</t>
  </si>
  <si>
    <t>Columna3295</t>
  </si>
  <si>
    <t>Columna3296</t>
  </si>
  <si>
    <t>Columna3297</t>
  </si>
  <si>
    <t>Columna3298</t>
  </si>
  <si>
    <t>Columna3299</t>
  </si>
  <si>
    <t>Columna3300</t>
  </si>
  <si>
    <t>Columna3301</t>
  </si>
  <si>
    <t>Columna3302</t>
  </si>
  <si>
    <t>Columna3303</t>
  </si>
  <si>
    <t>Columna3304</t>
  </si>
  <si>
    <t>Columna3305</t>
  </si>
  <si>
    <t>Columna3306</t>
  </si>
  <si>
    <t>Columna3307</t>
  </si>
  <si>
    <t>Columna3308</t>
  </si>
  <si>
    <t>Columna3309</t>
  </si>
  <si>
    <t>Columna3310</t>
  </si>
  <si>
    <t>Columna3311</t>
  </si>
  <si>
    <t>Columna3312</t>
  </si>
  <si>
    <t>Columna3313</t>
  </si>
  <si>
    <t>Columna3314</t>
  </si>
  <si>
    <t>Columna3315</t>
  </si>
  <si>
    <t>Columna3316</t>
  </si>
  <si>
    <t>Columna3317</t>
  </si>
  <si>
    <t>Columna3318</t>
  </si>
  <si>
    <t>Columna3319</t>
  </si>
  <si>
    <t>Columna3320</t>
  </si>
  <si>
    <t>Columna3321</t>
  </si>
  <si>
    <t>Columna3322</t>
  </si>
  <si>
    <t>Columna3323</t>
  </si>
  <si>
    <t>Columna3324</t>
  </si>
  <si>
    <t>Columna3325</t>
  </si>
  <si>
    <t>Columna3326</t>
  </si>
  <si>
    <t>Columna3327</t>
  </si>
  <si>
    <t>Columna3328</t>
  </si>
  <si>
    <t>Columna3329</t>
  </si>
  <si>
    <t>Columna3330</t>
  </si>
  <si>
    <t>Columna3331</t>
  </si>
  <si>
    <t>Columna3332</t>
  </si>
  <si>
    <t>Columna3333</t>
  </si>
  <si>
    <t>Columna3334</t>
  </si>
  <si>
    <t>Columna3335</t>
  </si>
  <si>
    <t>Columna3336</t>
  </si>
  <si>
    <t>Columna3337</t>
  </si>
  <si>
    <t>Columna3338</t>
  </si>
  <si>
    <t>Columna3339</t>
  </si>
  <si>
    <t>Columna3340</t>
  </si>
  <si>
    <t>Columna3341</t>
  </si>
  <si>
    <t>Columna3342</t>
  </si>
  <si>
    <t>Columna3343</t>
  </si>
  <si>
    <t>Columna3344</t>
  </si>
  <si>
    <t>Columna3345</t>
  </si>
  <si>
    <t>Columna3346</t>
  </si>
  <si>
    <t>Columna3347</t>
  </si>
  <si>
    <t>Columna3348</t>
  </si>
  <si>
    <t>Columna3349</t>
  </si>
  <si>
    <t>Columna3350</t>
  </si>
  <si>
    <t>Columna3351</t>
  </si>
  <si>
    <t>Columna3352</t>
  </si>
  <si>
    <t>Columna3353</t>
  </si>
  <si>
    <t>Columna3354</t>
  </si>
  <si>
    <t>Columna3355</t>
  </si>
  <si>
    <t>Columna3356</t>
  </si>
  <si>
    <t>Columna3357</t>
  </si>
  <si>
    <t>Columna3358</t>
  </si>
  <si>
    <t>Columna3359</t>
  </si>
  <si>
    <t>Columna3360</t>
  </si>
  <si>
    <t>Columna3361</t>
  </si>
  <si>
    <t>Columna3362</t>
  </si>
  <si>
    <t>Columna3363</t>
  </si>
  <si>
    <t>Columna3364</t>
  </si>
  <si>
    <t>Columna3365</t>
  </si>
  <si>
    <t>Columna3366</t>
  </si>
  <si>
    <t>Columna3367</t>
  </si>
  <si>
    <t>Columna3368</t>
  </si>
  <si>
    <t>Columna3369</t>
  </si>
  <si>
    <t>Columna3370</t>
  </si>
  <si>
    <t>Columna3371</t>
  </si>
  <si>
    <t>Columna3372</t>
  </si>
  <si>
    <t>Columna3373</t>
  </si>
  <si>
    <t>Columna3374</t>
  </si>
  <si>
    <t>Columna3375</t>
  </si>
  <si>
    <t>Columna3376</t>
  </si>
  <si>
    <t>Columna3377</t>
  </si>
  <si>
    <t>Columna3378</t>
  </si>
  <si>
    <t>Columna3379</t>
  </si>
  <si>
    <t>Columna3380</t>
  </si>
  <si>
    <t>Columna3381</t>
  </si>
  <si>
    <t>Columna3382</t>
  </si>
  <si>
    <t>Columna3383</t>
  </si>
  <si>
    <t>Columna3384</t>
  </si>
  <si>
    <t>Columna3385</t>
  </si>
  <si>
    <t>Columna3386</t>
  </si>
  <si>
    <t>Columna3387</t>
  </si>
  <si>
    <t>Columna3388</t>
  </si>
  <si>
    <t>Columna3389</t>
  </si>
  <si>
    <t>Columna3390</t>
  </si>
  <si>
    <t>Columna3391</t>
  </si>
  <si>
    <t>Columna3392</t>
  </si>
  <si>
    <t>Columna3393</t>
  </si>
  <si>
    <t>Columna3394</t>
  </si>
  <si>
    <t>Columna3395</t>
  </si>
  <si>
    <t>Columna3396</t>
  </si>
  <si>
    <t>Columna3397</t>
  </si>
  <si>
    <t>Columna3398</t>
  </si>
  <si>
    <t>Columna3399</t>
  </si>
  <si>
    <t>Columna3400</t>
  </si>
  <si>
    <t>Columna3401</t>
  </si>
  <si>
    <t>Columna3402</t>
  </si>
  <si>
    <t>Columna3403</t>
  </si>
  <si>
    <t>Columna3404</t>
  </si>
  <si>
    <t>Columna3405</t>
  </si>
  <si>
    <t>Columna3406</t>
  </si>
  <si>
    <t>Columna3407</t>
  </si>
  <si>
    <t>Columna3408</t>
  </si>
  <si>
    <t>Columna3409</t>
  </si>
  <si>
    <t>Columna3410</t>
  </si>
  <si>
    <t>Columna3411</t>
  </si>
  <si>
    <t>Columna3412</t>
  </si>
  <si>
    <t>Columna3413</t>
  </si>
  <si>
    <t>Columna3414</t>
  </si>
  <si>
    <t>Columna3415</t>
  </si>
  <si>
    <t>Columna3416</t>
  </si>
  <si>
    <t>Columna3417</t>
  </si>
  <si>
    <t>Columna3418</t>
  </si>
  <si>
    <t>Columna3419</t>
  </si>
  <si>
    <t>Columna3420</t>
  </si>
  <si>
    <t>Columna3421</t>
  </si>
  <si>
    <t>Columna3422</t>
  </si>
  <si>
    <t>Columna3423</t>
  </si>
  <si>
    <t>Columna3424</t>
  </si>
  <si>
    <t>Columna3425</t>
  </si>
  <si>
    <t>Columna3426</t>
  </si>
  <si>
    <t>Columna3427</t>
  </si>
  <si>
    <t>Columna3428</t>
  </si>
  <si>
    <t>Columna3429</t>
  </si>
  <si>
    <t>Columna3430</t>
  </si>
  <si>
    <t>Columna3431</t>
  </si>
  <si>
    <t>Columna3432</t>
  </si>
  <si>
    <t>Columna3433</t>
  </si>
  <si>
    <t>Columna3434</t>
  </si>
  <si>
    <t>Columna3435</t>
  </si>
  <si>
    <t>Columna3436</t>
  </si>
  <si>
    <t>Columna3437</t>
  </si>
  <si>
    <t>Columna3438</t>
  </si>
  <si>
    <t>Columna3439</t>
  </si>
  <si>
    <t>Columna3440</t>
  </si>
  <si>
    <t>Columna3441</t>
  </si>
  <si>
    <t>Columna3442</t>
  </si>
  <si>
    <t>Columna3443</t>
  </si>
  <si>
    <t>Columna3444</t>
  </si>
  <si>
    <t>Columna3445</t>
  </si>
  <si>
    <t>Columna3446</t>
  </si>
  <si>
    <t>Columna3447</t>
  </si>
  <si>
    <t>Columna3448</t>
  </si>
  <si>
    <t>Columna3449</t>
  </si>
  <si>
    <t>Columna3450</t>
  </si>
  <si>
    <t>Columna3451</t>
  </si>
  <si>
    <t>Columna3452</t>
  </si>
  <si>
    <t>Columna3453</t>
  </si>
  <si>
    <t>Columna3454</t>
  </si>
  <si>
    <t>Columna3455</t>
  </si>
  <si>
    <t>Columna3456</t>
  </si>
  <si>
    <t>Columna3457</t>
  </si>
  <si>
    <t>Columna3458</t>
  </si>
  <si>
    <t>Columna3459</t>
  </si>
  <si>
    <t>Columna3460</t>
  </si>
  <si>
    <t>Columna3461</t>
  </si>
  <si>
    <t>Columna3462</t>
  </si>
  <si>
    <t>Columna3463</t>
  </si>
  <si>
    <t>Columna3464</t>
  </si>
  <si>
    <t>Columna3465</t>
  </si>
  <si>
    <t>Columna3466</t>
  </si>
  <si>
    <t>Columna3467</t>
  </si>
  <si>
    <t>Columna3468</t>
  </si>
  <si>
    <t>Columna3469</t>
  </si>
  <si>
    <t>Columna3470</t>
  </si>
  <si>
    <t>Columna3471</t>
  </si>
  <si>
    <t>Columna3472</t>
  </si>
  <si>
    <t>Columna3473</t>
  </si>
  <si>
    <t>Columna3474</t>
  </si>
  <si>
    <t>Columna3475</t>
  </si>
  <si>
    <t>Columna3476</t>
  </si>
  <si>
    <t>Columna3477</t>
  </si>
  <si>
    <t>Columna3478</t>
  </si>
  <si>
    <t>Columna3479</t>
  </si>
  <si>
    <t>Columna3480</t>
  </si>
  <si>
    <t>Columna3481</t>
  </si>
  <si>
    <t>Columna3482</t>
  </si>
  <si>
    <t>Columna3483</t>
  </si>
  <si>
    <t>Columna3484</t>
  </si>
  <si>
    <t>Columna3485</t>
  </si>
  <si>
    <t>Columna3486</t>
  </si>
  <si>
    <t>Columna3487</t>
  </si>
  <si>
    <t>Columna3488</t>
  </si>
  <si>
    <t>Columna3489</t>
  </si>
  <si>
    <t>Columna3490</t>
  </si>
  <si>
    <t>Columna3491</t>
  </si>
  <si>
    <t>Columna3492</t>
  </si>
  <si>
    <t>Columna3493</t>
  </si>
  <si>
    <t>Columna3494</t>
  </si>
  <si>
    <t>Columna3495</t>
  </si>
  <si>
    <t>Columna3496</t>
  </si>
  <si>
    <t>Columna3497</t>
  </si>
  <si>
    <t>Columna3498</t>
  </si>
  <si>
    <t>Columna3499</t>
  </si>
  <si>
    <t>Columna3500</t>
  </si>
  <si>
    <t>Columna3501</t>
  </si>
  <si>
    <t>Columna3502</t>
  </si>
  <si>
    <t>Columna3503</t>
  </si>
  <si>
    <t>Columna3504</t>
  </si>
  <si>
    <t>Columna3505</t>
  </si>
  <si>
    <t>Columna3506</t>
  </si>
  <si>
    <t>Columna3507</t>
  </si>
  <si>
    <t>Columna3508</t>
  </si>
  <si>
    <t>Columna3509</t>
  </si>
  <si>
    <t>Columna3510</t>
  </si>
  <si>
    <t>Columna3511</t>
  </si>
  <si>
    <t>Columna3512</t>
  </si>
  <si>
    <t>Columna3513</t>
  </si>
  <si>
    <t>Columna3514</t>
  </si>
  <si>
    <t>Columna3515</t>
  </si>
  <si>
    <t>Columna3516</t>
  </si>
  <si>
    <t>Columna3517</t>
  </si>
  <si>
    <t>Columna3518</t>
  </si>
  <si>
    <t>Columna3519</t>
  </si>
  <si>
    <t>Columna3520</t>
  </si>
  <si>
    <t>Columna3521</t>
  </si>
  <si>
    <t>Columna3522</t>
  </si>
  <si>
    <t>Columna3523</t>
  </si>
  <si>
    <t>Columna3524</t>
  </si>
  <si>
    <t>Columna3525</t>
  </si>
  <si>
    <t>Columna3526</t>
  </si>
  <si>
    <t>Columna3527</t>
  </si>
  <si>
    <t>Columna3528</t>
  </si>
  <si>
    <t>Columna3529</t>
  </si>
  <si>
    <t>Columna3530</t>
  </si>
  <si>
    <t>Columna3531</t>
  </si>
  <si>
    <t>Columna3532</t>
  </si>
  <si>
    <t>Columna3533</t>
  </si>
  <si>
    <t>Columna3534</t>
  </si>
  <si>
    <t>Columna3535</t>
  </si>
  <si>
    <t>Columna3536</t>
  </si>
  <si>
    <t>Columna3537</t>
  </si>
  <si>
    <t>Columna3538</t>
  </si>
  <si>
    <t>Columna3539</t>
  </si>
  <si>
    <t>Columna3540</t>
  </si>
  <si>
    <t>Columna3541</t>
  </si>
  <si>
    <t>Columna3542</t>
  </si>
  <si>
    <t>Columna3543</t>
  </si>
  <si>
    <t>Columna3544</t>
  </si>
  <si>
    <t>Columna3545</t>
  </si>
  <si>
    <t>Columna3546</t>
  </si>
  <si>
    <t>Columna3547</t>
  </si>
  <si>
    <t>Columna3548</t>
  </si>
  <si>
    <t>Columna3549</t>
  </si>
  <si>
    <t>Columna3550</t>
  </si>
  <si>
    <t>Columna3551</t>
  </si>
  <si>
    <t>Columna3552</t>
  </si>
  <si>
    <t>Columna3553</t>
  </si>
  <si>
    <t>Columna3554</t>
  </si>
  <si>
    <t>Columna3555</t>
  </si>
  <si>
    <t>Columna3556</t>
  </si>
  <si>
    <t>Columna3557</t>
  </si>
  <si>
    <t>Columna3558</t>
  </si>
  <si>
    <t>Columna3559</t>
  </si>
  <si>
    <t>Columna3560</t>
  </si>
  <si>
    <t>Columna3561</t>
  </si>
  <si>
    <t>Columna3562</t>
  </si>
  <si>
    <t>Columna3563</t>
  </si>
  <si>
    <t>Columna3564</t>
  </si>
  <si>
    <t>Columna3565</t>
  </si>
  <si>
    <t>Columna3566</t>
  </si>
  <si>
    <t>Columna3567</t>
  </si>
  <si>
    <t>Columna3568</t>
  </si>
  <si>
    <t>Columna3569</t>
  </si>
  <si>
    <t>Columna3570</t>
  </si>
  <si>
    <t>Columna3571</t>
  </si>
  <si>
    <t>Columna3572</t>
  </si>
  <si>
    <t>Columna3573</t>
  </si>
  <si>
    <t>Columna3574</t>
  </si>
  <si>
    <t>Columna3575</t>
  </si>
  <si>
    <t>Columna3576</t>
  </si>
  <si>
    <t>Columna3577</t>
  </si>
  <si>
    <t>Columna3578</t>
  </si>
  <si>
    <t>Columna3579</t>
  </si>
  <si>
    <t>Columna3580</t>
  </si>
  <si>
    <t>Columna3581</t>
  </si>
  <si>
    <t>Columna3582</t>
  </si>
  <si>
    <t>Columna3583</t>
  </si>
  <si>
    <t>Columna3584</t>
  </si>
  <si>
    <t>Columna3585</t>
  </si>
  <si>
    <t>Columna3586</t>
  </si>
  <si>
    <t>Columna3587</t>
  </si>
  <si>
    <t>Columna3588</t>
  </si>
  <si>
    <t>Columna3589</t>
  </si>
  <si>
    <t>Columna3590</t>
  </si>
  <si>
    <t>Columna3591</t>
  </si>
  <si>
    <t>Columna3592</t>
  </si>
  <si>
    <t>Columna3593</t>
  </si>
  <si>
    <t>Columna3594</t>
  </si>
  <si>
    <t>Columna3595</t>
  </si>
  <si>
    <t>Columna3596</t>
  </si>
  <si>
    <t>Columna3597</t>
  </si>
  <si>
    <t>Columna3598</t>
  </si>
  <si>
    <t>Columna3599</t>
  </si>
  <si>
    <t>Columna3600</t>
  </si>
  <si>
    <t>Columna3601</t>
  </si>
  <si>
    <t>Columna3602</t>
  </si>
  <si>
    <t>Columna3603</t>
  </si>
  <si>
    <t>Columna3604</t>
  </si>
  <si>
    <t>Columna3605</t>
  </si>
  <si>
    <t>Columna3606</t>
  </si>
  <si>
    <t>Columna3607</t>
  </si>
  <si>
    <t>Columna3608</t>
  </si>
  <si>
    <t>Columna3609</t>
  </si>
  <si>
    <t>Columna3610</t>
  </si>
  <si>
    <t>Columna3611</t>
  </si>
  <si>
    <t>Columna3612</t>
  </si>
  <si>
    <t>Columna3613</t>
  </si>
  <si>
    <t>Columna3614</t>
  </si>
  <si>
    <t>Columna3615</t>
  </si>
  <si>
    <t>Columna3616</t>
  </si>
  <si>
    <t>Columna3617</t>
  </si>
  <si>
    <t>Columna3618</t>
  </si>
  <si>
    <t>Columna3619</t>
  </si>
  <si>
    <t>Columna3620</t>
  </si>
  <si>
    <t>Columna3621</t>
  </si>
  <si>
    <t>Columna3622</t>
  </si>
  <si>
    <t>Columna3623</t>
  </si>
  <si>
    <t>Columna3624</t>
  </si>
  <si>
    <t>Columna3625</t>
  </si>
  <si>
    <t>Columna3626</t>
  </si>
  <si>
    <t>Columna3627</t>
  </si>
  <si>
    <t>Columna3628</t>
  </si>
  <si>
    <t>Columna3629</t>
  </si>
  <si>
    <t>Columna3630</t>
  </si>
  <si>
    <t>Columna3631</t>
  </si>
  <si>
    <t>Columna3632</t>
  </si>
  <si>
    <t>Columna3633</t>
  </si>
  <si>
    <t>Columna3634</t>
  </si>
  <si>
    <t>Columna3635</t>
  </si>
  <si>
    <t>Columna3636</t>
  </si>
  <si>
    <t>Columna3637</t>
  </si>
  <si>
    <t>Columna3638</t>
  </si>
  <si>
    <t>Columna3639</t>
  </si>
  <si>
    <t>Columna3640</t>
  </si>
  <si>
    <t>Columna3641</t>
  </si>
  <si>
    <t>Columna3642</t>
  </si>
  <si>
    <t>Columna3643</t>
  </si>
  <si>
    <t>Columna3644</t>
  </si>
  <si>
    <t>Columna3645</t>
  </si>
  <si>
    <t>Columna3646</t>
  </si>
  <si>
    <t>Columna3647</t>
  </si>
  <si>
    <t>Columna3648</t>
  </si>
  <si>
    <t>Columna3649</t>
  </si>
  <si>
    <t>Columna3650</t>
  </si>
  <si>
    <t>Columna3651</t>
  </si>
  <si>
    <t>Columna3652</t>
  </si>
  <si>
    <t>Columna3653</t>
  </si>
  <si>
    <t>Columna3654</t>
  </si>
  <si>
    <t>Columna3655</t>
  </si>
  <si>
    <t>Columna3656</t>
  </si>
  <si>
    <t>Columna3657</t>
  </si>
  <si>
    <t>Columna3658</t>
  </si>
  <si>
    <t>Columna3659</t>
  </si>
  <si>
    <t>Columna3660</t>
  </si>
  <si>
    <t>Columna3661</t>
  </si>
  <si>
    <t>Columna3662</t>
  </si>
  <si>
    <t>Columna3663</t>
  </si>
  <si>
    <t>Columna3664</t>
  </si>
  <si>
    <t>Columna3665</t>
  </si>
  <si>
    <t>Columna3666</t>
  </si>
  <si>
    <t>Columna3667</t>
  </si>
  <si>
    <t>Columna3668</t>
  </si>
  <si>
    <t>Columna3669</t>
  </si>
  <si>
    <t>Columna3670</t>
  </si>
  <si>
    <t>Columna3671</t>
  </si>
  <si>
    <t>Columna3672</t>
  </si>
  <si>
    <t>Columna3673</t>
  </si>
  <si>
    <t>Columna3674</t>
  </si>
  <si>
    <t>Columna3675</t>
  </si>
  <si>
    <t>Columna3676</t>
  </si>
  <si>
    <t>Columna3677</t>
  </si>
  <si>
    <t>Columna3678</t>
  </si>
  <si>
    <t>Columna3679</t>
  </si>
  <si>
    <t>Columna3680</t>
  </si>
  <si>
    <t>Columna3681</t>
  </si>
  <si>
    <t>Columna3682</t>
  </si>
  <si>
    <t>Columna3683</t>
  </si>
  <si>
    <t>Columna3684</t>
  </si>
  <si>
    <t>Columna3685</t>
  </si>
  <si>
    <t>Columna3686</t>
  </si>
  <si>
    <t>Columna3687</t>
  </si>
  <si>
    <t>Columna3688</t>
  </si>
  <si>
    <t>Columna3689</t>
  </si>
  <si>
    <t>Columna3690</t>
  </si>
  <si>
    <t>Columna3691</t>
  </si>
  <si>
    <t>Columna3692</t>
  </si>
  <si>
    <t>Columna3693</t>
  </si>
  <si>
    <t>Columna3694</t>
  </si>
  <si>
    <t>Columna3695</t>
  </si>
  <si>
    <t>Columna3696</t>
  </si>
  <si>
    <t>Columna3697</t>
  </si>
  <si>
    <t>Columna3698</t>
  </si>
  <si>
    <t>Columna3699</t>
  </si>
  <si>
    <t>Columna3700</t>
  </si>
  <si>
    <t>Columna3701</t>
  </si>
  <si>
    <t>Columna3702</t>
  </si>
  <si>
    <t>Columna3703</t>
  </si>
  <si>
    <t>Columna3704</t>
  </si>
  <si>
    <t>Columna3705</t>
  </si>
  <si>
    <t>Columna3706</t>
  </si>
  <si>
    <t>Columna3707</t>
  </si>
  <si>
    <t>Columna3708</t>
  </si>
  <si>
    <t>Columna3709</t>
  </si>
  <si>
    <t>Columna3710</t>
  </si>
  <si>
    <t>Columna3711</t>
  </si>
  <si>
    <t>Columna3712</t>
  </si>
  <si>
    <t>Columna3713</t>
  </si>
  <si>
    <t>Columna3714</t>
  </si>
  <si>
    <t>Columna3715</t>
  </si>
  <si>
    <t>Columna3716</t>
  </si>
  <si>
    <t>Columna3717</t>
  </si>
  <si>
    <t>Columna3718</t>
  </si>
  <si>
    <t>Columna3719</t>
  </si>
  <si>
    <t>Columna3720</t>
  </si>
  <si>
    <t>Columna3721</t>
  </si>
  <si>
    <t>Columna3722</t>
  </si>
  <si>
    <t>Columna3723</t>
  </si>
  <si>
    <t>Columna3724</t>
  </si>
  <si>
    <t>Columna3725</t>
  </si>
  <si>
    <t>Columna3726</t>
  </si>
  <si>
    <t>Columna3727</t>
  </si>
  <si>
    <t>Columna3728</t>
  </si>
  <si>
    <t>Columna3729</t>
  </si>
  <si>
    <t>Columna3730</t>
  </si>
  <si>
    <t>Columna3731</t>
  </si>
  <si>
    <t>Columna3732</t>
  </si>
  <si>
    <t>Columna3733</t>
  </si>
  <si>
    <t>Columna3734</t>
  </si>
  <si>
    <t>Columna3735</t>
  </si>
  <si>
    <t>Columna3736</t>
  </si>
  <si>
    <t>Columna3737</t>
  </si>
  <si>
    <t>Columna3738</t>
  </si>
  <si>
    <t>Columna3739</t>
  </si>
  <si>
    <t>Columna3740</t>
  </si>
  <si>
    <t>Columna3741</t>
  </si>
  <si>
    <t>Columna3742</t>
  </si>
  <si>
    <t>Columna3743</t>
  </si>
  <si>
    <t>Columna3744</t>
  </si>
  <si>
    <t>Columna3745</t>
  </si>
  <si>
    <t>Columna3746</t>
  </si>
  <si>
    <t>Columna3747</t>
  </si>
  <si>
    <t>Columna3748</t>
  </si>
  <si>
    <t>Columna3749</t>
  </si>
  <si>
    <t>Columna3750</t>
  </si>
  <si>
    <t>Columna3751</t>
  </si>
  <si>
    <t>Columna3752</t>
  </si>
  <si>
    <t>Columna3753</t>
  </si>
  <si>
    <t>Columna3754</t>
  </si>
  <si>
    <t>Columna3755</t>
  </si>
  <si>
    <t>Columna3756</t>
  </si>
  <si>
    <t>Columna3757</t>
  </si>
  <si>
    <t>Columna3758</t>
  </si>
  <si>
    <t>Columna3759</t>
  </si>
  <si>
    <t>Columna3760</t>
  </si>
  <si>
    <t>Columna3761</t>
  </si>
  <si>
    <t>Columna3762</t>
  </si>
  <si>
    <t>Columna3763</t>
  </si>
  <si>
    <t>Columna3764</t>
  </si>
  <si>
    <t>Columna3765</t>
  </si>
  <si>
    <t>Columna3766</t>
  </si>
  <si>
    <t>Columna3767</t>
  </si>
  <si>
    <t>Columna3768</t>
  </si>
  <si>
    <t>Columna3769</t>
  </si>
  <si>
    <t>Columna3770</t>
  </si>
  <si>
    <t>Columna3771</t>
  </si>
  <si>
    <t>Columna3772</t>
  </si>
  <si>
    <t>Columna3773</t>
  </si>
  <si>
    <t>Columna3774</t>
  </si>
  <si>
    <t>Columna3775</t>
  </si>
  <si>
    <t>Columna3776</t>
  </si>
  <si>
    <t>Columna3777</t>
  </si>
  <si>
    <t>Columna3778</t>
  </si>
  <si>
    <t>Columna3779</t>
  </si>
  <si>
    <t>Columna3780</t>
  </si>
  <si>
    <t>Columna3781</t>
  </si>
  <si>
    <t>Columna3782</t>
  </si>
  <si>
    <t>Columna3783</t>
  </si>
  <si>
    <t>Columna3784</t>
  </si>
  <si>
    <t>Columna3785</t>
  </si>
  <si>
    <t>Columna3786</t>
  </si>
  <si>
    <t>Columna3787</t>
  </si>
  <si>
    <t>Columna3788</t>
  </si>
  <si>
    <t>Columna3789</t>
  </si>
  <si>
    <t>Columna3790</t>
  </si>
  <si>
    <t>Columna3791</t>
  </si>
  <si>
    <t>Columna3792</t>
  </si>
  <si>
    <t>Columna3793</t>
  </si>
  <si>
    <t>Columna3794</t>
  </si>
  <si>
    <t>Columna3795</t>
  </si>
  <si>
    <t>Columna3796</t>
  </si>
  <si>
    <t>Columna3797</t>
  </si>
  <si>
    <t>Columna3798</t>
  </si>
  <si>
    <t>Columna3799</t>
  </si>
  <si>
    <t>Columna3800</t>
  </si>
  <si>
    <t>Columna3801</t>
  </si>
  <si>
    <t>Columna3802</t>
  </si>
  <si>
    <t>Columna3803</t>
  </si>
  <si>
    <t>Columna3804</t>
  </si>
  <si>
    <t>Columna3805</t>
  </si>
  <si>
    <t>Columna3806</t>
  </si>
  <si>
    <t>Columna3807</t>
  </si>
  <si>
    <t>Columna3808</t>
  </si>
  <si>
    <t>Columna3809</t>
  </si>
  <si>
    <t>Columna3810</t>
  </si>
  <si>
    <t>Columna3811</t>
  </si>
  <si>
    <t>Columna3812</t>
  </si>
  <si>
    <t>Columna3813</t>
  </si>
  <si>
    <t>Columna3814</t>
  </si>
  <si>
    <t>Columna3815</t>
  </si>
  <si>
    <t>Columna3816</t>
  </si>
  <si>
    <t>Columna3817</t>
  </si>
  <si>
    <t>Columna3818</t>
  </si>
  <si>
    <t>Columna3819</t>
  </si>
  <si>
    <t>Columna3820</t>
  </si>
  <si>
    <t>Columna3821</t>
  </si>
  <si>
    <t>Columna3822</t>
  </si>
  <si>
    <t>Columna3823</t>
  </si>
  <si>
    <t>Columna3824</t>
  </si>
  <si>
    <t>Columna3825</t>
  </si>
  <si>
    <t>Columna3826</t>
  </si>
  <si>
    <t>Columna3827</t>
  </si>
  <si>
    <t>Columna3828</t>
  </si>
  <si>
    <t>Columna3829</t>
  </si>
  <si>
    <t>Columna3830</t>
  </si>
  <si>
    <t>Columna3831</t>
  </si>
  <si>
    <t>Columna3832</t>
  </si>
  <si>
    <t>Columna3833</t>
  </si>
  <si>
    <t>Columna3834</t>
  </si>
  <si>
    <t>Columna3835</t>
  </si>
  <si>
    <t>Columna3836</t>
  </si>
  <si>
    <t>Columna3837</t>
  </si>
  <si>
    <t>Columna3838</t>
  </si>
  <si>
    <t>Columna3839</t>
  </si>
  <si>
    <t>Columna3840</t>
  </si>
  <si>
    <t>Columna3841</t>
  </si>
  <si>
    <t>Columna3842</t>
  </si>
  <si>
    <t>Columna3843</t>
  </si>
  <si>
    <t>Columna3844</t>
  </si>
  <si>
    <t>Columna3845</t>
  </si>
  <si>
    <t>Columna3846</t>
  </si>
  <si>
    <t>Columna3847</t>
  </si>
  <si>
    <t>Columna3848</t>
  </si>
  <si>
    <t>Columna3849</t>
  </si>
  <si>
    <t>Columna3850</t>
  </si>
  <si>
    <t>Columna3851</t>
  </si>
  <si>
    <t>Columna3852</t>
  </si>
  <si>
    <t>Columna3853</t>
  </si>
  <si>
    <t>Columna3854</t>
  </si>
  <si>
    <t>Columna3855</t>
  </si>
  <si>
    <t>Columna3856</t>
  </si>
  <si>
    <t>Columna3857</t>
  </si>
  <si>
    <t>Columna3858</t>
  </si>
  <si>
    <t>Columna3859</t>
  </si>
  <si>
    <t>Columna3860</t>
  </si>
  <si>
    <t>Columna3861</t>
  </si>
  <si>
    <t>Columna3862</t>
  </si>
  <si>
    <t>Columna3863</t>
  </si>
  <si>
    <t>Columna3864</t>
  </si>
  <si>
    <t>Columna3865</t>
  </si>
  <si>
    <t>Columna3866</t>
  </si>
  <si>
    <t>Columna3867</t>
  </si>
  <si>
    <t>Columna3868</t>
  </si>
  <si>
    <t>Columna3869</t>
  </si>
  <si>
    <t>Columna3870</t>
  </si>
  <si>
    <t>Columna3871</t>
  </si>
  <si>
    <t>Columna3872</t>
  </si>
  <si>
    <t>Columna3873</t>
  </si>
  <si>
    <t>Columna3874</t>
  </si>
  <si>
    <t>Columna3875</t>
  </si>
  <si>
    <t>Columna3876</t>
  </si>
  <si>
    <t>Columna3877</t>
  </si>
  <si>
    <t>Columna3878</t>
  </si>
  <si>
    <t>Columna3879</t>
  </si>
  <si>
    <t>Columna3880</t>
  </si>
  <si>
    <t>Columna3881</t>
  </si>
  <si>
    <t>Columna3882</t>
  </si>
  <si>
    <t>Columna3883</t>
  </si>
  <si>
    <t>Columna3884</t>
  </si>
  <si>
    <t>Columna3885</t>
  </si>
  <si>
    <t>Columna3886</t>
  </si>
  <si>
    <t>Columna3887</t>
  </si>
  <si>
    <t>Columna3888</t>
  </si>
  <si>
    <t>Columna3889</t>
  </si>
  <si>
    <t>Columna3890</t>
  </si>
  <si>
    <t>Columna3891</t>
  </si>
  <si>
    <t>Columna3892</t>
  </si>
  <si>
    <t>Columna3893</t>
  </si>
  <si>
    <t>Columna3894</t>
  </si>
  <si>
    <t>Columna3895</t>
  </si>
  <si>
    <t>Columna3896</t>
  </si>
  <si>
    <t>Columna3897</t>
  </si>
  <si>
    <t>Columna3898</t>
  </si>
  <si>
    <t>Columna3899</t>
  </si>
  <si>
    <t>Columna3900</t>
  </si>
  <si>
    <t>Columna3901</t>
  </si>
  <si>
    <t>Columna3902</t>
  </si>
  <si>
    <t>Columna3903</t>
  </si>
  <si>
    <t>Columna3904</t>
  </si>
  <si>
    <t>Columna3905</t>
  </si>
  <si>
    <t>Columna3906</t>
  </si>
  <si>
    <t>Columna3907</t>
  </si>
  <si>
    <t>Columna3908</t>
  </si>
  <si>
    <t>Columna3909</t>
  </si>
  <si>
    <t>Columna3910</t>
  </si>
  <si>
    <t>Columna3911</t>
  </si>
  <si>
    <t>Columna3912</t>
  </si>
  <si>
    <t>Columna3913</t>
  </si>
  <si>
    <t>Columna3914</t>
  </si>
  <si>
    <t>Columna3915</t>
  </si>
  <si>
    <t>Columna3916</t>
  </si>
  <si>
    <t>Columna3917</t>
  </si>
  <si>
    <t>Columna3918</t>
  </si>
  <si>
    <t>Columna3919</t>
  </si>
  <si>
    <t>Columna3920</t>
  </si>
  <si>
    <t>Columna3921</t>
  </si>
  <si>
    <t>Columna3922</t>
  </si>
  <si>
    <t>Columna3923</t>
  </si>
  <si>
    <t>Columna3924</t>
  </si>
  <si>
    <t>Columna3925</t>
  </si>
  <si>
    <t>Columna3926</t>
  </si>
  <si>
    <t>Columna3927</t>
  </si>
  <si>
    <t>Columna3928</t>
  </si>
  <si>
    <t>Columna3929</t>
  </si>
  <si>
    <t>Columna3930</t>
  </si>
  <si>
    <t>Columna3931</t>
  </si>
  <si>
    <t>Columna3932</t>
  </si>
  <si>
    <t>Columna3933</t>
  </si>
  <si>
    <t>Columna3934</t>
  </si>
  <si>
    <t>Columna3935</t>
  </si>
  <si>
    <t>Columna3936</t>
  </si>
  <si>
    <t>Columna3937</t>
  </si>
  <si>
    <t>Columna3938</t>
  </si>
  <si>
    <t>Columna3939</t>
  </si>
  <si>
    <t>Columna3940</t>
  </si>
  <si>
    <t>Columna3941</t>
  </si>
  <si>
    <t>Columna3942</t>
  </si>
  <si>
    <t>Columna3943</t>
  </si>
  <si>
    <t>Columna3944</t>
  </si>
  <si>
    <t>Columna3945</t>
  </si>
  <si>
    <t>Columna3946</t>
  </si>
  <si>
    <t>Columna3947</t>
  </si>
  <si>
    <t>Columna3948</t>
  </si>
  <si>
    <t>Columna3949</t>
  </si>
  <si>
    <t>Columna3950</t>
  </si>
  <si>
    <t>Columna3951</t>
  </si>
  <si>
    <t>Columna3952</t>
  </si>
  <si>
    <t>Columna3953</t>
  </si>
  <si>
    <t>Columna3954</t>
  </si>
  <si>
    <t>Columna3955</t>
  </si>
  <si>
    <t>Columna3956</t>
  </si>
  <si>
    <t>Columna3957</t>
  </si>
  <si>
    <t>Columna3958</t>
  </si>
  <si>
    <t>Columna3959</t>
  </si>
  <si>
    <t>Columna3960</t>
  </si>
  <si>
    <t>Columna3961</t>
  </si>
  <si>
    <t>Columna3962</t>
  </si>
  <si>
    <t>Columna3963</t>
  </si>
  <si>
    <t>Columna3964</t>
  </si>
  <si>
    <t>Columna3965</t>
  </si>
  <si>
    <t>Columna3966</t>
  </si>
  <si>
    <t>Columna3967</t>
  </si>
  <si>
    <t>Columna3968</t>
  </si>
  <si>
    <t>Columna3969</t>
  </si>
  <si>
    <t>Columna3970</t>
  </si>
  <si>
    <t>Columna3971</t>
  </si>
  <si>
    <t>Columna3972</t>
  </si>
  <si>
    <t>Columna3973</t>
  </si>
  <si>
    <t>Columna3974</t>
  </si>
  <si>
    <t>Columna3975</t>
  </si>
  <si>
    <t>Columna3976</t>
  </si>
  <si>
    <t>Columna3977</t>
  </si>
  <si>
    <t>Columna3978</t>
  </si>
  <si>
    <t>Columna3979</t>
  </si>
  <si>
    <t>Columna3980</t>
  </si>
  <si>
    <t>Columna3981</t>
  </si>
  <si>
    <t>Columna3982</t>
  </si>
  <si>
    <t>Columna3983</t>
  </si>
  <si>
    <t>Columna3984</t>
  </si>
  <si>
    <t>Columna3985</t>
  </si>
  <si>
    <t>Columna3986</t>
  </si>
  <si>
    <t>Columna3987</t>
  </si>
  <si>
    <t>Columna3988</t>
  </si>
  <si>
    <t>Columna3989</t>
  </si>
  <si>
    <t>Columna3990</t>
  </si>
  <si>
    <t>Columna3991</t>
  </si>
  <si>
    <t>Columna3992</t>
  </si>
  <si>
    <t>Columna3993</t>
  </si>
  <si>
    <t>Columna3994</t>
  </si>
  <si>
    <t>Columna3995</t>
  </si>
  <si>
    <t>Columna3996</t>
  </si>
  <si>
    <t>Columna3997</t>
  </si>
  <si>
    <t>Columna3998</t>
  </si>
  <si>
    <t>Columna3999</t>
  </si>
  <si>
    <t>Columna4000</t>
  </si>
  <si>
    <t>Columna4001</t>
  </si>
  <si>
    <t>Columna4002</t>
  </si>
  <si>
    <t>Columna4003</t>
  </si>
  <si>
    <t>Columna4004</t>
  </si>
  <si>
    <t>Columna4005</t>
  </si>
  <si>
    <t>Columna4006</t>
  </si>
  <si>
    <t>Columna4007</t>
  </si>
  <si>
    <t>Columna4008</t>
  </si>
  <si>
    <t>Columna4009</t>
  </si>
  <si>
    <t>Columna4010</t>
  </si>
  <si>
    <t>Columna4011</t>
  </si>
  <si>
    <t>Columna4012</t>
  </si>
  <si>
    <t>Columna4013</t>
  </si>
  <si>
    <t>Columna4014</t>
  </si>
  <si>
    <t>Columna4015</t>
  </si>
  <si>
    <t>Columna4016</t>
  </si>
  <si>
    <t>Columna4017</t>
  </si>
  <si>
    <t>Columna4018</t>
  </si>
  <si>
    <t>Columna4019</t>
  </si>
  <si>
    <t>Columna4020</t>
  </si>
  <si>
    <t>Columna4021</t>
  </si>
  <si>
    <t>Columna4022</t>
  </si>
  <si>
    <t>Columna4023</t>
  </si>
  <si>
    <t>Columna4024</t>
  </si>
  <si>
    <t>Columna4025</t>
  </si>
  <si>
    <t>Columna4026</t>
  </si>
  <si>
    <t>Columna4027</t>
  </si>
  <si>
    <t>Columna4028</t>
  </si>
  <si>
    <t>Columna4029</t>
  </si>
  <si>
    <t>Columna4030</t>
  </si>
  <si>
    <t>Columna4031</t>
  </si>
  <si>
    <t>Columna4032</t>
  </si>
  <si>
    <t>Columna4033</t>
  </si>
  <si>
    <t>Columna4034</t>
  </si>
  <si>
    <t>Columna4035</t>
  </si>
  <si>
    <t>Columna4036</t>
  </si>
  <si>
    <t>Columna4037</t>
  </si>
  <si>
    <t>Columna4038</t>
  </si>
  <si>
    <t>Columna4039</t>
  </si>
  <si>
    <t>Columna4040</t>
  </si>
  <si>
    <t>Columna4041</t>
  </si>
  <si>
    <t>Columna4042</t>
  </si>
  <si>
    <t>Columna4043</t>
  </si>
  <si>
    <t>Columna4044</t>
  </si>
  <si>
    <t>Columna4045</t>
  </si>
  <si>
    <t>Columna4046</t>
  </si>
  <si>
    <t>Columna4047</t>
  </si>
  <si>
    <t>Columna4048</t>
  </si>
  <si>
    <t>Columna4049</t>
  </si>
  <si>
    <t>Columna4050</t>
  </si>
  <si>
    <t>Columna4051</t>
  </si>
  <si>
    <t>Columna4052</t>
  </si>
  <si>
    <t>Columna4053</t>
  </si>
  <si>
    <t>Columna4054</t>
  </si>
  <si>
    <t>Columna4055</t>
  </si>
  <si>
    <t>Columna4056</t>
  </si>
  <si>
    <t>Columna4057</t>
  </si>
  <si>
    <t>Columna4058</t>
  </si>
  <si>
    <t>Columna4059</t>
  </si>
  <si>
    <t>Columna4060</t>
  </si>
  <si>
    <t>Columna4061</t>
  </si>
  <si>
    <t>Columna4062</t>
  </si>
  <si>
    <t>Columna4063</t>
  </si>
  <si>
    <t>Columna4064</t>
  </si>
  <si>
    <t>Columna4065</t>
  </si>
  <si>
    <t>Columna4066</t>
  </si>
  <si>
    <t>Columna4067</t>
  </si>
  <si>
    <t>Columna4068</t>
  </si>
  <si>
    <t>Columna4069</t>
  </si>
  <si>
    <t>Columna4070</t>
  </si>
  <si>
    <t>Columna4071</t>
  </si>
  <si>
    <t>Columna4072</t>
  </si>
  <si>
    <t>Columna4073</t>
  </si>
  <si>
    <t>Columna4074</t>
  </si>
  <si>
    <t>Columna4075</t>
  </si>
  <si>
    <t>Columna4076</t>
  </si>
  <si>
    <t>Columna4077</t>
  </si>
  <si>
    <t>Columna4078</t>
  </si>
  <si>
    <t>Columna4079</t>
  </si>
  <si>
    <t>Columna4080</t>
  </si>
  <si>
    <t>Columna4081</t>
  </si>
  <si>
    <t>Columna4082</t>
  </si>
  <si>
    <t>Columna4083</t>
  </si>
  <si>
    <t>Columna4084</t>
  </si>
  <si>
    <t>Columna4085</t>
  </si>
  <si>
    <t>Columna4086</t>
  </si>
  <si>
    <t>Columna4087</t>
  </si>
  <si>
    <t>Columna4088</t>
  </si>
  <si>
    <t>Columna4089</t>
  </si>
  <si>
    <t>Columna4090</t>
  </si>
  <si>
    <t>Columna4091</t>
  </si>
  <si>
    <t>Columna4092</t>
  </si>
  <si>
    <t>Columna4093</t>
  </si>
  <si>
    <t>Columna4094</t>
  </si>
  <si>
    <t>Columna4095</t>
  </si>
  <si>
    <t>Columna4096</t>
  </si>
  <si>
    <t>Columna4097</t>
  </si>
  <si>
    <t>Columna4098</t>
  </si>
  <si>
    <t>Columna4099</t>
  </si>
  <si>
    <t>Columna4100</t>
  </si>
  <si>
    <t>Columna4101</t>
  </si>
  <si>
    <t>Columna4102</t>
  </si>
  <si>
    <t>Columna4103</t>
  </si>
  <si>
    <t>Columna4104</t>
  </si>
  <si>
    <t>Columna4105</t>
  </si>
  <si>
    <t>Columna4106</t>
  </si>
  <si>
    <t>Columna4107</t>
  </si>
  <si>
    <t>Columna4108</t>
  </si>
  <si>
    <t>Columna4109</t>
  </si>
  <si>
    <t>Columna4110</t>
  </si>
  <si>
    <t>Columna4111</t>
  </si>
  <si>
    <t>Columna4112</t>
  </si>
  <si>
    <t>Columna4113</t>
  </si>
  <si>
    <t>Columna4114</t>
  </si>
  <si>
    <t>Columna4115</t>
  </si>
  <si>
    <t>Columna4116</t>
  </si>
  <si>
    <t>Columna4117</t>
  </si>
  <si>
    <t>Columna4118</t>
  </si>
  <si>
    <t>Columna4119</t>
  </si>
  <si>
    <t>Columna4120</t>
  </si>
  <si>
    <t>Columna4121</t>
  </si>
  <si>
    <t>Columna4122</t>
  </si>
  <si>
    <t>Columna4123</t>
  </si>
  <si>
    <t>Columna4124</t>
  </si>
  <si>
    <t>Columna4125</t>
  </si>
  <si>
    <t>Columna4126</t>
  </si>
  <si>
    <t>Columna4127</t>
  </si>
  <si>
    <t>Columna4128</t>
  </si>
  <si>
    <t>Columna4129</t>
  </si>
  <si>
    <t>Columna4130</t>
  </si>
  <si>
    <t>Columna4131</t>
  </si>
  <si>
    <t>Columna4132</t>
  </si>
  <si>
    <t>Columna4133</t>
  </si>
  <si>
    <t>Columna4134</t>
  </si>
  <si>
    <t>Columna4135</t>
  </si>
  <si>
    <t>Columna4136</t>
  </si>
  <si>
    <t>Columna4137</t>
  </si>
  <si>
    <t>Columna4138</t>
  </si>
  <si>
    <t>Columna4139</t>
  </si>
  <si>
    <t>Columna4140</t>
  </si>
  <si>
    <t>Columna4141</t>
  </si>
  <si>
    <t>Columna4142</t>
  </si>
  <si>
    <t>Columna4143</t>
  </si>
  <si>
    <t>Columna4144</t>
  </si>
  <si>
    <t>Columna4145</t>
  </si>
  <si>
    <t>Columna4146</t>
  </si>
  <si>
    <t>Columna4147</t>
  </si>
  <si>
    <t>Columna4148</t>
  </si>
  <si>
    <t>Columna4149</t>
  </si>
  <si>
    <t>Columna4150</t>
  </si>
  <si>
    <t>Columna4151</t>
  </si>
  <si>
    <t>Columna4152</t>
  </si>
  <si>
    <t>Columna4153</t>
  </si>
  <si>
    <t>Columna4154</t>
  </si>
  <si>
    <t>Columna4155</t>
  </si>
  <si>
    <t>Columna4156</t>
  </si>
  <si>
    <t>Columna4157</t>
  </si>
  <si>
    <t>Columna4158</t>
  </si>
  <si>
    <t>Columna4159</t>
  </si>
  <si>
    <t>Columna4160</t>
  </si>
  <si>
    <t>Columna4161</t>
  </si>
  <si>
    <t>Columna4162</t>
  </si>
  <si>
    <t>Columna4163</t>
  </si>
  <si>
    <t>Columna4164</t>
  </si>
  <si>
    <t>Columna4165</t>
  </si>
  <si>
    <t>Columna4166</t>
  </si>
  <si>
    <t>Columna4167</t>
  </si>
  <si>
    <t>Columna4168</t>
  </si>
  <si>
    <t>Columna4169</t>
  </si>
  <si>
    <t>Columna4170</t>
  </si>
  <si>
    <t>Columna4171</t>
  </si>
  <si>
    <t>Columna4172</t>
  </si>
  <si>
    <t>Columna4173</t>
  </si>
  <si>
    <t>Columna4174</t>
  </si>
  <si>
    <t>Columna4175</t>
  </si>
  <si>
    <t>Columna4176</t>
  </si>
  <si>
    <t>Columna4177</t>
  </si>
  <si>
    <t>Columna4178</t>
  </si>
  <si>
    <t>Columna4179</t>
  </si>
  <si>
    <t>Columna4180</t>
  </si>
  <si>
    <t>Columna4181</t>
  </si>
  <si>
    <t>Columna4182</t>
  </si>
  <si>
    <t>Columna4183</t>
  </si>
  <si>
    <t>Columna4184</t>
  </si>
  <si>
    <t>Columna4185</t>
  </si>
  <si>
    <t>Columna4186</t>
  </si>
  <si>
    <t>Columna4187</t>
  </si>
  <si>
    <t>Columna4188</t>
  </si>
  <si>
    <t>Columna4189</t>
  </si>
  <si>
    <t>Columna4190</t>
  </si>
  <si>
    <t>Columna4191</t>
  </si>
  <si>
    <t>Columna4192</t>
  </si>
  <si>
    <t>Columna4193</t>
  </si>
  <si>
    <t>Columna4194</t>
  </si>
  <si>
    <t>Columna4195</t>
  </si>
  <si>
    <t>Columna4196</t>
  </si>
  <si>
    <t>Columna4197</t>
  </si>
  <si>
    <t>Columna4198</t>
  </si>
  <si>
    <t>Columna4199</t>
  </si>
  <si>
    <t>Columna4200</t>
  </si>
  <si>
    <t>Columna4201</t>
  </si>
  <si>
    <t>Columna4202</t>
  </si>
  <si>
    <t>Columna4203</t>
  </si>
  <si>
    <t>Columna4204</t>
  </si>
  <si>
    <t>Columna4205</t>
  </si>
  <si>
    <t>Columna4206</t>
  </si>
  <si>
    <t>Columna4207</t>
  </si>
  <si>
    <t>Columna4208</t>
  </si>
  <si>
    <t>Columna4209</t>
  </si>
  <si>
    <t>Columna4210</t>
  </si>
  <si>
    <t>Columna4211</t>
  </si>
  <si>
    <t>Columna4212</t>
  </si>
  <si>
    <t>Columna4213</t>
  </si>
  <si>
    <t>Columna4214</t>
  </si>
  <si>
    <t>Columna4215</t>
  </si>
  <si>
    <t>Columna4216</t>
  </si>
  <si>
    <t>Columna4217</t>
  </si>
  <si>
    <t>Columna4218</t>
  </si>
  <si>
    <t>Columna4219</t>
  </si>
  <si>
    <t>Columna4220</t>
  </si>
  <si>
    <t>Columna4221</t>
  </si>
  <si>
    <t>Columna4222</t>
  </si>
  <si>
    <t>Columna4223</t>
  </si>
  <si>
    <t>Columna4224</t>
  </si>
  <si>
    <t>Columna4225</t>
  </si>
  <si>
    <t>Columna4226</t>
  </si>
  <si>
    <t>Columna4227</t>
  </si>
  <si>
    <t>Columna4228</t>
  </si>
  <si>
    <t>Columna4229</t>
  </si>
  <si>
    <t>Columna4230</t>
  </si>
  <si>
    <t>Columna4231</t>
  </si>
  <si>
    <t>Columna4232</t>
  </si>
  <si>
    <t>Columna4233</t>
  </si>
  <si>
    <t>Columna4234</t>
  </si>
  <si>
    <t>Columna4235</t>
  </si>
  <si>
    <t>Columna4236</t>
  </si>
  <si>
    <t>Columna4237</t>
  </si>
  <si>
    <t>Columna4238</t>
  </si>
  <si>
    <t>Columna4239</t>
  </si>
  <si>
    <t>Columna4240</t>
  </si>
  <si>
    <t>Columna4241</t>
  </si>
  <si>
    <t>Columna4242</t>
  </si>
  <si>
    <t>Columna4243</t>
  </si>
  <si>
    <t>Columna4244</t>
  </si>
  <si>
    <t>Columna4245</t>
  </si>
  <si>
    <t>Columna4246</t>
  </si>
  <si>
    <t>Columna4247</t>
  </si>
  <si>
    <t>Columna4248</t>
  </si>
  <si>
    <t>Columna4249</t>
  </si>
  <si>
    <t>Columna4250</t>
  </si>
  <si>
    <t>Columna4251</t>
  </si>
  <si>
    <t>Columna4252</t>
  </si>
  <si>
    <t>Columna4253</t>
  </si>
  <si>
    <t>Columna4254</t>
  </si>
  <si>
    <t>Columna4255</t>
  </si>
  <si>
    <t>Columna4256</t>
  </si>
  <si>
    <t>Columna4257</t>
  </si>
  <si>
    <t>Columna4258</t>
  </si>
  <si>
    <t>Columna4259</t>
  </si>
  <si>
    <t>Columna4260</t>
  </si>
  <si>
    <t>Columna4261</t>
  </si>
  <si>
    <t>Columna4262</t>
  </si>
  <si>
    <t>Columna4263</t>
  </si>
  <si>
    <t>Columna4264</t>
  </si>
  <si>
    <t>Columna4265</t>
  </si>
  <si>
    <t>Columna4266</t>
  </si>
  <si>
    <t>Columna4267</t>
  </si>
  <si>
    <t>Columna4268</t>
  </si>
  <si>
    <t>Columna4269</t>
  </si>
  <si>
    <t>Columna4270</t>
  </si>
  <si>
    <t>Columna4271</t>
  </si>
  <si>
    <t>Columna4272</t>
  </si>
  <si>
    <t>Columna4273</t>
  </si>
  <si>
    <t>Columna4274</t>
  </si>
  <si>
    <t>Columna4275</t>
  </si>
  <si>
    <t>Columna4276</t>
  </si>
  <si>
    <t>Columna4277</t>
  </si>
  <si>
    <t>Columna4278</t>
  </si>
  <si>
    <t>Columna4279</t>
  </si>
  <si>
    <t>Columna4280</t>
  </si>
  <si>
    <t>Columna4281</t>
  </si>
  <si>
    <t>Columna4282</t>
  </si>
  <si>
    <t>Columna4283</t>
  </si>
  <si>
    <t>Columna4284</t>
  </si>
  <si>
    <t>Columna4285</t>
  </si>
  <si>
    <t>Columna4286</t>
  </si>
  <si>
    <t>Columna4287</t>
  </si>
  <si>
    <t>Columna4288</t>
  </si>
  <si>
    <t>Columna4289</t>
  </si>
  <si>
    <t>Columna4290</t>
  </si>
  <si>
    <t>Columna4291</t>
  </si>
  <si>
    <t>Columna4292</t>
  </si>
  <si>
    <t>Columna4293</t>
  </si>
  <si>
    <t>Columna4294</t>
  </si>
  <si>
    <t>Columna4295</t>
  </si>
  <si>
    <t>Columna4296</t>
  </si>
  <si>
    <t>Columna4297</t>
  </si>
  <si>
    <t>Columna4298</t>
  </si>
  <si>
    <t>Columna4299</t>
  </si>
  <si>
    <t>Columna4300</t>
  </si>
  <si>
    <t>Columna4301</t>
  </si>
  <si>
    <t>Columna4302</t>
  </si>
  <si>
    <t>Columna4303</t>
  </si>
  <si>
    <t>Columna4304</t>
  </si>
  <si>
    <t>Columna4305</t>
  </si>
  <si>
    <t>Columna4306</t>
  </si>
  <si>
    <t>Columna4307</t>
  </si>
  <si>
    <t>Columna4308</t>
  </si>
  <si>
    <t>Columna4309</t>
  </si>
  <si>
    <t>Columna4310</t>
  </si>
  <si>
    <t>Columna4311</t>
  </si>
  <si>
    <t>Columna4312</t>
  </si>
  <si>
    <t>Columna4313</t>
  </si>
  <si>
    <t>Columna4314</t>
  </si>
  <si>
    <t>Columna4315</t>
  </si>
  <si>
    <t>Columna4316</t>
  </si>
  <si>
    <t>Columna4317</t>
  </si>
  <si>
    <t>Columna4318</t>
  </si>
  <si>
    <t>Columna4319</t>
  </si>
  <si>
    <t>Columna4320</t>
  </si>
  <si>
    <t>Columna4321</t>
  </si>
  <si>
    <t>Columna4322</t>
  </si>
  <si>
    <t>Columna4323</t>
  </si>
  <si>
    <t>Columna4324</t>
  </si>
  <si>
    <t>Columna4325</t>
  </si>
  <si>
    <t>Columna4326</t>
  </si>
  <si>
    <t>Columna4327</t>
  </si>
  <si>
    <t>Columna4328</t>
  </si>
  <si>
    <t>Columna4329</t>
  </si>
  <si>
    <t>Columna4330</t>
  </si>
  <si>
    <t>Columna4331</t>
  </si>
  <si>
    <t>Columna4332</t>
  </si>
  <si>
    <t>Columna4333</t>
  </si>
  <si>
    <t>Columna4334</t>
  </si>
  <si>
    <t>Columna4335</t>
  </si>
  <si>
    <t>Columna4336</t>
  </si>
  <si>
    <t>Columna4337</t>
  </si>
  <si>
    <t>Columna4338</t>
  </si>
  <si>
    <t>Columna4339</t>
  </si>
  <si>
    <t>Columna4340</t>
  </si>
  <si>
    <t>Columna4341</t>
  </si>
  <si>
    <t>Columna4342</t>
  </si>
  <si>
    <t>Columna4343</t>
  </si>
  <si>
    <t>Columna4344</t>
  </si>
  <si>
    <t>Columna4345</t>
  </si>
  <si>
    <t>Columna4346</t>
  </si>
  <si>
    <t>Columna4347</t>
  </si>
  <si>
    <t>Columna4348</t>
  </si>
  <si>
    <t>Columna4349</t>
  </si>
  <si>
    <t>Columna4350</t>
  </si>
  <si>
    <t>Columna4351</t>
  </si>
  <si>
    <t>Columna4352</t>
  </si>
  <si>
    <t>Columna4353</t>
  </si>
  <si>
    <t>Columna4354</t>
  </si>
  <si>
    <t>Columna4355</t>
  </si>
  <si>
    <t>Columna4356</t>
  </si>
  <si>
    <t>Columna4357</t>
  </si>
  <si>
    <t>Columna4358</t>
  </si>
  <si>
    <t>Columna4359</t>
  </si>
  <si>
    <t>Columna4360</t>
  </si>
  <si>
    <t>Columna4361</t>
  </si>
  <si>
    <t>Columna4362</t>
  </si>
  <si>
    <t>Columna4363</t>
  </si>
  <si>
    <t>Columna4364</t>
  </si>
  <si>
    <t>Columna4365</t>
  </si>
  <si>
    <t>Columna4366</t>
  </si>
  <si>
    <t>Columna4367</t>
  </si>
  <si>
    <t>Columna4368</t>
  </si>
  <si>
    <t>Columna4369</t>
  </si>
  <si>
    <t>Columna4370</t>
  </si>
  <si>
    <t>Columna4371</t>
  </si>
  <si>
    <t>Columna4372</t>
  </si>
  <si>
    <t>Columna4373</t>
  </si>
  <si>
    <t>Columna4374</t>
  </si>
  <si>
    <t>Columna4375</t>
  </si>
  <si>
    <t>Columna4376</t>
  </si>
  <si>
    <t>Columna4377</t>
  </si>
  <si>
    <t>Columna4378</t>
  </si>
  <si>
    <t>Columna4379</t>
  </si>
  <si>
    <t>Columna4380</t>
  </si>
  <si>
    <t>Columna4381</t>
  </si>
  <si>
    <t>Columna4382</t>
  </si>
  <si>
    <t>Columna4383</t>
  </si>
  <si>
    <t>Columna4384</t>
  </si>
  <si>
    <t>Columna4385</t>
  </si>
  <si>
    <t>Columna4386</t>
  </si>
  <si>
    <t>Columna4387</t>
  </si>
  <si>
    <t>Columna4388</t>
  </si>
  <si>
    <t>Columna4389</t>
  </si>
  <si>
    <t>Columna4390</t>
  </si>
  <si>
    <t>Columna4391</t>
  </si>
  <si>
    <t>Columna4392</t>
  </si>
  <si>
    <t>Columna4393</t>
  </si>
  <si>
    <t>Columna4394</t>
  </si>
  <si>
    <t>Columna4395</t>
  </si>
  <si>
    <t>Columna4396</t>
  </si>
  <si>
    <t>Columna4397</t>
  </si>
  <si>
    <t>Columna4398</t>
  </si>
  <si>
    <t>Columna4399</t>
  </si>
  <si>
    <t>Columna4400</t>
  </si>
  <si>
    <t>Columna4401</t>
  </si>
  <si>
    <t>Columna4402</t>
  </si>
  <si>
    <t>Columna4403</t>
  </si>
  <si>
    <t>Columna4404</t>
  </si>
  <si>
    <t>Columna4405</t>
  </si>
  <si>
    <t>Columna4406</t>
  </si>
  <si>
    <t>Columna4407</t>
  </si>
  <si>
    <t>Columna4408</t>
  </si>
  <si>
    <t>Columna4409</t>
  </si>
  <si>
    <t>Columna4410</t>
  </si>
  <si>
    <t>Columna4411</t>
  </si>
  <si>
    <t>Columna4412</t>
  </si>
  <si>
    <t>Columna4413</t>
  </si>
  <si>
    <t>Columna4414</t>
  </si>
  <si>
    <t>Columna4415</t>
  </si>
  <si>
    <t>Columna4416</t>
  </si>
  <si>
    <t>Columna4417</t>
  </si>
  <si>
    <t>Columna4418</t>
  </si>
  <si>
    <t>Columna4419</t>
  </si>
  <si>
    <t>Columna4420</t>
  </si>
  <si>
    <t>Columna4421</t>
  </si>
  <si>
    <t>Columna4422</t>
  </si>
  <si>
    <t>Columna4423</t>
  </si>
  <si>
    <t>Columna4424</t>
  </si>
  <si>
    <t>Columna4425</t>
  </si>
  <si>
    <t>Columna4426</t>
  </si>
  <si>
    <t>Columna4427</t>
  </si>
  <si>
    <t>Columna4428</t>
  </si>
  <si>
    <t>Columna4429</t>
  </si>
  <si>
    <t>Columna4430</t>
  </si>
  <si>
    <t>Columna4431</t>
  </si>
  <si>
    <t>Columna4432</t>
  </si>
  <si>
    <t>Columna4433</t>
  </si>
  <si>
    <t>Columna4434</t>
  </si>
  <si>
    <t>Columna4435</t>
  </si>
  <si>
    <t>Columna4436</t>
  </si>
  <si>
    <t>Columna4437</t>
  </si>
  <si>
    <t>Columna4438</t>
  </si>
  <si>
    <t>Columna4439</t>
  </si>
  <si>
    <t>Columna4440</t>
  </si>
  <si>
    <t>Columna4441</t>
  </si>
  <si>
    <t>Columna4442</t>
  </si>
  <si>
    <t>Columna4443</t>
  </si>
  <si>
    <t>Columna4444</t>
  </si>
  <si>
    <t>Columna4445</t>
  </si>
  <si>
    <t>Columna4446</t>
  </si>
  <si>
    <t>Columna4447</t>
  </si>
  <si>
    <t>Columna4448</t>
  </si>
  <si>
    <t>Columna4449</t>
  </si>
  <si>
    <t>Columna4450</t>
  </si>
  <si>
    <t>Columna4451</t>
  </si>
  <si>
    <t>Columna4452</t>
  </si>
  <si>
    <t>Columna4453</t>
  </si>
  <si>
    <t>Columna4454</t>
  </si>
  <si>
    <t>Columna4455</t>
  </si>
  <si>
    <t>Columna4456</t>
  </si>
  <si>
    <t>Columna4457</t>
  </si>
  <si>
    <t>Columna4458</t>
  </si>
  <si>
    <t>Columna4459</t>
  </si>
  <si>
    <t>Columna4460</t>
  </si>
  <si>
    <t>Columna4461</t>
  </si>
  <si>
    <t>Columna4462</t>
  </si>
  <si>
    <t>Columna4463</t>
  </si>
  <si>
    <t>Columna4464</t>
  </si>
  <si>
    <t>Columna4465</t>
  </si>
  <si>
    <t>Columna4466</t>
  </si>
  <si>
    <t>Columna4467</t>
  </si>
  <si>
    <t>Columna4468</t>
  </si>
  <si>
    <t>Columna4469</t>
  </si>
  <si>
    <t>Columna4470</t>
  </si>
  <si>
    <t>Columna4471</t>
  </si>
  <si>
    <t>Columna4472</t>
  </si>
  <si>
    <t>Columna4473</t>
  </si>
  <si>
    <t>Columna4474</t>
  </si>
  <si>
    <t>Columna4475</t>
  </si>
  <si>
    <t>Columna4476</t>
  </si>
  <si>
    <t>Columna4477</t>
  </si>
  <si>
    <t>Columna4478</t>
  </si>
  <si>
    <t>Columna4479</t>
  </si>
  <si>
    <t>Columna4480</t>
  </si>
  <si>
    <t>Columna4481</t>
  </si>
  <si>
    <t>Columna4482</t>
  </si>
  <si>
    <t>Columna4483</t>
  </si>
  <si>
    <t>Columna4484</t>
  </si>
  <si>
    <t>Columna4485</t>
  </si>
  <si>
    <t>Columna4486</t>
  </si>
  <si>
    <t>Columna4487</t>
  </si>
  <si>
    <t>Columna4488</t>
  </si>
  <si>
    <t>Columna4489</t>
  </si>
  <si>
    <t>Columna4490</t>
  </si>
  <si>
    <t>Columna4491</t>
  </si>
  <si>
    <t>Columna4492</t>
  </si>
  <si>
    <t>Columna4493</t>
  </si>
  <si>
    <t>Columna4494</t>
  </si>
  <si>
    <t>Columna4495</t>
  </si>
  <si>
    <t>Columna4496</t>
  </si>
  <si>
    <t>Columna4497</t>
  </si>
  <si>
    <t>Columna4498</t>
  </si>
  <si>
    <t>Columna4499</t>
  </si>
  <si>
    <t>Columna4500</t>
  </si>
  <si>
    <t>Columna4501</t>
  </si>
  <si>
    <t>Columna4502</t>
  </si>
  <si>
    <t>Columna4503</t>
  </si>
  <si>
    <t>Columna4504</t>
  </si>
  <si>
    <t>Columna4505</t>
  </si>
  <si>
    <t>Columna4506</t>
  </si>
  <si>
    <t>Columna4507</t>
  </si>
  <si>
    <t>Columna4508</t>
  </si>
  <si>
    <t>Columna4509</t>
  </si>
  <si>
    <t>Columna4510</t>
  </si>
  <si>
    <t>Columna4511</t>
  </si>
  <si>
    <t>Columna4512</t>
  </si>
  <si>
    <t>Columna4513</t>
  </si>
  <si>
    <t>Columna4514</t>
  </si>
  <si>
    <t>Columna4515</t>
  </si>
  <si>
    <t>Columna4516</t>
  </si>
  <si>
    <t>Columna4517</t>
  </si>
  <si>
    <t>Columna4518</t>
  </si>
  <si>
    <t>Columna4519</t>
  </si>
  <si>
    <t>Columna4520</t>
  </si>
  <si>
    <t>Columna4521</t>
  </si>
  <si>
    <t>Columna4522</t>
  </si>
  <si>
    <t>Columna4523</t>
  </si>
  <si>
    <t>Columna4524</t>
  </si>
  <si>
    <t>Columna4525</t>
  </si>
  <si>
    <t>Columna4526</t>
  </si>
  <si>
    <t>Columna4527</t>
  </si>
  <si>
    <t>Columna4528</t>
  </si>
  <si>
    <t>Columna4529</t>
  </si>
  <si>
    <t>Columna4530</t>
  </si>
  <si>
    <t>Columna4531</t>
  </si>
  <si>
    <t>Columna4532</t>
  </si>
  <si>
    <t>Columna4533</t>
  </si>
  <si>
    <t>Columna4534</t>
  </si>
  <si>
    <t>Columna4535</t>
  </si>
  <si>
    <t>Columna4536</t>
  </si>
  <si>
    <t>Columna4537</t>
  </si>
  <si>
    <t>Columna4538</t>
  </si>
  <si>
    <t>Columna4539</t>
  </si>
  <si>
    <t>Columna4540</t>
  </si>
  <si>
    <t>Columna4541</t>
  </si>
  <si>
    <t>Columna4542</t>
  </si>
  <si>
    <t>Columna4543</t>
  </si>
  <si>
    <t>Columna4544</t>
  </si>
  <si>
    <t>Columna4545</t>
  </si>
  <si>
    <t>Columna4546</t>
  </si>
  <si>
    <t>Columna4547</t>
  </si>
  <si>
    <t>Columna4548</t>
  </si>
  <si>
    <t>Columna4549</t>
  </si>
  <si>
    <t>Columna4550</t>
  </si>
  <si>
    <t>Columna4551</t>
  </si>
  <si>
    <t>Columna4552</t>
  </si>
  <si>
    <t>Columna4553</t>
  </si>
  <si>
    <t>Columna4554</t>
  </si>
  <si>
    <t>Columna4555</t>
  </si>
  <si>
    <t>Columna4556</t>
  </si>
  <si>
    <t>Columna4557</t>
  </si>
  <si>
    <t>Columna4558</t>
  </si>
  <si>
    <t>Columna4559</t>
  </si>
  <si>
    <t>Columna4560</t>
  </si>
  <si>
    <t>Columna4561</t>
  </si>
  <si>
    <t>Columna4562</t>
  </si>
  <si>
    <t>Columna4563</t>
  </si>
  <si>
    <t>Columna4564</t>
  </si>
  <si>
    <t>Columna4565</t>
  </si>
  <si>
    <t>Columna4566</t>
  </si>
  <si>
    <t>Columna4567</t>
  </si>
  <si>
    <t>Columna4568</t>
  </si>
  <si>
    <t>Columna4569</t>
  </si>
  <si>
    <t>Columna4570</t>
  </si>
  <si>
    <t>Columna4571</t>
  </si>
  <si>
    <t>Columna4572</t>
  </si>
  <si>
    <t>Columna4573</t>
  </si>
  <si>
    <t>Columna4574</t>
  </si>
  <si>
    <t>Columna4575</t>
  </si>
  <si>
    <t>Columna4576</t>
  </si>
  <si>
    <t>Columna4577</t>
  </si>
  <si>
    <t>Columna4578</t>
  </si>
  <si>
    <t>Columna4579</t>
  </si>
  <si>
    <t>Columna4580</t>
  </si>
  <si>
    <t>Columna4581</t>
  </si>
  <si>
    <t>Columna4582</t>
  </si>
  <si>
    <t>Columna4583</t>
  </si>
  <si>
    <t>Columna4584</t>
  </si>
  <si>
    <t>Columna4585</t>
  </si>
  <si>
    <t>Columna4586</t>
  </si>
  <si>
    <t>Columna4587</t>
  </si>
  <si>
    <t>Columna4588</t>
  </si>
  <si>
    <t>Columna4589</t>
  </si>
  <si>
    <t>Columna4590</t>
  </si>
  <si>
    <t>Columna4591</t>
  </si>
  <si>
    <t>Columna4592</t>
  </si>
  <si>
    <t>Columna4593</t>
  </si>
  <si>
    <t>Columna4594</t>
  </si>
  <si>
    <t>Columna4595</t>
  </si>
  <si>
    <t>Columna4596</t>
  </si>
  <si>
    <t>Columna4597</t>
  </si>
  <si>
    <t>Columna4598</t>
  </si>
  <si>
    <t>Columna4599</t>
  </si>
  <si>
    <t>Columna4600</t>
  </si>
  <si>
    <t>Columna4601</t>
  </si>
  <si>
    <t>Columna4602</t>
  </si>
  <si>
    <t>Columna4603</t>
  </si>
  <si>
    <t>Columna4604</t>
  </si>
  <si>
    <t>Columna4605</t>
  </si>
  <si>
    <t>Columna4606</t>
  </si>
  <si>
    <t>Columna4607</t>
  </si>
  <si>
    <t>Columna4608</t>
  </si>
  <si>
    <t>Columna4609</t>
  </si>
  <si>
    <t>Columna4610</t>
  </si>
  <si>
    <t>Columna4611</t>
  </si>
  <si>
    <t>Columna4612</t>
  </si>
  <si>
    <t>Columna4613</t>
  </si>
  <si>
    <t>Columna4614</t>
  </si>
  <si>
    <t>Columna4615</t>
  </si>
  <si>
    <t>Columna4616</t>
  </si>
  <si>
    <t>Columna4617</t>
  </si>
  <si>
    <t>Columna4618</t>
  </si>
  <si>
    <t>Columna4619</t>
  </si>
  <si>
    <t>Columna4620</t>
  </si>
  <si>
    <t>Columna4621</t>
  </si>
  <si>
    <t>Columna4622</t>
  </si>
  <si>
    <t>Columna4623</t>
  </si>
  <si>
    <t>Columna4624</t>
  </si>
  <si>
    <t>Columna4625</t>
  </si>
  <si>
    <t>Columna4626</t>
  </si>
  <si>
    <t>Columna4627</t>
  </si>
  <si>
    <t>Columna4628</t>
  </si>
  <si>
    <t>Columna4629</t>
  </si>
  <si>
    <t>Columna4630</t>
  </si>
  <si>
    <t>Columna4631</t>
  </si>
  <si>
    <t>Columna4632</t>
  </si>
  <si>
    <t>Columna4633</t>
  </si>
  <si>
    <t>Columna4634</t>
  </si>
  <si>
    <t>Columna4635</t>
  </si>
  <si>
    <t>Columna4636</t>
  </si>
  <si>
    <t>Columna4637</t>
  </si>
  <si>
    <t>Columna4638</t>
  </si>
  <si>
    <t>Columna4639</t>
  </si>
  <si>
    <t>Columna4640</t>
  </si>
  <si>
    <t>Columna4641</t>
  </si>
  <si>
    <t>Columna4642</t>
  </si>
  <si>
    <t>Columna4643</t>
  </si>
  <si>
    <t>Columna4644</t>
  </si>
  <si>
    <t>Columna4645</t>
  </si>
  <si>
    <t>Columna4646</t>
  </si>
  <si>
    <t>Columna4647</t>
  </si>
  <si>
    <t>Columna4648</t>
  </si>
  <si>
    <t>Columna4649</t>
  </si>
  <si>
    <t>Columna4650</t>
  </si>
  <si>
    <t>Columna4651</t>
  </si>
  <si>
    <t>Columna4652</t>
  </si>
  <si>
    <t>Columna4653</t>
  </si>
  <si>
    <t>Columna4654</t>
  </si>
  <si>
    <t>Columna4655</t>
  </si>
  <si>
    <t>Columna4656</t>
  </si>
  <si>
    <t>Columna4657</t>
  </si>
  <si>
    <t>Columna4658</t>
  </si>
  <si>
    <t>Columna4659</t>
  </si>
  <si>
    <t>Columna4660</t>
  </si>
  <si>
    <t>Columna4661</t>
  </si>
  <si>
    <t>Columna4662</t>
  </si>
  <si>
    <t>Columna4663</t>
  </si>
  <si>
    <t>Columna4664</t>
  </si>
  <si>
    <t>Columna4665</t>
  </si>
  <si>
    <t>Columna4666</t>
  </si>
  <si>
    <t>Columna4667</t>
  </si>
  <si>
    <t>Columna4668</t>
  </si>
  <si>
    <t>Columna4669</t>
  </si>
  <si>
    <t>Columna4670</t>
  </si>
  <si>
    <t>Columna4671</t>
  </si>
  <si>
    <t>Columna4672</t>
  </si>
  <si>
    <t>Columna4673</t>
  </si>
  <si>
    <t>Columna4674</t>
  </si>
  <si>
    <t>Columna4675</t>
  </si>
  <si>
    <t>Columna4676</t>
  </si>
  <si>
    <t>Columna4677</t>
  </si>
  <si>
    <t>Columna4678</t>
  </si>
  <si>
    <t>Columna4679</t>
  </si>
  <si>
    <t>Columna4680</t>
  </si>
  <si>
    <t>Columna4681</t>
  </si>
  <si>
    <t>Columna4682</t>
  </si>
  <si>
    <t>Columna4683</t>
  </si>
  <si>
    <t>Columna4684</t>
  </si>
  <si>
    <t>Columna4685</t>
  </si>
  <si>
    <t>Columna4686</t>
  </si>
  <si>
    <t>Columna4687</t>
  </si>
  <si>
    <t>Columna4688</t>
  </si>
  <si>
    <t>Columna4689</t>
  </si>
  <si>
    <t>Columna4690</t>
  </si>
  <si>
    <t>Columna4691</t>
  </si>
  <si>
    <t>Columna4692</t>
  </si>
  <si>
    <t>Columna4693</t>
  </si>
  <si>
    <t>Columna4694</t>
  </si>
  <si>
    <t>Columna4695</t>
  </si>
  <si>
    <t>Columna4696</t>
  </si>
  <si>
    <t>Columna4697</t>
  </si>
  <si>
    <t>Columna4698</t>
  </si>
  <si>
    <t>Columna4699</t>
  </si>
  <si>
    <t>Columna4700</t>
  </si>
  <si>
    <t>Columna4701</t>
  </si>
  <si>
    <t>Columna4702</t>
  </si>
  <si>
    <t>Columna4703</t>
  </si>
  <si>
    <t>Columna4704</t>
  </si>
  <si>
    <t>Columna4705</t>
  </si>
  <si>
    <t>Columna4706</t>
  </si>
  <si>
    <t>Columna4707</t>
  </si>
  <si>
    <t>Columna4708</t>
  </si>
  <si>
    <t>Columna4709</t>
  </si>
  <si>
    <t>Columna4710</t>
  </si>
  <si>
    <t>Columna4711</t>
  </si>
  <si>
    <t>Columna4712</t>
  </si>
  <si>
    <t>Columna4713</t>
  </si>
  <si>
    <t>Columna4714</t>
  </si>
  <si>
    <t>Columna4715</t>
  </si>
  <si>
    <t>Columna4716</t>
  </si>
  <si>
    <t>Columna4717</t>
  </si>
  <si>
    <t>Columna4718</t>
  </si>
  <si>
    <t>Columna4719</t>
  </si>
  <si>
    <t>Columna4720</t>
  </si>
  <si>
    <t>Columna4721</t>
  </si>
  <si>
    <t>Columna4722</t>
  </si>
  <si>
    <t>Columna4723</t>
  </si>
  <si>
    <t>Columna4724</t>
  </si>
  <si>
    <t>Columna4725</t>
  </si>
  <si>
    <t>Columna4726</t>
  </si>
  <si>
    <t>Columna4727</t>
  </si>
  <si>
    <t>Columna4728</t>
  </si>
  <si>
    <t>Columna4729</t>
  </si>
  <si>
    <t>Columna4730</t>
  </si>
  <si>
    <t>Columna4731</t>
  </si>
  <si>
    <t>Columna4732</t>
  </si>
  <si>
    <t>Columna4733</t>
  </si>
  <si>
    <t>Columna4734</t>
  </si>
  <si>
    <t>Columna4735</t>
  </si>
  <si>
    <t>Columna4736</t>
  </si>
  <si>
    <t>Columna4737</t>
  </si>
  <si>
    <t>Columna4738</t>
  </si>
  <si>
    <t>Columna4739</t>
  </si>
  <si>
    <t>Columna4740</t>
  </si>
  <si>
    <t>Columna4741</t>
  </si>
  <si>
    <t>Columna4742</t>
  </si>
  <si>
    <t>Columna4743</t>
  </si>
  <si>
    <t>Columna4744</t>
  </si>
  <si>
    <t>Columna4745</t>
  </si>
  <si>
    <t>Columna4746</t>
  </si>
  <si>
    <t>Columna4747</t>
  </si>
  <si>
    <t>Columna4748</t>
  </si>
  <si>
    <t>Columna4749</t>
  </si>
  <si>
    <t>Columna4750</t>
  </si>
  <si>
    <t>Columna4751</t>
  </si>
  <si>
    <t>Columna4752</t>
  </si>
  <si>
    <t>Columna4753</t>
  </si>
  <si>
    <t>Columna4754</t>
  </si>
  <si>
    <t>Columna4755</t>
  </si>
  <si>
    <t>Columna4756</t>
  </si>
  <si>
    <t>Columna4757</t>
  </si>
  <si>
    <t>Columna4758</t>
  </si>
  <si>
    <t>Columna4759</t>
  </si>
  <si>
    <t>Columna4760</t>
  </si>
  <si>
    <t>Columna4761</t>
  </si>
  <si>
    <t>Columna4762</t>
  </si>
  <si>
    <t>Columna4763</t>
  </si>
  <si>
    <t>Columna4764</t>
  </si>
  <si>
    <t>Columna4765</t>
  </si>
  <si>
    <t>Columna4766</t>
  </si>
  <si>
    <t>Columna4767</t>
  </si>
  <si>
    <t>Columna4768</t>
  </si>
  <si>
    <t>Columna4769</t>
  </si>
  <si>
    <t>Columna4770</t>
  </si>
  <si>
    <t>Columna4771</t>
  </si>
  <si>
    <t>Columna4772</t>
  </si>
  <si>
    <t>Columna4773</t>
  </si>
  <si>
    <t>Columna4774</t>
  </si>
  <si>
    <t>Columna4775</t>
  </si>
  <si>
    <t>Columna4776</t>
  </si>
  <si>
    <t>Columna4777</t>
  </si>
  <si>
    <t>Columna4778</t>
  </si>
  <si>
    <t>Columna4779</t>
  </si>
  <si>
    <t>Columna4780</t>
  </si>
  <si>
    <t>Columna4781</t>
  </si>
  <si>
    <t>Columna4782</t>
  </si>
  <si>
    <t>Columna4783</t>
  </si>
  <si>
    <t>Columna4784</t>
  </si>
  <si>
    <t>Columna4785</t>
  </si>
  <si>
    <t>Columna4786</t>
  </si>
  <si>
    <t>Columna4787</t>
  </si>
  <si>
    <t>Columna4788</t>
  </si>
  <si>
    <t>Columna4789</t>
  </si>
  <si>
    <t>Columna4790</t>
  </si>
  <si>
    <t>Columna4791</t>
  </si>
  <si>
    <t>Columna4792</t>
  </si>
  <si>
    <t>Columna4793</t>
  </si>
  <si>
    <t>Columna4794</t>
  </si>
  <si>
    <t>Columna4795</t>
  </si>
  <si>
    <t>Columna4796</t>
  </si>
  <si>
    <t>Columna4797</t>
  </si>
  <si>
    <t>Columna4798</t>
  </si>
  <si>
    <t>Columna4799</t>
  </si>
  <si>
    <t>Columna4800</t>
  </si>
  <si>
    <t>Columna4801</t>
  </si>
  <si>
    <t>Columna4802</t>
  </si>
  <si>
    <t>Columna4803</t>
  </si>
  <si>
    <t>Columna4804</t>
  </si>
  <si>
    <t>Columna4805</t>
  </si>
  <si>
    <t>Columna4806</t>
  </si>
  <si>
    <t>Columna4807</t>
  </si>
  <si>
    <t>Columna4808</t>
  </si>
  <si>
    <t>Columna4809</t>
  </si>
  <si>
    <t>Columna4810</t>
  </si>
  <si>
    <t>Columna4811</t>
  </si>
  <si>
    <t>Columna4812</t>
  </si>
  <si>
    <t>Columna4813</t>
  </si>
  <si>
    <t>Columna4814</t>
  </si>
  <si>
    <t>Columna4815</t>
  </si>
  <si>
    <t>Columna4816</t>
  </si>
  <si>
    <t>Columna4817</t>
  </si>
  <si>
    <t>Columna4818</t>
  </si>
  <si>
    <t>Columna4819</t>
  </si>
  <si>
    <t>Columna4820</t>
  </si>
  <si>
    <t>Columna4821</t>
  </si>
  <si>
    <t>Columna4822</t>
  </si>
  <si>
    <t>Columna4823</t>
  </si>
  <si>
    <t>Columna4824</t>
  </si>
  <si>
    <t>Columna4825</t>
  </si>
  <si>
    <t>Columna4826</t>
  </si>
  <si>
    <t>Columna4827</t>
  </si>
  <si>
    <t>Columna4828</t>
  </si>
  <si>
    <t>Columna4829</t>
  </si>
  <si>
    <t>Columna4830</t>
  </si>
  <si>
    <t>Columna4831</t>
  </si>
  <si>
    <t>Columna4832</t>
  </si>
  <si>
    <t>Columna4833</t>
  </si>
  <si>
    <t>Columna4834</t>
  </si>
  <si>
    <t>Columna4835</t>
  </si>
  <si>
    <t>Columna4836</t>
  </si>
  <si>
    <t>Columna4837</t>
  </si>
  <si>
    <t>Columna4838</t>
  </si>
  <si>
    <t>Columna4839</t>
  </si>
  <si>
    <t>Columna4840</t>
  </si>
  <si>
    <t>Columna4841</t>
  </si>
  <si>
    <t>Columna4842</t>
  </si>
  <si>
    <t>Columna4843</t>
  </si>
  <si>
    <t>Columna4844</t>
  </si>
  <si>
    <t>Columna4845</t>
  </si>
  <si>
    <t>Columna4846</t>
  </si>
  <si>
    <t>Columna4847</t>
  </si>
  <si>
    <t>Columna4848</t>
  </si>
  <si>
    <t>Columna4849</t>
  </si>
  <si>
    <t>Columna4850</t>
  </si>
  <si>
    <t>Columna4851</t>
  </si>
  <si>
    <t>Columna4852</t>
  </si>
  <si>
    <t>Columna4853</t>
  </si>
  <si>
    <t>Columna4854</t>
  </si>
  <si>
    <t>Columna4855</t>
  </si>
  <si>
    <t>Columna4856</t>
  </si>
  <si>
    <t>Columna4857</t>
  </si>
  <si>
    <t>Columna4858</t>
  </si>
  <si>
    <t>Columna4859</t>
  </si>
  <si>
    <t>Columna4860</t>
  </si>
  <si>
    <t>Columna4861</t>
  </si>
  <si>
    <t>Columna4862</t>
  </si>
  <si>
    <t>Columna4863</t>
  </si>
  <si>
    <t>Columna4864</t>
  </si>
  <si>
    <t>Columna4865</t>
  </si>
  <si>
    <t>Columna4866</t>
  </si>
  <si>
    <t>Columna4867</t>
  </si>
  <si>
    <t>Columna4868</t>
  </si>
  <si>
    <t>Columna4869</t>
  </si>
  <si>
    <t>Columna4870</t>
  </si>
  <si>
    <t>Columna4871</t>
  </si>
  <si>
    <t>Columna4872</t>
  </si>
  <si>
    <t>Columna4873</t>
  </si>
  <si>
    <t>Columna4874</t>
  </si>
  <si>
    <t>Columna4875</t>
  </si>
  <si>
    <t>Columna4876</t>
  </si>
  <si>
    <t>Columna4877</t>
  </si>
  <si>
    <t>Columna4878</t>
  </si>
  <si>
    <t>Columna4879</t>
  </si>
  <si>
    <t>Columna4880</t>
  </si>
  <si>
    <t>Columna4881</t>
  </si>
  <si>
    <t>Columna4882</t>
  </si>
  <si>
    <t>Columna4883</t>
  </si>
  <si>
    <t>Columna4884</t>
  </si>
  <si>
    <t>Columna4885</t>
  </si>
  <si>
    <t>Columna4886</t>
  </si>
  <si>
    <t>Columna4887</t>
  </si>
  <si>
    <t>Columna4888</t>
  </si>
  <si>
    <t>Columna4889</t>
  </si>
  <si>
    <t>Columna4890</t>
  </si>
  <si>
    <t>Columna4891</t>
  </si>
  <si>
    <t>Columna4892</t>
  </si>
  <si>
    <t>Columna4893</t>
  </si>
  <si>
    <t>Columna4894</t>
  </si>
  <si>
    <t>Columna4895</t>
  </si>
  <si>
    <t>Columna4896</t>
  </si>
  <si>
    <t>Columna4897</t>
  </si>
  <si>
    <t>Columna4898</t>
  </si>
  <si>
    <t>Columna4899</t>
  </si>
  <si>
    <t>Columna4900</t>
  </si>
  <si>
    <t>Columna4901</t>
  </si>
  <si>
    <t>Columna4902</t>
  </si>
  <si>
    <t>Columna4903</t>
  </si>
  <si>
    <t>Columna4904</t>
  </si>
  <si>
    <t>Columna4905</t>
  </si>
  <si>
    <t>Columna4906</t>
  </si>
  <si>
    <t>Columna4907</t>
  </si>
  <si>
    <t>Columna4908</t>
  </si>
  <si>
    <t>Columna4909</t>
  </si>
  <si>
    <t>Columna4910</t>
  </si>
  <si>
    <t>Columna4911</t>
  </si>
  <si>
    <t>Columna4912</t>
  </si>
  <si>
    <t>Columna4913</t>
  </si>
  <si>
    <t>Columna4914</t>
  </si>
  <si>
    <t>Columna4915</t>
  </si>
  <si>
    <t>Columna4916</t>
  </si>
  <si>
    <t>Columna4917</t>
  </si>
  <si>
    <t>Columna4918</t>
  </si>
  <si>
    <t>Columna4919</t>
  </si>
  <si>
    <t>Columna4920</t>
  </si>
  <si>
    <t>Columna4921</t>
  </si>
  <si>
    <t>Columna4922</t>
  </si>
  <si>
    <t>Columna4923</t>
  </si>
  <si>
    <t>Columna4924</t>
  </si>
  <si>
    <t>Columna4925</t>
  </si>
  <si>
    <t>Columna4926</t>
  </si>
  <si>
    <t>Columna4927</t>
  </si>
  <si>
    <t>Columna4928</t>
  </si>
  <si>
    <t>Columna4929</t>
  </si>
  <si>
    <t>Columna4930</t>
  </si>
  <si>
    <t>Columna4931</t>
  </si>
  <si>
    <t>Columna4932</t>
  </si>
  <si>
    <t>Columna4933</t>
  </si>
  <si>
    <t>Columna4934</t>
  </si>
  <si>
    <t>Columna4935</t>
  </si>
  <si>
    <t>Columna4936</t>
  </si>
  <si>
    <t>Columna4937</t>
  </si>
  <si>
    <t>Columna4938</t>
  </si>
  <si>
    <t>Columna4939</t>
  </si>
  <si>
    <t>Columna4940</t>
  </si>
  <si>
    <t>Columna4941</t>
  </si>
  <si>
    <t>Columna4942</t>
  </si>
  <si>
    <t>Columna4943</t>
  </si>
  <si>
    <t>Columna4944</t>
  </si>
  <si>
    <t>Columna4945</t>
  </si>
  <si>
    <t>Columna4946</t>
  </si>
  <si>
    <t>Columna4947</t>
  </si>
  <si>
    <t>Columna4948</t>
  </si>
  <si>
    <t>Columna4949</t>
  </si>
  <si>
    <t>Columna4950</t>
  </si>
  <si>
    <t>Columna4951</t>
  </si>
  <si>
    <t>Columna4952</t>
  </si>
  <si>
    <t>Columna4953</t>
  </si>
  <si>
    <t>Columna4954</t>
  </si>
  <si>
    <t>Columna4955</t>
  </si>
  <si>
    <t>Columna4956</t>
  </si>
  <si>
    <t>Columna4957</t>
  </si>
  <si>
    <t>Columna4958</t>
  </si>
  <si>
    <t>Columna4959</t>
  </si>
  <si>
    <t>Columna4960</t>
  </si>
  <si>
    <t>Columna4961</t>
  </si>
  <si>
    <t>Columna4962</t>
  </si>
  <si>
    <t>Columna4963</t>
  </si>
  <si>
    <t>Columna4964</t>
  </si>
  <si>
    <t>Columna4965</t>
  </si>
  <si>
    <t>Columna4966</t>
  </si>
  <si>
    <t>Columna4967</t>
  </si>
  <si>
    <t>Columna4968</t>
  </si>
  <si>
    <t>Columna4969</t>
  </si>
  <si>
    <t>Columna4970</t>
  </si>
  <si>
    <t>Columna4971</t>
  </si>
  <si>
    <t>Columna4972</t>
  </si>
  <si>
    <t>Columna4973</t>
  </si>
  <si>
    <t>Columna4974</t>
  </si>
  <si>
    <t>Columna4975</t>
  </si>
  <si>
    <t>Columna4976</t>
  </si>
  <si>
    <t>Columna4977</t>
  </si>
  <si>
    <t>Columna4978</t>
  </si>
  <si>
    <t>Columna4979</t>
  </si>
  <si>
    <t>Columna4980</t>
  </si>
  <si>
    <t>Columna4981</t>
  </si>
  <si>
    <t>Columna4982</t>
  </si>
  <si>
    <t>Columna4983</t>
  </si>
  <si>
    <t>Columna4984</t>
  </si>
  <si>
    <t>Columna4985</t>
  </si>
  <si>
    <t>Columna4986</t>
  </si>
  <si>
    <t>Columna4987</t>
  </si>
  <si>
    <t>Columna4988</t>
  </si>
  <si>
    <t>Columna4989</t>
  </si>
  <si>
    <t>Columna4990</t>
  </si>
  <si>
    <t>Columna4991</t>
  </si>
  <si>
    <t>Columna4992</t>
  </si>
  <si>
    <t>Columna4993</t>
  </si>
  <si>
    <t>Columna4994</t>
  </si>
  <si>
    <t>Columna4995</t>
  </si>
  <si>
    <t>Columna4996</t>
  </si>
  <si>
    <t>Columna4997</t>
  </si>
  <si>
    <t>Columna4998</t>
  </si>
  <si>
    <t>Columna4999</t>
  </si>
  <si>
    <t>Columna5000</t>
  </si>
  <si>
    <t>Columna5001</t>
  </si>
  <si>
    <t>Columna5002</t>
  </si>
  <si>
    <t>Columna5003</t>
  </si>
  <si>
    <t>Columna5004</t>
  </si>
  <si>
    <t>Columna5005</t>
  </si>
  <si>
    <t>Columna5006</t>
  </si>
  <si>
    <t>Columna5007</t>
  </si>
  <si>
    <t>Columna5008</t>
  </si>
  <si>
    <t>Columna5009</t>
  </si>
  <si>
    <t>Columna5010</t>
  </si>
  <si>
    <t>Columna5011</t>
  </si>
  <si>
    <t>Columna5012</t>
  </si>
  <si>
    <t>Columna5013</t>
  </si>
  <si>
    <t>Columna5014</t>
  </si>
  <si>
    <t>Columna5015</t>
  </si>
  <si>
    <t>Columna5016</t>
  </si>
  <si>
    <t>Columna5017</t>
  </si>
  <si>
    <t>Columna5018</t>
  </si>
  <si>
    <t>Columna5019</t>
  </si>
  <si>
    <t>Columna5020</t>
  </si>
  <si>
    <t>Columna5021</t>
  </si>
  <si>
    <t>Columna5022</t>
  </si>
  <si>
    <t>Columna5023</t>
  </si>
  <si>
    <t>Columna5024</t>
  </si>
  <si>
    <t>Columna5025</t>
  </si>
  <si>
    <t>Columna5026</t>
  </si>
  <si>
    <t>Columna5027</t>
  </si>
  <si>
    <t>Columna5028</t>
  </si>
  <si>
    <t>Columna5029</t>
  </si>
  <si>
    <t>Columna5030</t>
  </si>
  <si>
    <t>Columna5031</t>
  </si>
  <si>
    <t>Columna5032</t>
  </si>
  <si>
    <t>Columna5033</t>
  </si>
  <si>
    <t>Columna5034</t>
  </si>
  <si>
    <t>Columna5035</t>
  </si>
  <si>
    <t>Columna5036</t>
  </si>
  <si>
    <t>Columna5037</t>
  </si>
  <si>
    <t>Columna5038</t>
  </si>
  <si>
    <t>Columna5039</t>
  </si>
  <si>
    <t>Columna5040</t>
  </si>
  <si>
    <t>Columna5041</t>
  </si>
  <si>
    <t>Columna5042</t>
  </si>
  <si>
    <t>Columna5043</t>
  </si>
  <si>
    <t>Columna5044</t>
  </si>
  <si>
    <t>Columna5045</t>
  </si>
  <si>
    <t>Columna5046</t>
  </si>
  <si>
    <t>Columna5047</t>
  </si>
  <si>
    <t>Columna5048</t>
  </si>
  <si>
    <t>Columna5049</t>
  </si>
  <si>
    <t>Columna5050</t>
  </si>
  <si>
    <t>Columna5051</t>
  </si>
  <si>
    <t>Columna5052</t>
  </si>
  <si>
    <t>Columna5053</t>
  </si>
  <si>
    <t>Columna5054</t>
  </si>
  <si>
    <t>Columna5055</t>
  </si>
  <si>
    <t>Columna5056</t>
  </si>
  <si>
    <t>Columna5057</t>
  </si>
  <si>
    <t>Columna5058</t>
  </si>
  <si>
    <t>Columna5059</t>
  </si>
  <si>
    <t>Columna5060</t>
  </si>
  <si>
    <t>Columna5061</t>
  </si>
  <si>
    <t>Columna5062</t>
  </si>
  <si>
    <t>Columna5063</t>
  </si>
  <si>
    <t>Columna5064</t>
  </si>
  <si>
    <t>Columna5065</t>
  </si>
  <si>
    <t>Columna5066</t>
  </si>
  <si>
    <t>Columna5067</t>
  </si>
  <si>
    <t>Columna5068</t>
  </si>
  <si>
    <t>Columna5069</t>
  </si>
  <si>
    <t>Columna5070</t>
  </si>
  <si>
    <t>Columna5071</t>
  </si>
  <si>
    <t>Columna5072</t>
  </si>
  <si>
    <t>Columna5073</t>
  </si>
  <si>
    <t>Columna5074</t>
  </si>
  <si>
    <t>Columna5075</t>
  </si>
  <si>
    <t>Columna5076</t>
  </si>
  <si>
    <t>Columna5077</t>
  </si>
  <si>
    <t>Columna5078</t>
  </si>
  <si>
    <t>Columna5079</t>
  </si>
  <si>
    <t>Columna5080</t>
  </si>
  <si>
    <t>Columna5081</t>
  </si>
  <si>
    <t>Columna5082</t>
  </si>
  <si>
    <t>Columna5083</t>
  </si>
  <si>
    <t>Columna5084</t>
  </si>
  <si>
    <t>Columna5085</t>
  </si>
  <si>
    <t>Columna5086</t>
  </si>
  <si>
    <t>Columna5087</t>
  </si>
  <si>
    <t>Columna5088</t>
  </si>
  <si>
    <t>Columna5089</t>
  </si>
  <si>
    <t>Columna5090</t>
  </si>
  <si>
    <t>Columna5091</t>
  </si>
  <si>
    <t>Columna5092</t>
  </si>
  <si>
    <t>Columna5093</t>
  </si>
  <si>
    <t>Columna5094</t>
  </si>
  <si>
    <t>Columna5095</t>
  </si>
  <si>
    <t>Columna5096</t>
  </si>
  <si>
    <t>Columna5097</t>
  </si>
  <si>
    <t>Columna5098</t>
  </si>
  <si>
    <t>Columna5099</t>
  </si>
  <si>
    <t>Columna5100</t>
  </si>
  <si>
    <t>Columna5101</t>
  </si>
  <si>
    <t>Columna5102</t>
  </si>
  <si>
    <t>Columna5103</t>
  </si>
  <si>
    <t>Columna5104</t>
  </si>
  <si>
    <t>Columna5105</t>
  </si>
  <si>
    <t>Columna5106</t>
  </si>
  <si>
    <t>Columna5107</t>
  </si>
  <si>
    <t>Columna5108</t>
  </si>
  <si>
    <t>Columna5109</t>
  </si>
  <si>
    <t>Columna5110</t>
  </si>
  <si>
    <t>Columna5111</t>
  </si>
  <si>
    <t>Columna5112</t>
  </si>
  <si>
    <t>Columna5113</t>
  </si>
  <si>
    <t>Columna5114</t>
  </si>
  <si>
    <t>Columna5115</t>
  </si>
  <si>
    <t>Columna5116</t>
  </si>
  <si>
    <t>Columna5117</t>
  </si>
  <si>
    <t>Columna5118</t>
  </si>
  <si>
    <t>Columna5119</t>
  </si>
  <si>
    <t>Columna5120</t>
  </si>
  <si>
    <t>Columna5121</t>
  </si>
  <si>
    <t>Columna5122</t>
  </si>
  <si>
    <t>Columna5123</t>
  </si>
  <si>
    <t>Columna5124</t>
  </si>
  <si>
    <t>Columna5125</t>
  </si>
  <si>
    <t>Columna5126</t>
  </si>
  <si>
    <t>Columna5127</t>
  </si>
  <si>
    <t>Columna5128</t>
  </si>
  <si>
    <t>Columna5129</t>
  </si>
  <si>
    <t>Columna5130</t>
  </si>
  <si>
    <t>Columna5131</t>
  </si>
  <si>
    <t>Columna5132</t>
  </si>
  <si>
    <t>Columna5133</t>
  </si>
  <si>
    <t>Columna5134</t>
  </si>
  <si>
    <t>Columna5135</t>
  </si>
  <si>
    <t>Columna5136</t>
  </si>
  <si>
    <t>Columna5137</t>
  </si>
  <si>
    <t>Columna5138</t>
  </si>
  <si>
    <t>Columna5139</t>
  </si>
  <si>
    <t>Columna5140</t>
  </si>
  <si>
    <t>Columna5141</t>
  </si>
  <si>
    <t>Columna5142</t>
  </si>
  <si>
    <t>Columna5143</t>
  </si>
  <si>
    <t>Columna5144</t>
  </si>
  <si>
    <t>Columna5145</t>
  </si>
  <si>
    <t>Columna5146</t>
  </si>
  <si>
    <t>Columna5147</t>
  </si>
  <si>
    <t>Columna5148</t>
  </si>
  <si>
    <t>Columna5149</t>
  </si>
  <si>
    <t>Columna5150</t>
  </si>
  <si>
    <t>Columna5151</t>
  </si>
  <si>
    <t>Columna5152</t>
  </si>
  <si>
    <t>Columna5153</t>
  </si>
  <si>
    <t>Columna5154</t>
  </si>
  <si>
    <t>Columna5155</t>
  </si>
  <si>
    <t>Columna5156</t>
  </si>
  <si>
    <t>Columna5157</t>
  </si>
  <si>
    <t>Columna5158</t>
  </si>
  <si>
    <t>Columna5159</t>
  </si>
  <si>
    <t>Columna5160</t>
  </si>
  <si>
    <t>Columna5161</t>
  </si>
  <si>
    <t>Columna5162</t>
  </si>
  <si>
    <t>Columna5163</t>
  </si>
  <si>
    <t>Columna5164</t>
  </si>
  <si>
    <t>Columna5165</t>
  </si>
  <si>
    <t>Columna5166</t>
  </si>
  <si>
    <t>Columna5167</t>
  </si>
  <si>
    <t>Columna5168</t>
  </si>
  <si>
    <t>Columna5169</t>
  </si>
  <si>
    <t>Columna5170</t>
  </si>
  <si>
    <t>Columna5171</t>
  </si>
  <si>
    <t>Columna5172</t>
  </si>
  <si>
    <t>Columna5173</t>
  </si>
  <si>
    <t>Columna5174</t>
  </si>
  <si>
    <t>Columna5175</t>
  </si>
  <si>
    <t>Columna5176</t>
  </si>
  <si>
    <t>Columna5177</t>
  </si>
  <si>
    <t>Columna5178</t>
  </si>
  <si>
    <t>Columna5179</t>
  </si>
  <si>
    <t>Columna5180</t>
  </si>
  <si>
    <t>Columna5181</t>
  </si>
  <si>
    <t>Columna5182</t>
  </si>
  <si>
    <t>Columna5183</t>
  </si>
  <si>
    <t>Columna5184</t>
  </si>
  <si>
    <t>Columna5185</t>
  </si>
  <si>
    <t>Columna5186</t>
  </si>
  <si>
    <t>Columna5187</t>
  </si>
  <si>
    <t>Columna5188</t>
  </si>
  <si>
    <t>Columna5189</t>
  </si>
  <si>
    <t>Columna5190</t>
  </si>
  <si>
    <t>Columna5191</t>
  </si>
  <si>
    <t>Columna5192</t>
  </si>
  <si>
    <t>Columna5193</t>
  </si>
  <si>
    <t>Columna5194</t>
  </si>
  <si>
    <t>Columna5195</t>
  </si>
  <si>
    <t>Columna5196</t>
  </si>
  <si>
    <t>Columna5197</t>
  </si>
  <si>
    <t>Columna5198</t>
  </si>
  <si>
    <t>Columna5199</t>
  </si>
  <si>
    <t>Columna5200</t>
  </si>
  <si>
    <t>Columna5201</t>
  </si>
  <si>
    <t>Columna5202</t>
  </si>
  <si>
    <t>Columna5203</t>
  </si>
  <si>
    <t>Columna5204</t>
  </si>
  <si>
    <t>Columna5205</t>
  </si>
  <si>
    <t>Columna5206</t>
  </si>
  <si>
    <t>Columna5207</t>
  </si>
  <si>
    <t>Columna5208</t>
  </si>
  <si>
    <t>Columna5209</t>
  </si>
  <si>
    <t>Columna5210</t>
  </si>
  <si>
    <t>Columna5211</t>
  </si>
  <si>
    <t>Columna5212</t>
  </si>
  <si>
    <t>Columna5213</t>
  </si>
  <si>
    <t>Columna5214</t>
  </si>
  <si>
    <t>Columna5215</t>
  </si>
  <si>
    <t>Columna5216</t>
  </si>
  <si>
    <t>Columna5217</t>
  </si>
  <si>
    <t>Columna5218</t>
  </si>
  <si>
    <t>Columna5219</t>
  </si>
  <si>
    <t>Columna5220</t>
  </si>
  <si>
    <t>Columna5221</t>
  </si>
  <si>
    <t>Columna5222</t>
  </si>
  <si>
    <t>Columna5223</t>
  </si>
  <si>
    <t>Columna5224</t>
  </si>
  <si>
    <t>Columna5225</t>
  </si>
  <si>
    <t>Columna5226</t>
  </si>
  <si>
    <t>Columna5227</t>
  </si>
  <si>
    <t>Columna5228</t>
  </si>
  <si>
    <t>Columna5229</t>
  </si>
  <si>
    <t>Columna5230</t>
  </si>
  <si>
    <t>Columna5231</t>
  </si>
  <si>
    <t>Columna5232</t>
  </si>
  <si>
    <t>Columna5233</t>
  </si>
  <si>
    <t>Columna5234</t>
  </si>
  <si>
    <t>Columna5235</t>
  </si>
  <si>
    <t>Columna5236</t>
  </si>
  <si>
    <t>Columna5237</t>
  </si>
  <si>
    <t>Columna5238</t>
  </si>
  <si>
    <t>Columna5239</t>
  </si>
  <si>
    <t>Columna5240</t>
  </si>
  <si>
    <t>Columna5241</t>
  </si>
  <si>
    <t>Columna5242</t>
  </si>
  <si>
    <t>Columna5243</t>
  </si>
  <si>
    <t>Columna5244</t>
  </si>
  <si>
    <t>Columna5245</t>
  </si>
  <si>
    <t>Columna5246</t>
  </si>
  <si>
    <t>Columna5247</t>
  </si>
  <si>
    <t>Columna5248</t>
  </si>
  <si>
    <t>Columna5249</t>
  </si>
  <si>
    <t>Columna5250</t>
  </si>
  <si>
    <t>Columna5251</t>
  </si>
  <si>
    <t>Columna5252</t>
  </si>
  <si>
    <t>Columna5253</t>
  </si>
  <si>
    <t>Columna5254</t>
  </si>
  <si>
    <t>Columna5255</t>
  </si>
  <si>
    <t>Columna5256</t>
  </si>
  <si>
    <t>Columna5257</t>
  </si>
  <si>
    <t>Columna5258</t>
  </si>
  <si>
    <t>Columna5259</t>
  </si>
  <si>
    <t>Columna5260</t>
  </si>
  <si>
    <t>Columna5261</t>
  </si>
  <si>
    <t>Columna5262</t>
  </si>
  <si>
    <t>Columna5263</t>
  </si>
  <si>
    <t>Columna5264</t>
  </si>
  <si>
    <t>Columna5265</t>
  </si>
  <si>
    <t>Columna5266</t>
  </si>
  <si>
    <t>Columna5267</t>
  </si>
  <si>
    <t>Columna5268</t>
  </si>
  <si>
    <t>Columna5269</t>
  </si>
  <si>
    <t>Columna5270</t>
  </si>
  <si>
    <t>Columna5271</t>
  </si>
  <si>
    <t>Columna5272</t>
  </si>
  <si>
    <t>Columna5273</t>
  </si>
  <si>
    <t>Columna5274</t>
  </si>
  <si>
    <t>Columna5275</t>
  </si>
  <si>
    <t>Columna5276</t>
  </si>
  <si>
    <t>Columna5277</t>
  </si>
  <si>
    <t>Columna5278</t>
  </si>
  <si>
    <t>Columna5279</t>
  </si>
  <si>
    <t>Columna5280</t>
  </si>
  <si>
    <t>Columna5281</t>
  </si>
  <si>
    <t>Columna5282</t>
  </si>
  <si>
    <t>Columna5283</t>
  </si>
  <si>
    <t>Columna5284</t>
  </si>
  <si>
    <t>Columna5285</t>
  </si>
  <si>
    <t>Columna5286</t>
  </si>
  <si>
    <t>Columna5287</t>
  </si>
  <si>
    <t>Columna5288</t>
  </si>
  <si>
    <t>Columna5289</t>
  </si>
  <si>
    <t>Columna5290</t>
  </si>
  <si>
    <t>Columna5291</t>
  </si>
  <si>
    <t>Columna5292</t>
  </si>
  <si>
    <t>Columna5293</t>
  </si>
  <si>
    <t>Columna5294</t>
  </si>
  <si>
    <t>Columna5295</t>
  </si>
  <si>
    <t>Columna5296</t>
  </si>
  <si>
    <t>Columna5297</t>
  </si>
  <si>
    <t>Columna5298</t>
  </si>
  <si>
    <t>Columna5299</t>
  </si>
  <si>
    <t>Columna5300</t>
  </si>
  <si>
    <t>Columna5301</t>
  </si>
  <si>
    <t>Columna5302</t>
  </si>
  <si>
    <t>Columna5303</t>
  </si>
  <si>
    <t>Columna5304</t>
  </si>
  <si>
    <t>Columna5305</t>
  </si>
  <si>
    <t>Columna5306</t>
  </si>
  <si>
    <t>Columna5307</t>
  </si>
  <si>
    <t>Columna5308</t>
  </si>
  <si>
    <t>Columna5309</t>
  </si>
  <si>
    <t>Columna5310</t>
  </si>
  <si>
    <t>Columna5311</t>
  </si>
  <si>
    <t>Columna5312</t>
  </si>
  <si>
    <t>Columna5313</t>
  </si>
  <si>
    <t>Columna5314</t>
  </si>
  <si>
    <t>Columna5315</t>
  </si>
  <si>
    <t>Columna5316</t>
  </si>
  <si>
    <t>Columna5317</t>
  </si>
  <si>
    <t>Columna5318</t>
  </si>
  <si>
    <t>Columna5319</t>
  </si>
  <si>
    <t>Columna5320</t>
  </si>
  <si>
    <t>Columna5321</t>
  </si>
  <si>
    <t>Columna5322</t>
  </si>
  <si>
    <t>Columna5323</t>
  </si>
  <si>
    <t>Columna5324</t>
  </si>
  <si>
    <t>Columna5325</t>
  </si>
  <si>
    <t>Columna5326</t>
  </si>
  <si>
    <t>Columna5327</t>
  </si>
  <si>
    <t>Columna5328</t>
  </si>
  <si>
    <t>Columna5329</t>
  </si>
  <si>
    <t>Columna5330</t>
  </si>
  <si>
    <t>Columna5331</t>
  </si>
  <si>
    <t>Columna5332</t>
  </si>
  <si>
    <t>Columna5333</t>
  </si>
  <si>
    <t>Columna5334</t>
  </si>
  <si>
    <t>Columna5335</t>
  </si>
  <si>
    <t>Columna5336</t>
  </si>
  <si>
    <t>Columna5337</t>
  </si>
  <si>
    <t>Columna5338</t>
  </si>
  <si>
    <t>Columna5339</t>
  </si>
  <si>
    <t>Columna5340</t>
  </si>
  <si>
    <t>Columna5341</t>
  </si>
  <si>
    <t>Columna5342</t>
  </si>
  <si>
    <t>Columna5343</t>
  </si>
  <si>
    <t>Columna5344</t>
  </si>
  <si>
    <t>Columna5345</t>
  </si>
  <si>
    <t>Columna5346</t>
  </si>
  <si>
    <t>Columna5347</t>
  </si>
  <si>
    <t>Columna5348</t>
  </si>
  <si>
    <t>Columna5349</t>
  </si>
  <si>
    <t>Columna5350</t>
  </si>
  <si>
    <t>Columna5351</t>
  </si>
  <si>
    <t>Columna5352</t>
  </si>
  <si>
    <t>Columna5353</t>
  </si>
  <si>
    <t>Columna5354</t>
  </si>
  <si>
    <t>Columna5355</t>
  </si>
  <si>
    <t>Columna5356</t>
  </si>
  <si>
    <t>Columna5357</t>
  </si>
  <si>
    <t>Columna5358</t>
  </si>
  <si>
    <t>Columna5359</t>
  </si>
  <si>
    <t>Columna5360</t>
  </si>
  <si>
    <t>Columna5361</t>
  </si>
  <si>
    <t>Columna5362</t>
  </si>
  <si>
    <t>Columna5363</t>
  </si>
  <si>
    <t>Columna5364</t>
  </si>
  <si>
    <t>Columna5365</t>
  </si>
  <si>
    <t>Columna5366</t>
  </si>
  <si>
    <t>Columna5367</t>
  </si>
  <si>
    <t>Columna5368</t>
  </si>
  <si>
    <t>Columna5369</t>
  </si>
  <si>
    <t>Columna5370</t>
  </si>
  <si>
    <t>Columna5371</t>
  </si>
  <si>
    <t>Columna5372</t>
  </si>
  <si>
    <t>Columna5373</t>
  </si>
  <si>
    <t>Columna5374</t>
  </si>
  <si>
    <t>Columna5375</t>
  </si>
  <si>
    <t>Columna5376</t>
  </si>
  <si>
    <t>Columna5377</t>
  </si>
  <si>
    <t>Columna5378</t>
  </si>
  <si>
    <t>Columna5379</t>
  </si>
  <si>
    <t>Columna5380</t>
  </si>
  <si>
    <t>Columna5381</t>
  </si>
  <si>
    <t>Columna5382</t>
  </si>
  <si>
    <t>Columna5383</t>
  </si>
  <si>
    <t>Columna5384</t>
  </si>
  <si>
    <t>Columna5385</t>
  </si>
  <si>
    <t>Columna5386</t>
  </si>
  <si>
    <t>Columna5387</t>
  </si>
  <si>
    <t>Columna5388</t>
  </si>
  <si>
    <t>Columna5389</t>
  </si>
  <si>
    <t>Columna5390</t>
  </si>
  <si>
    <t>Columna5391</t>
  </si>
  <si>
    <t>Columna5392</t>
  </si>
  <si>
    <t>Columna5393</t>
  </si>
  <si>
    <t>Columna5394</t>
  </si>
  <si>
    <t>Columna5395</t>
  </si>
  <si>
    <t>Columna5396</t>
  </si>
  <si>
    <t>Columna5397</t>
  </si>
  <si>
    <t>Columna5398</t>
  </si>
  <si>
    <t>Columna5399</t>
  </si>
  <si>
    <t>Columna5400</t>
  </si>
  <si>
    <t>Columna5401</t>
  </si>
  <si>
    <t>Columna5402</t>
  </si>
  <si>
    <t>Columna5403</t>
  </si>
  <si>
    <t>Columna5404</t>
  </si>
  <si>
    <t>Columna5405</t>
  </si>
  <si>
    <t>Columna5406</t>
  </si>
  <si>
    <t>Columna5407</t>
  </si>
  <si>
    <t>Columna5408</t>
  </si>
  <si>
    <t>Columna5409</t>
  </si>
  <si>
    <t>Columna5410</t>
  </si>
  <si>
    <t>Columna5411</t>
  </si>
  <si>
    <t>Columna5412</t>
  </si>
  <si>
    <t>Columna5413</t>
  </si>
  <si>
    <t>Columna5414</t>
  </si>
  <si>
    <t>Columna5415</t>
  </si>
  <si>
    <t>Columna5416</t>
  </si>
  <si>
    <t>Columna5417</t>
  </si>
  <si>
    <t>Columna5418</t>
  </si>
  <si>
    <t>Columna5419</t>
  </si>
  <si>
    <t>Columna5420</t>
  </si>
  <si>
    <t>Columna5421</t>
  </si>
  <si>
    <t>Columna5422</t>
  </si>
  <si>
    <t>Columna5423</t>
  </si>
  <si>
    <t>Columna5424</t>
  </si>
  <si>
    <t>Columna5425</t>
  </si>
  <si>
    <t>Columna5426</t>
  </si>
  <si>
    <t>Columna5427</t>
  </si>
  <si>
    <t>Columna5428</t>
  </si>
  <si>
    <t>Columna5429</t>
  </si>
  <si>
    <t>Columna5430</t>
  </si>
  <si>
    <t>Columna5431</t>
  </si>
  <si>
    <t>Columna5432</t>
  </si>
  <si>
    <t>Columna5433</t>
  </si>
  <si>
    <t>Columna5434</t>
  </si>
  <si>
    <t>Columna5435</t>
  </si>
  <si>
    <t>Columna5436</t>
  </si>
  <si>
    <t>Columna5437</t>
  </si>
  <si>
    <t>Columna5438</t>
  </si>
  <si>
    <t>Columna5439</t>
  </si>
  <si>
    <t>Columna5440</t>
  </si>
  <si>
    <t>Columna5441</t>
  </si>
  <si>
    <t>Columna5442</t>
  </si>
  <si>
    <t>Columna5443</t>
  </si>
  <si>
    <t>Columna5444</t>
  </si>
  <si>
    <t>Columna5445</t>
  </si>
  <si>
    <t>Columna5446</t>
  </si>
  <si>
    <t>Columna5447</t>
  </si>
  <si>
    <t>Columna5448</t>
  </si>
  <si>
    <t>Columna5449</t>
  </si>
  <si>
    <t>Columna5450</t>
  </si>
  <si>
    <t>Columna5451</t>
  </si>
  <si>
    <t>Columna5452</t>
  </si>
  <si>
    <t>Columna5453</t>
  </si>
  <si>
    <t>Columna5454</t>
  </si>
  <si>
    <t>Columna5455</t>
  </si>
  <si>
    <t>Columna5456</t>
  </si>
  <si>
    <t>Columna5457</t>
  </si>
  <si>
    <t>Columna5458</t>
  </si>
  <si>
    <t>Columna5459</t>
  </si>
  <si>
    <t>Columna5460</t>
  </si>
  <si>
    <t>Columna5461</t>
  </si>
  <si>
    <t>Columna5462</t>
  </si>
  <si>
    <t>Columna5463</t>
  </si>
  <si>
    <t>Columna5464</t>
  </si>
  <si>
    <t>Columna5465</t>
  </si>
  <si>
    <t>Columna5466</t>
  </si>
  <si>
    <t>Columna5467</t>
  </si>
  <si>
    <t>Columna5468</t>
  </si>
  <si>
    <t>Columna5469</t>
  </si>
  <si>
    <t>Columna5470</t>
  </si>
  <si>
    <t>Columna5471</t>
  </si>
  <si>
    <t>Columna5472</t>
  </si>
  <si>
    <t>Columna5473</t>
  </si>
  <si>
    <t>Columna5474</t>
  </si>
  <si>
    <t>Columna5475</t>
  </si>
  <si>
    <t>Columna5476</t>
  </si>
  <si>
    <t>Columna5477</t>
  </si>
  <si>
    <t>Columna5478</t>
  </si>
  <si>
    <t>Columna5479</t>
  </si>
  <si>
    <t>Columna5480</t>
  </si>
  <si>
    <t>Columna5481</t>
  </si>
  <si>
    <t>Columna5482</t>
  </si>
  <si>
    <t>Columna5483</t>
  </si>
  <si>
    <t>Columna5484</t>
  </si>
  <si>
    <t>Columna5485</t>
  </si>
  <si>
    <t>Columna5486</t>
  </si>
  <si>
    <t>Columna5487</t>
  </si>
  <si>
    <t>Columna5488</t>
  </si>
  <si>
    <t>Columna5489</t>
  </si>
  <si>
    <t>Columna5490</t>
  </si>
  <si>
    <t>Columna5491</t>
  </si>
  <si>
    <t>Columna5492</t>
  </si>
  <si>
    <t>Columna5493</t>
  </si>
  <si>
    <t>Columna5494</t>
  </si>
  <si>
    <t>Columna5495</t>
  </si>
  <si>
    <t>Columna5496</t>
  </si>
  <si>
    <t>Columna5497</t>
  </si>
  <si>
    <t>Columna5498</t>
  </si>
  <si>
    <t>Columna5499</t>
  </si>
  <si>
    <t>Columna5500</t>
  </si>
  <si>
    <t>Columna5501</t>
  </si>
  <si>
    <t>Columna5502</t>
  </si>
  <si>
    <t>Columna5503</t>
  </si>
  <si>
    <t>Columna5504</t>
  </si>
  <si>
    <t>Columna5505</t>
  </si>
  <si>
    <t>Columna5506</t>
  </si>
  <si>
    <t>Columna5507</t>
  </si>
  <si>
    <t>Columna5508</t>
  </si>
  <si>
    <t>Columna5509</t>
  </si>
  <si>
    <t>Columna5510</t>
  </si>
  <si>
    <t>Columna5511</t>
  </si>
  <si>
    <t>Columna5512</t>
  </si>
  <si>
    <t>Columna5513</t>
  </si>
  <si>
    <t>Columna5514</t>
  </si>
  <si>
    <t>Columna5515</t>
  </si>
  <si>
    <t>Columna5516</t>
  </si>
  <si>
    <t>Columna5517</t>
  </si>
  <si>
    <t>Columna5518</t>
  </si>
  <si>
    <t>Columna5519</t>
  </si>
  <si>
    <t>Columna5520</t>
  </si>
  <si>
    <t>Columna5521</t>
  </si>
  <si>
    <t>Columna5522</t>
  </si>
  <si>
    <t>Columna5523</t>
  </si>
  <si>
    <t>Columna5524</t>
  </si>
  <si>
    <t>Columna5525</t>
  </si>
  <si>
    <t>Columna5526</t>
  </si>
  <si>
    <t>Columna5527</t>
  </si>
  <si>
    <t>Columna5528</t>
  </si>
  <si>
    <t>Columna5529</t>
  </si>
  <si>
    <t>Columna5530</t>
  </si>
  <si>
    <t>Columna5531</t>
  </si>
  <si>
    <t>Columna5532</t>
  </si>
  <si>
    <t>Columna5533</t>
  </si>
  <si>
    <t>Columna5534</t>
  </si>
  <si>
    <t>Columna5535</t>
  </si>
  <si>
    <t>Columna5536</t>
  </si>
  <si>
    <t>Columna5537</t>
  </si>
  <si>
    <t>Columna5538</t>
  </si>
  <si>
    <t>Columna5539</t>
  </si>
  <si>
    <t>Columna5540</t>
  </si>
  <si>
    <t>Columna5541</t>
  </si>
  <si>
    <t>Columna5542</t>
  </si>
  <si>
    <t>Columna5543</t>
  </si>
  <si>
    <t>Columna5544</t>
  </si>
  <si>
    <t>Columna5545</t>
  </si>
  <si>
    <t>Columna5546</t>
  </si>
  <si>
    <t>Columna5547</t>
  </si>
  <si>
    <t>Columna5548</t>
  </si>
  <si>
    <t>Columna5549</t>
  </si>
  <si>
    <t>Columna5550</t>
  </si>
  <si>
    <t>Columna5551</t>
  </si>
  <si>
    <t>Columna5552</t>
  </si>
  <si>
    <t>Columna5553</t>
  </si>
  <si>
    <t>Columna5554</t>
  </si>
  <si>
    <t>Columna5555</t>
  </si>
  <si>
    <t>Columna5556</t>
  </si>
  <si>
    <t>Columna5557</t>
  </si>
  <si>
    <t>Columna5558</t>
  </si>
  <si>
    <t>Columna5559</t>
  </si>
  <si>
    <t>Columna5560</t>
  </si>
  <si>
    <t>Columna5561</t>
  </si>
  <si>
    <t>Columna5562</t>
  </si>
  <si>
    <t>Columna5563</t>
  </si>
  <si>
    <t>Columna5564</t>
  </si>
  <si>
    <t>Columna5565</t>
  </si>
  <si>
    <t>Columna5566</t>
  </si>
  <si>
    <t>Columna5567</t>
  </si>
  <si>
    <t>Columna5568</t>
  </si>
  <si>
    <t>Columna5569</t>
  </si>
  <si>
    <t>Columna5570</t>
  </si>
  <si>
    <t>Columna5571</t>
  </si>
  <si>
    <t>Columna5572</t>
  </si>
  <si>
    <t>Columna5573</t>
  </si>
  <si>
    <t>Columna5574</t>
  </si>
  <si>
    <t>Columna5575</t>
  </si>
  <si>
    <t>Columna5576</t>
  </si>
  <si>
    <t>Columna5577</t>
  </si>
  <si>
    <t>Columna5578</t>
  </si>
  <si>
    <t>Columna5579</t>
  </si>
  <si>
    <t>Columna5580</t>
  </si>
  <si>
    <t>Columna5581</t>
  </si>
  <si>
    <t>Columna5582</t>
  </si>
  <si>
    <t>Columna5583</t>
  </si>
  <si>
    <t>Columna5584</t>
  </si>
  <si>
    <t>Columna5585</t>
  </si>
  <si>
    <t>Columna5586</t>
  </si>
  <si>
    <t>Columna5587</t>
  </si>
  <si>
    <t>Columna5588</t>
  </si>
  <si>
    <t>Columna5589</t>
  </si>
  <si>
    <t>Columna5590</t>
  </si>
  <si>
    <t>Columna5591</t>
  </si>
  <si>
    <t>Columna5592</t>
  </si>
  <si>
    <t>Columna5593</t>
  </si>
  <si>
    <t>Columna5594</t>
  </si>
  <si>
    <t>Columna5595</t>
  </si>
  <si>
    <t>Columna5596</t>
  </si>
  <si>
    <t>Columna5597</t>
  </si>
  <si>
    <t>Columna5598</t>
  </si>
  <si>
    <t>Columna5599</t>
  </si>
  <si>
    <t>Columna5600</t>
  </si>
  <si>
    <t>Columna5601</t>
  </si>
  <si>
    <t>Columna5602</t>
  </si>
  <si>
    <t>Columna5603</t>
  </si>
  <si>
    <t>Columna5604</t>
  </si>
  <si>
    <t>Columna5605</t>
  </si>
  <si>
    <t>Columna5606</t>
  </si>
  <si>
    <t>Columna5607</t>
  </si>
  <si>
    <t>Columna5608</t>
  </si>
  <si>
    <t>Columna5609</t>
  </si>
  <si>
    <t>Columna5610</t>
  </si>
  <si>
    <t>Columna5611</t>
  </si>
  <si>
    <t>Columna5612</t>
  </si>
  <si>
    <t>Columna5613</t>
  </si>
  <si>
    <t>Columna5614</t>
  </si>
  <si>
    <t>Columna5615</t>
  </si>
  <si>
    <t>Columna5616</t>
  </si>
  <si>
    <t>Columna5617</t>
  </si>
  <si>
    <t>Columna5618</t>
  </si>
  <si>
    <t>Columna5619</t>
  </si>
  <si>
    <t>Columna5620</t>
  </si>
  <si>
    <t>Columna5621</t>
  </si>
  <si>
    <t>Columna5622</t>
  </si>
  <si>
    <t>Columna5623</t>
  </si>
  <si>
    <t>Columna5624</t>
  </si>
  <si>
    <t>Columna5625</t>
  </si>
  <si>
    <t>Columna5626</t>
  </si>
  <si>
    <t>Columna5627</t>
  </si>
  <si>
    <t>Columna5628</t>
  </si>
  <si>
    <t>Columna5629</t>
  </si>
  <si>
    <t>Columna5630</t>
  </si>
  <si>
    <t>Columna5631</t>
  </si>
  <si>
    <t>Columna5632</t>
  </si>
  <si>
    <t>Columna5633</t>
  </si>
  <si>
    <t>Columna5634</t>
  </si>
  <si>
    <t>Columna5635</t>
  </si>
  <si>
    <t>Columna5636</t>
  </si>
  <si>
    <t>Columna5637</t>
  </si>
  <si>
    <t>Columna5638</t>
  </si>
  <si>
    <t>Columna5639</t>
  </si>
  <si>
    <t>Columna5640</t>
  </si>
  <si>
    <t>Columna5641</t>
  </si>
  <si>
    <t>Columna5642</t>
  </si>
  <si>
    <t>Columna5643</t>
  </si>
  <si>
    <t>Columna5644</t>
  </si>
  <si>
    <t>Columna5645</t>
  </si>
  <si>
    <t>Columna5646</t>
  </si>
  <si>
    <t>Columna5647</t>
  </si>
  <si>
    <t>Columna5648</t>
  </si>
  <si>
    <t>Columna5649</t>
  </si>
  <si>
    <t>Columna5650</t>
  </si>
  <si>
    <t>Columna5651</t>
  </si>
  <si>
    <t>Columna5652</t>
  </si>
  <si>
    <t>Columna5653</t>
  </si>
  <si>
    <t>Columna5654</t>
  </si>
  <si>
    <t>Columna5655</t>
  </si>
  <si>
    <t>Columna5656</t>
  </si>
  <si>
    <t>Columna5657</t>
  </si>
  <si>
    <t>Columna5658</t>
  </si>
  <si>
    <t>Columna5659</t>
  </si>
  <si>
    <t>Columna5660</t>
  </si>
  <si>
    <t>Columna5661</t>
  </si>
  <si>
    <t>Columna5662</t>
  </si>
  <si>
    <t>Columna5663</t>
  </si>
  <si>
    <t>Columna5664</t>
  </si>
  <si>
    <t>Columna5665</t>
  </si>
  <si>
    <t>Columna5666</t>
  </si>
  <si>
    <t>Columna5667</t>
  </si>
  <si>
    <t>Columna5668</t>
  </si>
  <si>
    <t>Columna5669</t>
  </si>
  <si>
    <t>Columna5670</t>
  </si>
  <si>
    <t>Columna5671</t>
  </si>
  <si>
    <t>Columna5672</t>
  </si>
  <si>
    <t>Columna5673</t>
  </si>
  <si>
    <t>Columna5674</t>
  </si>
  <si>
    <t>Columna5675</t>
  </si>
  <si>
    <t>Columna5676</t>
  </si>
  <si>
    <t>Columna5677</t>
  </si>
  <si>
    <t>Columna5678</t>
  </si>
  <si>
    <t>Columna5679</t>
  </si>
  <si>
    <t>Columna5680</t>
  </si>
  <si>
    <t>Columna5681</t>
  </si>
  <si>
    <t>Columna5682</t>
  </si>
  <si>
    <t>Columna5683</t>
  </si>
  <si>
    <t>Columna5684</t>
  </si>
  <si>
    <t>Columna5685</t>
  </si>
  <si>
    <t>Columna5686</t>
  </si>
  <si>
    <t>Columna5687</t>
  </si>
  <si>
    <t>Columna5688</t>
  </si>
  <si>
    <t>Columna5689</t>
  </si>
  <si>
    <t>Columna5690</t>
  </si>
  <si>
    <t>Columna5691</t>
  </si>
  <si>
    <t>Columna5692</t>
  </si>
  <si>
    <t>Columna5693</t>
  </si>
  <si>
    <t>Columna5694</t>
  </si>
  <si>
    <t>Columna5695</t>
  </si>
  <si>
    <t>Columna5696</t>
  </si>
  <si>
    <t>Columna5697</t>
  </si>
  <si>
    <t>Columna5698</t>
  </si>
  <si>
    <t>Columna5699</t>
  </si>
  <si>
    <t>Columna5700</t>
  </si>
  <si>
    <t>Columna5701</t>
  </si>
  <si>
    <t>Columna5702</t>
  </si>
  <si>
    <t>Columna5703</t>
  </si>
  <si>
    <t>Columna5704</t>
  </si>
  <si>
    <t>Columna5705</t>
  </si>
  <si>
    <t>Columna5706</t>
  </si>
  <si>
    <t>Columna5707</t>
  </si>
  <si>
    <t>Columna5708</t>
  </si>
  <si>
    <t>Columna5709</t>
  </si>
  <si>
    <t>Columna5710</t>
  </si>
  <si>
    <t>Columna5711</t>
  </si>
  <si>
    <t>Columna5712</t>
  </si>
  <si>
    <t>Columna5713</t>
  </si>
  <si>
    <t>Columna5714</t>
  </si>
  <si>
    <t>Columna5715</t>
  </si>
  <si>
    <t>Columna5716</t>
  </si>
  <si>
    <t>Columna5717</t>
  </si>
  <si>
    <t>Columna5718</t>
  </si>
  <si>
    <t>Columna5719</t>
  </si>
  <si>
    <t>Columna5720</t>
  </si>
  <si>
    <t>Columna5721</t>
  </si>
  <si>
    <t>Columna5722</t>
  </si>
  <si>
    <t>Columna5723</t>
  </si>
  <si>
    <t>Columna5724</t>
  </si>
  <si>
    <t>Columna5725</t>
  </si>
  <si>
    <t>Columna5726</t>
  </si>
  <si>
    <t>Columna5727</t>
  </si>
  <si>
    <t>Columna5728</t>
  </si>
  <si>
    <t>Columna5729</t>
  </si>
  <si>
    <t>Columna5730</t>
  </si>
  <si>
    <t>Columna5731</t>
  </si>
  <si>
    <t>Columna5732</t>
  </si>
  <si>
    <t>Columna5733</t>
  </si>
  <si>
    <t>Columna5734</t>
  </si>
  <si>
    <t>Columna5735</t>
  </si>
  <si>
    <t>Columna5736</t>
  </si>
  <si>
    <t>Columna5737</t>
  </si>
  <si>
    <t>Columna5738</t>
  </si>
  <si>
    <t>Columna5739</t>
  </si>
  <si>
    <t>Columna5740</t>
  </si>
  <si>
    <t>Columna5741</t>
  </si>
  <si>
    <t>Columna5742</t>
  </si>
  <si>
    <t>Columna5743</t>
  </si>
  <si>
    <t>Columna5744</t>
  </si>
  <si>
    <t>Columna5745</t>
  </si>
  <si>
    <t>Columna5746</t>
  </si>
  <si>
    <t>Columna5747</t>
  </si>
  <si>
    <t>Columna5748</t>
  </si>
  <si>
    <t>Columna5749</t>
  </si>
  <si>
    <t>Columna5750</t>
  </si>
  <si>
    <t>Columna5751</t>
  </si>
  <si>
    <t>Columna5752</t>
  </si>
  <si>
    <t>Columna5753</t>
  </si>
  <si>
    <t>Columna5754</t>
  </si>
  <si>
    <t>Columna5755</t>
  </si>
  <si>
    <t>Columna5756</t>
  </si>
  <si>
    <t>Columna5757</t>
  </si>
  <si>
    <t>Columna5758</t>
  </si>
  <si>
    <t>Columna5759</t>
  </si>
  <si>
    <t>Columna5760</t>
  </si>
  <si>
    <t>Columna5761</t>
  </si>
  <si>
    <t>Columna5762</t>
  </si>
  <si>
    <t>Columna5763</t>
  </si>
  <si>
    <t>Columna5764</t>
  </si>
  <si>
    <t>Columna5765</t>
  </si>
  <si>
    <t>Columna5766</t>
  </si>
  <si>
    <t>Columna5767</t>
  </si>
  <si>
    <t>Columna5768</t>
  </si>
  <si>
    <t>Columna5769</t>
  </si>
  <si>
    <t>Columna5770</t>
  </si>
  <si>
    <t>Columna5771</t>
  </si>
  <si>
    <t>Columna5772</t>
  </si>
  <si>
    <t>Columna5773</t>
  </si>
  <si>
    <t>Columna5774</t>
  </si>
  <si>
    <t>Columna5775</t>
  </si>
  <si>
    <t>Columna5776</t>
  </si>
  <si>
    <t>Columna5777</t>
  </si>
  <si>
    <t>Columna5778</t>
  </si>
  <si>
    <t>Columna5779</t>
  </si>
  <si>
    <t>Columna5780</t>
  </si>
  <si>
    <t>Columna5781</t>
  </si>
  <si>
    <t>Columna5782</t>
  </si>
  <si>
    <t>Columna5783</t>
  </si>
  <si>
    <t>Columna5784</t>
  </si>
  <si>
    <t>Columna5785</t>
  </si>
  <si>
    <t>Columna5786</t>
  </si>
  <si>
    <t>Columna5787</t>
  </si>
  <si>
    <t>Columna5788</t>
  </si>
  <si>
    <t>Columna5789</t>
  </si>
  <si>
    <t>Columna5790</t>
  </si>
  <si>
    <t>Columna5791</t>
  </si>
  <si>
    <t>Columna5792</t>
  </si>
  <si>
    <t>Columna5793</t>
  </si>
  <si>
    <t>Columna5794</t>
  </si>
  <si>
    <t>Columna5795</t>
  </si>
  <si>
    <t>Columna5796</t>
  </si>
  <si>
    <t>Columna5797</t>
  </si>
  <si>
    <t>Columna5798</t>
  </si>
  <si>
    <t>Columna5799</t>
  </si>
  <si>
    <t>Columna5800</t>
  </si>
  <si>
    <t>Columna5801</t>
  </si>
  <si>
    <t>Columna5802</t>
  </si>
  <si>
    <t>Columna5803</t>
  </si>
  <si>
    <t>Columna5804</t>
  </si>
  <si>
    <t>Columna5805</t>
  </si>
  <si>
    <t>Columna5806</t>
  </si>
  <si>
    <t>Columna5807</t>
  </si>
  <si>
    <t>Columna5808</t>
  </si>
  <si>
    <t>Columna5809</t>
  </si>
  <si>
    <t>Columna5810</t>
  </si>
  <si>
    <t>Columna5811</t>
  </si>
  <si>
    <t>Columna5812</t>
  </si>
  <si>
    <t>Columna5813</t>
  </si>
  <si>
    <t>Columna5814</t>
  </si>
  <si>
    <t>Columna5815</t>
  </si>
  <si>
    <t>Columna5816</t>
  </si>
  <si>
    <t>Columna5817</t>
  </si>
  <si>
    <t>Columna5818</t>
  </si>
  <si>
    <t>Columna5819</t>
  </si>
  <si>
    <t>Columna5820</t>
  </si>
  <si>
    <t>Columna5821</t>
  </si>
  <si>
    <t>Columna5822</t>
  </si>
  <si>
    <t>Columna5823</t>
  </si>
  <si>
    <t>Columna5824</t>
  </si>
  <si>
    <t>Columna5825</t>
  </si>
  <si>
    <t>Columna5826</t>
  </si>
  <si>
    <t>Columna5827</t>
  </si>
  <si>
    <t>Columna5828</t>
  </si>
  <si>
    <t>Columna5829</t>
  </si>
  <si>
    <t>Columna5830</t>
  </si>
  <si>
    <t>Columna5831</t>
  </si>
  <si>
    <t>Columna5832</t>
  </si>
  <si>
    <t>Columna5833</t>
  </si>
  <si>
    <t>Columna5834</t>
  </si>
  <si>
    <t>Columna5835</t>
  </si>
  <si>
    <t>Columna5836</t>
  </si>
  <si>
    <t>Columna5837</t>
  </si>
  <si>
    <t>Columna5838</t>
  </si>
  <si>
    <t>Columna5839</t>
  </si>
  <si>
    <t>Columna5840</t>
  </si>
  <si>
    <t>Columna5841</t>
  </si>
  <si>
    <t>Columna5842</t>
  </si>
  <si>
    <t>Columna5843</t>
  </si>
  <si>
    <t>Columna5844</t>
  </si>
  <si>
    <t>Columna5845</t>
  </si>
  <si>
    <t>Columna5846</t>
  </si>
  <si>
    <t>Columna5847</t>
  </si>
  <si>
    <t>Columna5848</t>
  </si>
  <si>
    <t>Columna5849</t>
  </si>
  <si>
    <t>Columna5850</t>
  </si>
  <si>
    <t>Columna5851</t>
  </si>
  <si>
    <t>Columna5852</t>
  </si>
  <si>
    <t>Columna5853</t>
  </si>
  <si>
    <t>Columna5854</t>
  </si>
  <si>
    <t>Columna5855</t>
  </si>
  <si>
    <t>Columna5856</t>
  </si>
  <si>
    <t>Columna5857</t>
  </si>
  <si>
    <t>Columna5858</t>
  </si>
  <si>
    <t>Columna5859</t>
  </si>
  <si>
    <t>Columna5860</t>
  </si>
  <si>
    <t>Columna5861</t>
  </si>
  <si>
    <t>Columna5862</t>
  </si>
  <si>
    <t>Columna5863</t>
  </si>
  <si>
    <t>Columna5864</t>
  </si>
  <si>
    <t>Columna5865</t>
  </si>
  <si>
    <t>Columna5866</t>
  </si>
  <si>
    <t>Columna5867</t>
  </si>
  <si>
    <t>Columna5868</t>
  </si>
  <si>
    <t>Columna5869</t>
  </si>
  <si>
    <t>Columna5870</t>
  </si>
  <si>
    <t>Columna5871</t>
  </si>
  <si>
    <t>Columna5872</t>
  </si>
  <si>
    <t>Columna5873</t>
  </si>
  <si>
    <t>Columna5874</t>
  </si>
  <si>
    <t>Columna5875</t>
  </si>
  <si>
    <t>Columna5876</t>
  </si>
  <si>
    <t>Columna5877</t>
  </si>
  <si>
    <t>Columna5878</t>
  </si>
  <si>
    <t>Columna5879</t>
  </si>
  <si>
    <t>Columna5880</t>
  </si>
  <si>
    <t>Columna5881</t>
  </si>
  <si>
    <t>Columna5882</t>
  </si>
  <si>
    <t>Columna5883</t>
  </si>
  <si>
    <t>Columna5884</t>
  </si>
  <si>
    <t>Columna5885</t>
  </si>
  <si>
    <t>Columna5886</t>
  </si>
  <si>
    <t>Columna5887</t>
  </si>
  <si>
    <t>Columna5888</t>
  </si>
  <si>
    <t>Columna5889</t>
  </si>
  <si>
    <t>Columna5890</t>
  </si>
  <si>
    <t>Columna5891</t>
  </si>
  <si>
    <t>Columna5892</t>
  </si>
  <si>
    <t>Columna5893</t>
  </si>
  <si>
    <t>Columna5894</t>
  </si>
  <si>
    <t>Columna5895</t>
  </si>
  <si>
    <t>Columna5896</t>
  </si>
  <si>
    <t>Columna5897</t>
  </si>
  <si>
    <t>Columna5898</t>
  </si>
  <si>
    <t>Columna5899</t>
  </si>
  <si>
    <t>Columna5900</t>
  </si>
  <si>
    <t>Columna5901</t>
  </si>
  <si>
    <t>Columna5902</t>
  </si>
  <si>
    <t>Columna5903</t>
  </si>
  <si>
    <t>Columna5904</t>
  </si>
  <si>
    <t>Columna5905</t>
  </si>
  <si>
    <t>Columna5906</t>
  </si>
  <si>
    <t>Columna5907</t>
  </si>
  <si>
    <t>Columna5908</t>
  </si>
  <si>
    <t>Columna5909</t>
  </si>
  <si>
    <t>Columna5910</t>
  </si>
  <si>
    <t>Columna5911</t>
  </si>
  <si>
    <t>Columna5912</t>
  </si>
  <si>
    <t>Columna5913</t>
  </si>
  <si>
    <t>Columna5914</t>
  </si>
  <si>
    <t>Columna5915</t>
  </si>
  <si>
    <t>Columna5916</t>
  </si>
  <si>
    <t>Columna5917</t>
  </si>
  <si>
    <t>Columna5918</t>
  </si>
  <si>
    <t>Columna5919</t>
  </si>
  <si>
    <t>Columna5920</t>
  </si>
  <si>
    <t>Columna5921</t>
  </si>
  <si>
    <t>Columna5922</t>
  </si>
  <si>
    <t>Columna5923</t>
  </si>
  <si>
    <t>Columna5924</t>
  </si>
  <si>
    <t>Columna5925</t>
  </si>
  <si>
    <t>Columna5926</t>
  </si>
  <si>
    <t>Columna5927</t>
  </si>
  <si>
    <t>Columna5928</t>
  </si>
  <si>
    <t>Columna5929</t>
  </si>
  <si>
    <t>Columna5930</t>
  </si>
  <si>
    <t>Columna5931</t>
  </si>
  <si>
    <t>Columna5932</t>
  </si>
  <si>
    <t>Columna5933</t>
  </si>
  <si>
    <t>Columna5934</t>
  </si>
  <si>
    <t>Columna5935</t>
  </si>
  <si>
    <t>Columna5936</t>
  </si>
  <si>
    <t>Columna5937</t>
  </si>
  <si>
    <t>Columna5938</t>
  </si>
  <si>
    <t>Columna5939</t>
  </si>
  <si>
    <t>Columna5940</t>
  </si>
  <si>
    <t>Columna5941</t>
  </si>
  <si>
    <t>Columna5942</t>
  </si>
  <si>
    <t>Columna5943</t>
  </si>
  <si>
    <t>Columna5944</t>
  </si>
  <si>
    <t>Columna5945</t>
  </si>
  <si>
    <t>Columna5946</t>
  </si>
  <si>
    <t>Columna5947</t>
  </si>
  <si>
    <t>Columna5948</t>
  </si>
  <si>
    <t>Columna5949</t>
  </si>
  <si>
    <t>Columna5950</t>
  </si>
  <si>
    <t>Columna5951</t>
  </si>
  <si>
    <t>Columna5952</t>
  </si>
  <si>
    <t>Columna5953</t>
  </si>
  <si>
    <t>Columna5954</t>
  </si>
  <si>
    <t>Columna5955</t>
  </si>
  <si>
    <t>Columna5956</t>
  </si>
  <si>
    <t>Columna5957</t>
  </si>
  <si>
    <t>Columna5958</t>
  </si>
  <si>
    <t>Columna5959</t>
  </si>
  <si>
    <t>Columna5960</t>
  </si>
  <si>
    <t>Columna5961</t>
  </si>
  <si>
    <t>Columna5962</t>
  </si>
  <si>
    <t>Columna5963</t>
  </si>
  <si>
    <t>Columna5964</t>
  </si>
  <si>
    <t>Columna5965</t>
  </si>
  <si>
    <t>Columna5966</t>
  </si>
  <si>
    <t>Columna5967</t>
  </si>
  <si>
    <t>Columna5968</t>
  </si>
  <si>
    <t>Columna5969</t>
  </si>
  <si>
    <t>Columna5970</t>
  </si>
  <si>
    <t>Columna5971</t>
  </si>
  <si>
    <t>Columna5972</t>
  </si>
  <si>
    <t>Columna5973</t>
  </si>
  <si>
    <t>Columna5974</t>
  </si>
  <si>
    <t>Columna5975</t>
  </si>
  <si>
    <t>Columna5976</t>
  </si>
  <si>
    <t>Columna5977</t>
  </si>
  <si>
    <t>Columna5978</t>
  </si>
  <si>
    <t>Columna5979</t>
  </si>
  <si>
    <t>Columna5980</t>
  </si>
  <si>
    <t>Columna5981</t>
  </si>
  <si>
    <t>Columna5982</t>
  </si>
  <si>
    <t>Columna5983</t>
  </si>
  <si>
    <t>Columna5984</t>
  </si>
  <si>
    <t>Columna5985</t>
  </si>
  <si>
    <t>Columna5986</t>
  </si>
  <si>
    <t>Columna5987</t>
  </si>
  <si>
    <t>Columna5988</t>
  </si>
  <si>
    <t>Columna5989</t>
  </si>
  <si>
    <t>Columna5990</t>
  </si>
  <si>
    <t>Columna5991</t>
  </si>
  <si>
    <t>Columna5992</t>
  </si>
  <si>
    <t>Columna5993</t>
  </si>
  <si>
    <t>Columna5994</t>
  </si>
  <si>
    <t>Columna5995</t>
  </si>
  <si>
    <t>Columna5996</t>
  </si>
  <si>
    <t>Columna5997</t>
  </si>
  <si>
    <t>Columna5998</t>
  </si>
  <si>
    <t>Columna5999</t>
  </si>
  <si>
    <t>Columna6000</t>
  </si>
  <si>
    <t>Columna6001</t>
  </si>
  <si>
    <t>Columna6002</t>
  </si>
  <si>
    <t>Columna6003</t>
  </si>
  <si>
    <t>Columna6004</t>
  </si>
  <si>
    <t>Columna6005</t>
  </si>
  <si>
    <t>Columna6006</t>
  </si>
  <si>
    <t>Columna6007</t>
  </si>
  <si>
    <t>Columna6008</t>
  </si>
  <si>
    <t>Columna6009</t>
  </si>
  <si>
    <t>Columna6010</t>
  </si>
  <si>
    <t>Columna6011</t>
  </si>
  <si>
    <t>Columna6012</t>
  </si>
  <si>
    <t>Columna6013</t>
  </si>
  <si>
    <t>Columna6014</t>
  </si>
  <si>
    <t>Columna6015</t>
  </si>
  <si>
    <t>Columna6016</t>
  </si>
  <si>
    <t>Columna6017</t>
  </si>
  <si>
    <t>Columna6018</t>
  </si>
  <si>
    <t>Columna6019</t>
  </si>
  <si>
    <t>Columna6020</t>
  </si>
  <si>
    <t>Columna6021</t>
  </si>
  <si>
    <t>Columna6022</t>
  </si>
  <si>
    <t>Columna6023</t>
  </si>
  <si>
    <t>Columna6024</t>
  </si>
  <si>
    <t>Columna6025</t>
  </si>
  <si>
    <t>Columna6026</t>
  </si>
  <si>
    <t>Columna6027</t>
  </si>
  <si>
    <t>Columna6028</t>
  </si>
  <si>
    <t>Columna6029</t>
  </si>
  <si>
    <t>Columna6030</t>
  </si>
  <si>
    <t>Columna6031</t>
  </si>
  <si>
    <t>Columna6032</t>
  </si>
  <si>
    <t>Columna6033</t>
  </si>
  <si>
    <t>Columna6034</t>
  </si>
  <si>
    <t>Columna6035</t>
  </si>
  <si>
    <t>Columna6036</t>
  </si>
  <si>
    <t>Columna6037</t>
  </si>
  <si>
    <t>Columna6038</t>
  </si>
  <si>
    <t>Columna6039</t>
  </si>
  <si>
    <t>Columna6040</t>
  </si>
  <si>
    <t>Columna6041</t>
  </si>
  <si>
    <t>Columna6042</t>
  </si>
  <si>
    <t>Columna6043</t>
  </si>
  <si>
    <t>Columna6044</t>
  </si>
  <si>
    <t>Columna6045</t>
  </si>
  <si>
    <t>Columna6046</t>
  </si>
  <si>
    <t>Columna6047</t>
  </si>
  <si>
    <t>Columna6048</t>
  </si>
  <si>
    <t>Columna6049</t>
  </si>
  <si>
    <t>Columna6050</t>
  </si>
  <si>
    <t>Columna6051</t>
  </si>
  <si>
    <t>Columna6052</t>
  </si>
  <si>
    <t>Columna6053</t>
  </si>
  <si>
    <t>Columna6054</t>
  </si>
  <si>
    <t>Columna6055</t>
  </si>
  <si>
    <t>Columna6056</t>
  </si>
  <si>
    <t>Columna6057</t>
  </si>
  <si>
    <t>Columna6058</t>
  </si>
  <si>
    <t>Columna6059</t>
  </si>
  <si>
    <t>Columna6060</t>
  </si>
  <si>
    <t>Columna6061</t>
  </si>
  <si>
    <t>Columna6062</t>
  </si>
  <si>
    <t>Columna6063</t>
  </si>
  <si>
    <t>Columna6064</t>
  </si>
  <si>
    <t>Columna6065</t>
  </si>
  <si>
    <t>Columna6066</t>
  </si>
  <si>
    <t>Columna6067</t>
  </si>
  <si>
    <t>Columna6068</t>
  </si>
  <si>
    <t>Columna6069</t>
  </si>
  <si>
    <t>Columna6070</t>
  </si>
  <si>
    <t>Columna6071</t>
  </si>
  <si>
    <t>Columna6072</t>
  </si>
  <si>
    <t>Columna6073</t>
  </si>
  <si>
    <t>Columna6074</t>
  </si>
  <si>
    <t>Columna6075</t>
  </si>
  <si>
    <t>Columna6076</t>
  </si>
  <si>
    <t>Columna6077</t>
  </si>
  <si>
    <t>Columna6078</t>
  </si>
  <si>
    <t>Columna6079</t>
  </si>
  <si>
    <t>Columna6080</t>
  </si>
  <si>
    <t>Columna6081</t>
  </si>
  <si>
    <t>Columna6082</t>
  </si>
  <si>
    <t>Columna6083</t>
  </si>
  <si>
    <t>Columna6084</t>
  </si>
  <si>
    <t>Columna6085</t>
  </si>
  <si>
    <t>Columna6086</t>
  </si>
  <si>
    <t>Columna6087</t>
  </si>
  <si>
    <t>Columna6088</t>
  </si>
  <si>
    <t>Columna6089</t>
  </si>
  <si>
    <t>Columna6090</t>
  </si>
  <si>
    <t>Columna6091</t>
  </si>
  <si>
    <t>Columna6092</t>
  </si>
  <si>
    <t>Columna6093</t>
  </si>
  <si>
    <t>Columna6094</t>
  </si>
  <si>
    <t>Columna6095</t>
  </si>
  <si>
    <t>Columna6096</t>
  </si>
  <si>
    <t>Columna6097</t>
  </si>
  <si>
    <t>Columna6098</t>
  </si>
  <si>
    <t>Columna6099</t>
  </si>
  <si>
    <t>Columna6100</t>
  </si>
  <si>
    <t>Columna6101</t>
  </si>
  <si>
    <t>Columna6102</t>
  </si>
  <si>
    <t>Columna6103</t>
  </si>
  <si>
    <t>Columna6104</t>
  </si>
  <si>
    <t>Columna6105</t>
  </si>
  <si>
    <t>Columna6106</t>
  </si>
  <si>
    <t>Columna6107</t>
  </si>
  <si>
    <t>Columna6108</t>
  </si>
  <si>
    <t>Columna6109</t>
  </si>
  <si>
    <t>Columna6110</t>
  </si>
  <si>
    <t>Columna6111</t>
  </si>
  <si>
    <t>Columna6112</t>
  </si>
  <si>
    <t>Columna6113</t>
  </si>
  <si>
    <t>Columna6114</t>
  </si>
  <si>
    <t>Columna6115</t>
  </si>
  <si>
    <t>Columna6116</t>
  </si>
  <si>
    <t>Columna6117</t>
  </si>
  <si>
    <t>Columna6118</t>
  </si>
  <si>
    <t>Columna6119</t>
  </si>
  <si>
    <t>Columna6120</t>
  </si>
  <si>
    <t>Columna6121</t>
  </si>
  <si>
    <t>Columna6122</t>
  </si>
  <si>
    <t>Columna6123</t>
  </si>
  <si>
    <t>Columna6124</t>
  </si>
  <si>
    <t>Columna6125</t>
  </si>
  <si>
    <t>Columna6126</t>
  </si>
  <si>
    <t>Columna6127</t>
  </si>
  <si>
    <t>Columna6128</t>
  </si>
  <si>
    <t>Columna6129</t>
  </si>
  <si>
    <t>Columna6130</t>
  </si>
  <si>
    <t>Columna6131</t>
  </si>
  <si>
    <t>Columna6132</t>
  </si>
  <si>
    <t>Columna6133</t>
  </si>
  <si>
    <t>Columna6134</t>
  </si>
  <si>
    <t>Columna6135</t>
  </si>
  <si>
    <t>Columna6136</t>
  </si>
  <si>
    <t>Columna6137</t>
  </si>
  <si>
    <t>Columna6138</t>
  </si>
  <si>
    <t>Columna6139</t>
  </si>
  <si>
    <t>Columna6140</t>
  </si>
  <si>
    <t>Columna6141</t>
  </si>
  <si>
    <t>Columna6142</t>
  </si>
  <si>
    <t>Columna6143</t>
  </si>
  <si>
    <t>Columna6144</t>
  </si>
  <si>
    <t>Columna6145</t>
  </si>
  <si>
    <t>Columna6146</t>
  </si>
  <si>
    <t>Columna6147</t>
  </si>
  <si>
    <t>Columna6148</t>
  </si>
  <si>
    <t>Columna6149</t>
  </si>
  <si>
    <t>Columna6150</t>
  </si>
  <si>
    <t>Columna6151</t>
  </si>
  <si>
    <t>Columna6152</t>
  </si>
  <si>
    <t>Columna6153</t>
  </si>
  <si>
    <t>Columna6154</t>
  </si>
  <si>
    <t>Columna6155</t>
  </si>
  <si>
    <t>Columna6156</t>
  </si>
  <si>
    <t>Columna6157</t>
  </si>
  <si>
    <t>Columna6158</t>
  </si>
  <si>
    <t>Columna6159</t>
  </si>
  <si>
    <t>Columna6160</t>
  </si>
  <si>
    <t>Columna6161</t>
  </si>
  <si>
    <t>Columna6162</t>
  </si>
  <si>
    <t>Columna6163</t>
  </si>
  <si>
    <t>Columna6164</t>
  </si>
  <si>
    <t>Columna6165</t>
  </si>
  <si>
    <t>Columna6166</t>
  </si>
  <si>
    <t>Columna6167</t>
  </si>
  <si>
    <t>Columna6168</t>
  </si>
  <si>
    <t>Columna6169</t>
  </si>
  <si>
    <t>Columna6170</t>
  </si>
  <si>
    <t>Columna6171</t>
  </si>
  <si>
    <t>Columna6172</t>
  </si>
  <si>
    <t>Columna6173</t>
  </si>
  <si>
    <t>Columna6174</t>
  </si>
  <si>
    <t>Columna6175</t>
  </si>
  <si>
    <t>Columna6176</t>
  </si>
  <si>
    <t>Columna6177</t>
  </si>
  <si>
    <t>Columna6178</t>
  </si>
  <si>
    <t>Columna6179</t>
  </si>
  <si>
    <t>Columna6180</t>
  </si>
  <si>
    <t>Columna6181</t>
  </si>
  <si>
    <t>Columna6182</t>
  </si>
  <si>
    <t>Columna6183</t>
  </si>
  <si>
    <t>Columna6184</t>
  </si>
  <si>
    <t>Columna6185</t>
  </si>
  <si>
    <t>Columna6186</t>
  </si>
  <si>
    <t>Columna6187</t>
  </si>
  <si>
    <t>Columna6188</t>
  </si>
  <si>
    <t>Columna6189</t>
  </si>
  <si>
    <t>Columna6190</t>
  </si>
  <si>
    <t>Columna6191</t>
  </si>
  <si>
    <t>Columna6192</t>
  </si>
  <si>
    <t>Columna6193</t>
  </si>
  <si>
    <t>Columna6194</t>
  </si>
  <si>
    <t>Columna6195</t>
  </si>
  <si>
    <t>Columna6196</t>
  </si>
  <si>
    <t>Columna6197</t>
  </si>
  <si>
    <t>Columna6198</t>
  </si>
  <si>
    <t>Columna6199</t>
  </si>
  <si>
    <t>Columna6200</t>
  </si>
  <si>
    <t>Columna6201</t>
  </si>
  <si>
    <t>Columna6202</t>
  </si>
  <si>
    <t>Columna6203</t>
  </si>
  <si>
    <t>Columna6204</t>
  </si>
  <si>
    <t>Columna6205</t>
  </si>
  <si>
    <t>Columna6206</t>
  </si>
  <si>
    <t>Columna6207</t>
  </si>
  <si>
    <t>Columna6208</t>
  </si>
  <si>
    <t>Columna6209</t>
  </si>
  <si>
    <t>Columna6210</t>
  </si>
  <si>
    <t>Columna6211</t>
  </si>
  <si>
    <t>Columna6212</t>
  </si>
  <si>
    <t>Columna6213</t>
  </si>
  <si>
    <t>Columna6214</t>
  </si>
  <si>
    <t>Columna6215</t>
  </si>
  <si>
    <t>Columna6216</t>
  </si>
  <si>
    <t>Columna6217</t>
  </si>
  <si>
    <t>Columna6218</t>
  </si>
  <si>
    <t>Columna6219</t>
  </si>
  <si>
    <t>Columna6220</t>
  </si>
  <si>
    <t>Columna6221</t>
  </si>
  <si>
    <t>Columna6222</t>
  </si>
  <si>
    <t>Columna6223</t>
  </si>
  <si>
    <t>Columna6224</t>
  </si>
  <si>
    <t>Columna6225</t>
  </si>
  <si>
    <t>Columna6226</t>
  </si>
  <si>
    <t>Columna6227</t>
  </si>
  <si>
    <t>Columna6228</t>
  </si>
  <si>
    <t>Columna6229</t>
  </si>
  <si>
    <t>Columna6230</t>
  </si>
  <si>
    <t>Columna6231</t>
  </si>
  <si>
    <t>Columna6232</t>
  </si>
  <si>
    <t>Columna6233</t>
  </si>
  <si>
    <t>Columna6234</t>
  </si>
  <si>
    <t>Columna6235</t>
  </si>
  <si>
    <t>Columna6236</t>
  </si>
  <si>
    <t>Columna6237</t>
  </si>
  <si>
    <t>Columna6238</t>
  </si>
  <si>
    <t>Columna6239</t>
  </si>
  <si>
    <t>Columna6240</t>
  </si>
  <si>
    <t>Columna6241</t>
  </si>
  <si>
    <t>Columna6242</t>
  </si>
  <si>
    <t>Columna6243</t>
  </si>
  <si>
    <t>Columna6244</t>
  </si>
  <si>
    <t>Columna6245</t>
  </si>
  <si>
    <t>Columna6246</t>
  </si>
  <si>
    <t>Columna6247</t>
  </si>
  <si>
    <t>Columna6248</t>
  </si>
  <si>
    <t>Columna6249</t>
  </si>
  <si>
    <t>Columna6250</t>
  </si>
  <si>
    <t>Columna6251</t>
  </si>
  <si>
    <t>Columna6252</t>
  </si>
  <si>
    <t>Columna6253</t>
  </si>
  <si>
    <t>Columna6254</t>
  </si>
  <si>
    <t>Columna6255</t>
  </si>
  <si>
    <t>Columna6256</t>
  </si>
  <si>
    <t>Columna6257</t>
  </si>
  <si>
    <t>Columna6258</t>
  </si>
  <si>
    <t>Columna6259</t>
  </si>
  <si>
    <t>Columna6260</t>
  </si>
  <si>
    <t>Columna6261</t>
  </si>
  <si>
    <t>Columna6262</t>
  </si>
  <si>
    <t>Columna6263</t>
  </si>
  <si>
    <t>Columna6264</t>
  </si>
  <si>
    <t>Columna6265</t>
  </si>
  <si>
    <t>Columna6266</t>
  </si>
  <si>
    <t>Columna6267</t>
  </si>
  <si>
    <t>Columna6268</t>
  </si>
  <si>
    <t>Columna6269</t>
  </si>
  <si>
    <t>Columna6270</t>
  </si>
  <si>
    <t>Columna6271</t>
  </si>
  <si>
    <t>Columna6272</t>
  </si>
  <si>
    <t>Columna6273</t>
  </si>
  <si>
    <t>Columna6274</t>
  </si>
  <si>
    <t>Columna6275</t>
  </si>
  <si>
    <t>Columna6276</t>
  </si>
  <si>
    <t>Columna6277</t>
  </si>
  <si>
    <t>Columna6278</t>
  </si>
  <si>
    <t>Columna6279</t>
  </si>
  <si>
    <t>Columna6280</t>
  </si>
  <si>
    <t>Columna6281</t>
  </si>
  <si>
    <t>Columna6282</t>
  </si>
  <si>
    <t>Columna6283</t>
  </si>
  <si>
    <t>Columna6284</t>
  </si>
  <si>
    <t>Columna6285</t>
  </si>
  <si>
    <t>Columna6286</t>
  </si>
  <si>
    <t>Columna6287</t>
  </si>
  <si>
    <t>Columna6288</t>
  </si>
  <si>
    <t>Columna6289</t>
  </si>
  <si>
    <t>Columna6290</t>
  </si>
  <si>
    <t>Columna6291</t>
  </si>
  <si>
    <t>Columna6292</t>
  </si>
  <si>
    <t>Columna6293</t>
  </si>
  <si>
    <t>Columna6294</t>
  </si>
  <si>
    <t>Columna6295</t>
  </si>
  <si>
    <t>Columna6296</t>
  </si>
  <si>
    <t>Columna6297</t>
  </si>
  <si>
    <t>Columna6298</t>
  </si>
  <si>
    <t>Columna6299</t>
  </si>
  <si>
    <t>Columna6300</t>
  </si>
  <si>
    <t>Columna6301</t>
  </si>
  <si>
    <t>Columna6302</t>
  </si>
  <si>
    <t>Columna6303</t>
  </si>
  <si>
    <t>Columna6304</t>
  </si>
  <si>
    <t>Columna6305</t>
  </si>
  <si>
    <t>Columna6306</t>
  </si>
  <si>
    <t>Columna6307</t>
  </si>
  <si>
    <t>Columna6308</t>
  </si>
  <si>
    <t>Columna6309</t>
  </si>
  <si>
    <t>Columna6310</t>
  </si>
  <si>
    <t>Columna6311</t>
  </si>
  <si>
    <t>Columna6312</t>
  </si>
  <si>
    <t>Columna6313</t>
  </si>
  <si>
    <t>Columna6314</t>
  </si>
  <si>
    <t>Columna6315</t>
  </si>
  <si>
    <t>Columna6316</t>
  </si>
  <si>
    <t>Columna6317</t>
  </si>
  <si>
    <t>Columna6318</t>
  </si>
  <si>
    <t>Columna6319</t>
  </si>
  <si>
    <t>Columna6320</t>
  </si>
  <si>
    <t>Columna6321</t>
  </si>
  <si>
    <t>Columna6322</t>
  </si>
  <si>
    <t>Columna6323</t>
  </si>
  <si>
    <t>Columna6324</t>
  </si>
  <si>
    <t>Columna6325</t>
  </si>
  <si>
    <t>Columna6326</t>
  </si>
  <si>
    <t>Columna6327</t>
  </si>
  <si>
    <t>Columna6328</t>
  </si>
  <si>
    <t>Columna6329</t>
  </si>
  <si>
    <t>Columna6330</t>
  </si>
  <si>
    <t>Columna6331</t>
  </si>
  <si>
    <t>Columna6332</t>
  </si>
  <si>
    <t>Columna6333</t>
  </si>
  <si>
    <t>Columna6334</t>
  </si>
  <si>
    <t>Columna6335</t>
  </si>
  <si>
    <t>Columna6336</t>
  </si>
  <si>
    <t>Columna6337</t>
  </si>
  <si>
    <t>Columna6338</t>
  </si>
  <si>
    <t>Columna6339</t>
  </si>
  <si>
    <t>Columna6340</t>
  </si>
  <si>
    <t>Columna6341</t>
  </si>
  <si>
    <t>Columna6342</t>
  </si>
  <si>
    <t>Columna6343</t>
  </si>
  <si>
    <t>Columna6344</t>
  </si>
  <si>
    <t>Columna6345</t>
  </si>
  <si>
    <t>Columna6346</t>
  </si>
  <si>
    <t>Columna6347</t>
  </si>
  <si>
    <t>Columna6348</t>
  </si>
  <si>
    <t>Columna6349</t>
  </si>
  <si>
    <t>Columna6350</t>
  </si>
  <si>
    <t>Columna6351</t>
  </si>
  <si>
    <t>Columna6352</t>
  </si>
  <si>
    <t>Columna6353</t>
  </si>
  <si>
    <t>Columna6354</t>
  </si>
  <si>
    <t>Columna6355</t>
  </si>
  <si>
    <t>Columna6356</t>
  </si>
  <si>
    <t>Columna6357</t>
  </si>
  <si>
    <t>Columna6358</t>
  </si>
  <si>
    <t>Columna6359</t>
  </si>
  <si>
    <t>Columna6360</t>
  </si>
  <si>
    <t>Columna6361</t>
  </si>
  <si>
    <t>Columna6362</t>
  </si>
  <si>
    <t>Columna6363</t>
  </si>
  <si>
    <t>Columna6364</t>
  </si>
  <si>
    <t>Columna6365</t>
  </si>
  <si>
    <t>Columna6366</t>
  </si>
  <si>
    <t>Columna6367</t>
  </si>
  <si>
    <t>Columna6368</t>
  </si>
  <si>
    <t>Columna6369</t>
  </si>
  <si>
    <t>Columna6370</t>
  </si>
  <si>
    <t>Columna6371</t>
  </si>
  <si>
    <t>Columna6372</t>
  </si>
  <si>
    <t>Columna6373</t>
  </si>
  <si>
    <t>Columna6374</t>
  </si>
  <si>
    <t>Columna6375</t>
  </si>
  <si>
    <t>Columna6376</t>
  </si>
  <si>
    <t>Columna6377</t>
  </si>
  <si>
    <t>Columna6378</t>
  </si>
  <si>
    <t>Columna6379</t>
  </si>
  <si>
    <t>Columna6380</t>
  </si>
  <si>
    <t>Columna6381</t>
  </si>
  <si>
    <t>Columna6382</t>
  </si>
  <si>
    <t>Columna6383</t>
  </si>
  <si>
    <t>Columna6384</t>
  </si>
  <si>
    <t>Columna6385</t>
  </si>
  <si>
    <t>Columna6386</t>
  </si>
  <si>
    <t>Columna6387</t>
  </si>
  <si>
    <t>Columna6388</t>
  </si>
  <si>
    <t>Columna6389</t>
  </si>
  <si>
    <t>Columna6390</t>
  </si>
  <si>
    <t>Columna6391</t>
  </si>
  <si>
    <t>Columna6392</t>
  </si>
  <si>
    <t>Columna6393</t>
  </si>
  <si>
    <t>Columna6394</t>
  </si>
  <si>
    <t>Columna6395</t>
  </si>
  <si>
    <t>Columna6396</t>
  </si>
  <si>
    <t>Columna6397</t>
  </si>
  <si>
    <t>Columna6398</t>
  </si>
  <si>
    <t>Columna6399</t>
  </si>
  <si>
    <t>Columna6400</t>
  </si>
  <si>
    <t>Columna6401</t>
  </si>
  <si>
    <t>Columna6402</t>
  </si>
  <si>
    <t>Columna6403</t>
  </si>
  <si>
    <t>Columna6404</t>
  </si>
  <si>
    <t>Columna6405</t>
  </si>
  <si>
    <t>Columna6406</t>
  </si>
  <si>
    <t>Columna6407</t>
  </si>
  <si>
    <t>Columna6408</t>
  </si>
  <si>
    <t>Columna6409</t>
  </si>
  <si>
    <t>Columna6410</t>
  </si>
  <si>
    <t>Columna6411</t>
  </si>
  <si>
    <t>Columna6412</t>
  </si>
  <si>
    <t>Columna6413</t>
  </si>
  <si>
    <t>Columna6414</t>
  </si>
  <si>
    <t>Columna6415</t>
  </si>
  <si>
    <t>Columna6416</t>
  </si>
  <si>
    <t>Columna6417</t>
  </si>
  <si>
    <t>Columna6418</t>
  </si>
  <si>
    <t>Columna6419</t>
  </si>
  <si>
    <t>Columna6420</t>
  </si>
  <si>
    <t>Columna6421</t>
  </si>
  <si>
    <t>Columna6422</t>
  </si>
  <si>
    <t>Columna6423</t>
  </si>
  <si>
    <t>Columna6424</t>
  </si>
  <si>
    <t>Columna6425</t>
  </si>
  <si>
    <t>Columna6426</t>
  </si>
  <si>
    <t>Columna6427</t>
  </si>
  <si>
    <t>Columna6428</t>
  </si>
  <si>
    <t>Columna6429</t>
  </si>
  <si>
    <t>Columna6430</t>
  </si>
  <si>
    <t>Columna6431</t>
  </si>
  <si>
    <t>Columna6432</t>
  </si>
  <si>
    <t>Columna6433</t>
  </si>
  <si>
    <t>Columna6434</t>
  </si>
  <si>
    <t>Columna6435</t>
  </si>
  <si>
    <t>Columna6436</t>
  </si>
  <si>
    <t>Columna6437</t>
  </si>
  <si>
    <t>Columna6438</t>
  </si>
  <si>
    <t>Columna6439</t>
  </si>
  <si>
    <t>Columna6440</t>
  </si>
  <si>
    <t>Columna6441</t>
  </si>
  <si>
    <t>Columna6442</t>
  </si>
  <si>
    <t>Columna6443</t>
  </si>
  <si>
    <t>Columna6444</t>
  </si>
  <si>
    <t>Columna6445</t>
  </si>
  <si>
    <t>Columna6446</t>
  </si>
  <si>
    <t>Columna6447</t>
  </si>
  <si>
    <t>Columna6448</t>
  </si>
  <si>
    <t>Columna6449</t>
  </si>
  <si>
    <t>Columna6450</t>
  </si>
  <si>
    <t>Columna6451</t>
  </si>
  <si>
    <t>Columna6452</t>
  </si>
  <si>
    <t>Columna6453</t>
  </si>
  <si>
    <t>Columna6454</t>
  </si>
  <si>
    <t>Columna6455</t>
  </si>
  <si>
    <t>Columna6456</t>
  </si>
  <si>
    <t>Columna6457</t>
  </si>
  <si>
    <t>Columna6458</t>
  </si>
  <si>
    <t>Columna6459</t>
  </si>
  <si>
    <t>Columna6460</t>
  </si>
  <si>
    <t>Columna6461</t>
  </si>
  <si>
    <t>Columna6462</t>
  </si>
  <si>
    <t>Columna6463</t>
  </si>
  <si>
    <t>Columna6464</t>
  </si>
  <si>
    <t>Columna6465</t>
  </si>
  <si>
    <t>Columna6466</t>
  </si>
  <si>
    <t>Columna6467</t>
  </si>
  <si>
    <t>Columna6468</t>
  </si>
  <si>
    <t>Columna6469</t>
  </si>
  <si>
    <t>Columna6470</t>
  </si>
  <si>
    <t>Columna6471</t>
  </si>
  <si>
    <t>Columna6472</t>
  </si>
  <si>
    <t>Columna6473</t>
  </si>
  <si>
    <t>Columna6474</t>
  </si>
  <si>
    <t>Columna6475</t>
  </si>
  <si>
    <t>Columna6476</t>
  </si>
  <si>
    <t>Columna6477</t>
  </si>
  <si>
    <t>Columna6478</t>
  </si>
  <si>
    <t>Columna6479</t>
  </si>
  <si>
    <t>Columna6480</t>
  </si>
  <si>
    <t>Columna6481</t>
  </si>
  <si>
    <t>Columna6482</t>
  </si>
  <si>
    <t>Columna6483</t>
  </si>
  <si>
    <t>Columna6484</t>
  </si>
  <si>
    <t>Columna6485</t>
  </si>
  <si>
    <t>Columna6486</t>
  </si>
  <si>
    <t>Columna6487</t>
  </si>
  <si>
    <t>Columna6488</t>
  </si>
  <si>
    <t>Columna6489</t>
  </si>
  <si>
    <t>Columna6490</t>
  </si>
  <si>
    <t>Columna6491</t>
  </si>
  <si>
    <t>Columna6492</t>
  </si>
  <si>
    <t>Columna6493</t>
  </si>
  <si>
    <t>Columna6494</t>
  </si>
  <si>
    <t>Columna6495</t>
  </si>
  <si>
    <t>Columna6496</t>
  </si>
  <si>
    <t>Columna6497</t>
  </si>
  <si>
    <t>Columna6498</t>
  </si>
  <si>
    <t>Columna6499</t>
  </si>
  <si>
    <t>Columna6500</t>
  </si>
  <si>
    <t>Columna6501</t>
  </si>
  <si>
    <t>Columna6502</t>
  </si>
  <si>
    <t>Columna6503</t>
  </si>
  <si>
    <t>Columna6504</t>
  </si>
  <si>
    <t>Columna6505</t>
  </si>
  <si>
    <t>Columna6506</t>
  </si>
  <si>
    <t>Columna6507</t>
  </si>
  <si>
    <t>Columna6508</t>
  </si>
  <si>
    <t>Columna6509</t>
  </si>
  <si>
    <t>Columna6510</t>
  </si>
  <si>
    <t>Columna6511</t>
  </si>
  <si>
    <t>Columna6512</t>
  </si>
  <si>
    <t>Columna6513</t>
  </si>
  <si>
    <t>Columna6514</t>
  </si>
  <si>
    <t>Columna6515</t>
  </si>
  <si>
    <t>Columna6516</t>
  </si>
  <si>
    <t>Columna6517</t>
  </si>
  <si>
    <t>Columna6518</t>
  </si>
  <si>
    <t>Columna6519</t>
  </si>
  <si>
    <t>Columna6520</t>
  </si>
  <si>
    <t>Columna6521</t>
  </si>
  <si>
    <t>Columna6522</t>
  </si>
  <si>
    <t>Columna6523</t>
  </si>
  <si>
    <t>Columna6524</t>
  </si>
  <si>
    <t>Columna6525</t>
  </si>
  <si>
    <t>Columna6526</t>
  </si>
  <si>
    <t>Columna6527</t>
  </si>
  <si>
    <t>Columna6528</t>
  </si>
  <si>
    <t>Columna6529</t>
  </si>
  <si>
    <t>Columna6530</t>
  </si>
  <si>
    <t>Columna6531</t>
  </si>
  <si>
    <t>Columna6532</t>
  </si>
  <si>
    <t>Columna6533</t>
  </si>
  <si>
    <t>Columna6534</t>
  </si>
  <si>
    <t>Columna6535</t>
  </si>
  <si>
    <t>Columna6536</t>
  </si>
  <si>
    <t>Columna6537</t>
  </si>
  <si>
    <t>Columna6538</t>
  </si>
  <si>
    <t>Columna6539</t>
  </si>
  <si>
    <t>Columna6540</t>
  </si>
  <si>
    <t>Columna6541</t>
  </si>
  <si>
    <t>Columna6542</t>
  </si>
  <si>
    <t>Columna6543</t>
  </si>
  <si>
    <t>Columna6544</t>
  </si>
  <si>
    <t>Columna6545</t>
  </si>
  <si>
    <t>Columna6546</t>
  </si>
  <si>
    <t>Columna6547</t>
  </si>
  <si>
    <t>Columna6548</t>
  </si>
  <si>
    <t>Columna6549</t>
  </si>
  <si>
    <t>Columna6550</t>
  </si>
  <si>
    <t>Columna6551</t>
  </si>
  <si>
    <t>Columna6552</t>
  </si>
  <si>
    <t>Columna6553</t>
  </si>
  <si>
    <t>Columna6554</t>
  </si>
  <si>
    <t>Columna6555</t>
  </si>
  <si>
    <t>Columna6556</t>
  </si>
  <si>
    <t>Columna6557</t>
  </si>
  <si>
    <t>Columna6558</t>
  </si>
  <si>
    <t>Columna6559</t>
  </si>
  <si>
    <t>Columna6560</t>
  </si>
  <si>
    <t>Columna6561</t>
  </si>
  <si>
    <t>Columna6562</t>
  </si>
  <si>
    <t>Columna6563</t>
  </si>
  <si>
    <t>Columna6564</t>
  </si>
  <si>
    <t>Columna6565</t>
  </si>
  <si>
    <t>Columna6566</t>
  </si>
  <si>
    <t>Columna6567</t>
  </si>
  <si>
    <t>Columna6568</t>
  </si>
  <si>
    <t>Columna6569</t>
  </si>
  <si>
    <t>Columna6570</t>
  </si>
  <si>
    <t>Columna6571</t>
  </si>
  <si>
    <t>Columna6572</t>
  </si>
  <si>
    <t>Columna6573</t>
  </si>
  <si>
    <t>Columna6574</t>
  </si>
  <si>
    <t>Columna6575</t>
  </si>
  <si>
    <t>Columna6576</t>
  </si>
  <si>
    <t>Columna6577</t>
  </si>
  <si>
    <t>Columna6578</t>
  </si>
  <si>
    <t>Columna6579</t>
  </si>
  <si>
    <t>Columna6580</t>
  </si>
  <si>
    <t>Columna6581</t>
  </si>
  <si>
    <t>Columna6582</t>
  </si>
  <si>
    <t>Columna6583</t>
  </si>
  <si>
    <t>Columna6584</t>
  </si>
  <si>
    <t>Columna6585</t>
  </si>
  <si>
    <t>Columna6586</t>
  </si>
  <si>
    <t>Columna6587</t>
  </si>
  <si>
    <t>Columna6588</t>
  </si>
  <si>
    <t>Columna6589</t>
  </si>
  <si>
    <t>Columna6590</t>
  </si>
  <si>
    <t>Columna6591</t>
  </si>
  <si>
    <t>Columna6592</t>
  </si>
  <si>
    <t>Columna6593</t>
  </si>
  <si>
    <t>Columna6594</t>
  </si>
  <si>
    <t>Columna6595</t>
  </si>
  <si>
    <t>Columna6596</t>
  </si>
  <si>
    <t>Columna6597</t>
  </si>
  <si>
    <t>Columna6598</t>
  </si>
  <si>
    <t>Columna6599</t>
  </si>
  <si>
    <t>Columna6600</t>
  </si>
  <si>
    <t>Columna6601</t>
  </si>
  <si>
    <t>Columna6602</t>
  </si>
  <si>
    <t>Columna6603</t>
  </si>
  <si>
    <t>Columna6604</t>
  </si>
  <si>
    <t>Columna6605</t>
  </si>
  <si>
    <t>Columna6606</t>
  </si>
  <si>
    <t>Columna6607</t>
  </si>
  <si>
    <t>Columna6608</t>
  </si>
  <si>
    <t>Columna6609</t>
  </si>
  <si>
    <t>Columna6610</t>
  </si>
  <si>
    <t>Columna6611</t>
  </si>
  <si>
    <t>Columna6612</t>
  </si>
  <si>
    <t>Columna6613</t>
  </si>
  <si>
    <t>Columna6614</t>
  </si>
  <si>
    <t>Columna6615</t>
  </si>
  <si>
    <t>Columna6616</t>
  </si>
  <si>
    <t>Columna6617</t>
  </si>
  <si>
    <t>Columna6618</t>
  </si>
  <si>
    <t>Columna6619</t>
  </si>
  <si>
    <t>Columna6620</t>
  </si>
  <si>
    <t>Columna6621</t>
  </si>
  <si>
    <t>Columna6622</t>
  </si>
  <si>
    <t>Columna6623</t>
  </si>
  <si>
    <t>Columna6624</t>
  </si>
  <si>
    <t>Columna6625</t>
  </si>
  <si>
    <t>Columna6626</t>
  </si>
  <si>
    <t>Columna6627</t>
  </si>
  <si>
    <t>Columna6628</t>
  </si>
  <si>
    <t>Columna6629</t>
  </si>
  <si>
    <t>Columna6630</t>
  </si>
  <si>
    <t>Columna6631</t>
  </si>
  <si>
    <t>Columna6632</t>
  </si>
  <si>
    <t>Columna6633</t>
  </si>
  <si>
    <t>Columna6634</t>
  </si>
  <si>
    <t>Columna6635</t>
  </si>
  <si>
    <t>Columna6636</t>
  </si>
  <si>
    <t>Columna6637</t>
  </si>
  <si>
    <t>Columna6638</t>
  </si>
  <si>
    <t>Columna6639</t>
  </si>
  <si>
    <t>Columna6640</t>
  </si>
  <si>
    <t>Columna6641</t>
  </si>
  <si>
    <t>Columna6642</t>
  </si>
  <si>
    <t>Columna6643</t>
  </si>
  <si>
    <t>Columna6644</t>
  </si>
  <si>
    <t>Columna6645</t>
  </si>
  <si>
    <t>Columna6646</t>
  </si>
  <si>
    <t>Columna6647</t>
  </si>
  <si>
    <t>Columna6648</t>
  </si>
  <si>
    <t>Columna6649</t>
  </si>
  <si>
    <t>Columna6650</t>
  </si>
  <si>
    <t>Columna6651</t>
  </si>
  <si>
    <t>Columna6652</t>
  </si>
  <si>
    <t>Columna6653</t>
  </si>
  <si>
    <t>Columna6654</t>
  </si>
  <si>
    <t>Columna6655</t>
  </si>
  <si>
    <t>Columna6656</t>
  </si>
  <si>
    <t>Columna6657</t>
  </si>
  <si>
    <t>Columna6658</t>
  </si>
  <si>
    <t>Columna6659</t>
  </si>
  <si>
    <t>Columna6660</t>
  </si>
  <si>
    <t>Columna6661</t>
  </si>
  <si>
    <t>Columna6662</t>
  </si>
  <si>
    <t>Columna6663</t>
  </si>
  <si>
    <t>Columna6664</t>
  </si>
  <si>
    <t>Columna6665</t>
  </si>
  <si>
    <t>Columna6666</t>
  </si>
  <si>
    <t>Columna6667</t>
  </si>
  <si>
    <t>Columna6668</t>
  </si>
  <si>
    <t>Columna6669</t>
  </si>
  <si>
    <t>Columna6670</t>
  </si>
  <si>
    <t>Columna6671</t>
  </si>
  <si>
    <t>Columna6672</t>
  </si>
  <si>
    <t>Columna6673</t>
  </si>
  <si>
    <t>Columna6674</t>
  </si>
  <si>
    <t>Columna6675</t>
  </si>
  <si>
    <t>Columna6676</t>
  </si>
  <si>
    <t>Columna6677</t>
  </si>
  <si>
    <t>Columna6678</t>
  </si>
  <si>
    <t>Columna6679</t>
  </si>
  <si>
    <t>Columna6680</t>
  </si>
  <si>
    <t>Columna6681</t>
  </si>
  <si>
    <t>Columna6682</t>
  </si>
  <si>
    <t>Columna6683</t>
  </si>
  <si>
    <t>Columna6684</t>
  </si>
  <si>
    <t>Columna6685</t>
  </si>
  <si>
    <t>Columna6686</t>
  </si>
  <si>
    <t>Columna6687</t>
  </si>
  <si>
    <t>Columna6688</t>
  </si>
  <si>
    <t>Columna6689</t>
  </si>
  <si>
    <t>Columna6690</t>
  </si>
  <si>
    <t>Columna6691</t>
  </si>
  <si>
    <t>Columna6692</t>
  </si>
  <si>
    <t>Columna6693</t>
  </si>
  <si>
    <t>Columna6694</t>
  </si>
  <si>
    <t>Columna6695</t>
  </si>
  <si>
    <t>Columna6696</t>
  </si>
  <si>
    <t>Columna6697</t>
  </si>
  <si>
    <t>Columna6698</t>
  </si>
  <si>
    <t>Columna6699</t>
  </si>
  <si>
    <t>Columna6700</t>
  </si>
  <si>
    <t>Columna6701</t>
  </si>
  <si>
    <t>Columna6702</t>
  </si>
  <si>
    <t>Columna6703</t>
  </si>
  <si>
    <t>Columna6704</t>
  </si>
  <si>
    <t>Columna6705</t>
  </si>
  <si>
    <t>Columna6706</t>
  </si>
  <si>
    <t>Columna6707</t>
  </si>
  <si>
    <t>Columna6708</t>
  </si>
  <si>
    <t>Columna6709</t>
  </si>
  <si>
    <t>Columna6710</t>
  </si>
  <si>
    <t>Columna6711</t>
  </si>
  <si>
    <t>Columna6712</t>
  </si>
  <si>
    <t>Columna6713</t>
  </si>
  <si>
    <t>Columna6714</t>
  </si>
  <si>
    <t>Columna6715</t>
  </si>
  <si>
    <t>Columna6716</t>
  </si>
  <si>
    <t>Columna6717</t>
  </si>
  <si>
    <t>Columna6718</t>
  </si>
  <si>
    <t>Columna6719</t>
  </si>
  <si>
    <t>Columna6720</t>
  </si>
  <si>
    <t>Columna6721</t>
  </si>
  <si>
    <t>Columna6722</t>
  </si>
  <si>
    <t>Columna6723</t>
  </si>
  <si>
    <t>Columna6724</t>
  </si>
  <si>
    <t>Columna6725</t>
  </si>
  <si>
    <t>Columna6726</t>
  </si>
  <si>
    <t>Columna6727</t>
  </si>
  <si>
    <t>Columna6728</t>
  </si>
  <si>
    <t>Columna6729</t>
  </si>
  <si>
    <t>Columna6730</t>
  </si>
  <si>
    <t>Columna6731</t>
  </si>
  <si>
    <t>Columna6732</t>
  </si>
  <si>
    <t>Columna6733</t>
  </si>
  <si>
    <t>Columna6734</t>
  </si>
  <si>
    <t>Columna6735</t>
  </si>
  <si>
    <t>Columna6736</t>
  </si>
  <si>
    <t>Columna6737</t>
  </si>
  <si>
    <t>Columna6738</t>
  </si>
  <si>
    <t>Columna6739</t>
  </si>
  <si>
    <t>Columna6740</t>
  </si>
  <si>
    <t>Columna6741</t>
  </si>
  <si>
    <t>Columna6742</t>
  </si>
  <si>
    <t>Columna6743</t>
  </si>
  <si>
    <t>Columna6744</t>
  </si>
  <si>
    <t>Columna6745</t>
  </si>
  <si>
    <t>Columna6746</t>
  </si>
  <si>
    <t>Columna6747</t>
  </si>
  <si>
    <t>Columna6748</t>
  </si>
  <si>
    <t>Columna6749</t>
  </si>
  <si>
    <t>Columna6750</t>
  </si>
  <si>
    <t>Columna6751</t>
  </si>
  <si>
    <t>Columna6752</t>
  </si>
  <si>
    <t>Columna6753</t>
  </si>
  <si>
    <t>Columna6754</t>
  </si>
  <si>
    <t>Columna6755</t>
  </si>
  <si>
    <t>Columna6756</t>
  </si>
  <si>
    <t>Columna6757</t>
  </si>
  <si>
    <t>Columna6758</t>
  </si>
  <si>
    <t>Columna6759</t>
  </si>
  <si>
    <t>Columna6760</t>
  </si>
  <si>
    <t>Columna6761</t>
  </si>
  <si>
    <t>Columna6762</t>
  </si>
  <si>
    <t>Columna6763</t>
  </si>
  <si>
    <t>Columna6764</t>
  </si>
  <si>
    <t>Columna6765</t>
  </si>
  <si>
    <t>Columna6766</t>
  </si>
  <si>
    <t>Columna6767</t>
  </si>
  <si>
    <t>Columna6768</t>
  </si>
  <si>
    <t>Columna6769</t>
  </si>
  <si>
    <t>Columna6770</t>
  </si>
  <si>
    <t>Columna6771</t>
  </si>
  <si>
    <t>Columna6772</t>
  </si>
  <si>
    <t>Columna6773</t>
  </si>
  <si>
    <t>Columna6774</t>
  </si>
  <si>
    <t>Columna6775</t>
  </si>
  <si>
    <t>Columna6776</t>
  </si>
  <si>
    <t>Columna6777</t>
  </si>
  <si>
    <t>Columna6778</t>
  </si>
  <si>
    <t>Columna6779</t>
  </si>
  <si>
    <t>Columna6780</t>
  </si>
  <si>
    <t>Columna6781</t>
  </si>
  <si>
    <t>Columna6782</t>
  </si>
  <si>
    <t>Columna6783</t>
  </si>
  <si>
    <t>Columna6784</t>
  </si>
  <si>
    <t>Columna6785</t>
  </si>
  <si>
    <t>Columna6786</t>
  </si>
  <si>
    <t>Columna6787</t>
  </si>
  <si>
    <t>Columna6788</t>
  </si>
  <si>
    <t>Columna6789</t>
  </si>
  <si>
    <t>Columna6790</t>
  </si>
  <si>
    <t>Columna6791</t>
  </si>
  <si>
    <t>Columna6792</t>
  </si>
  <si>
    <t>Columna6793</t>
  </si>
  <si>
    <t>Columna6794</t>
  </si>
  <si>
    <t>Columna6795</t>
  </si>
  <si>
    <t>Columna6796</t>
  </si>
  <si>
    <t>Columna6797</t>
  </si>
  <si>
    <t>Columna6798</t>
  </si>
  <si>
    <t>Columna6799</t>
  </si>
  <si>
    <t>Columna6800</t>
  </si>
  <si>
    <t>Columna6801</t>
  </si>
  <si>
    <t>Columna6802</t>
  </si>
  <si>
    <t>Columna6803</t>
  </si>
  <si>
    <t>Columna6804</t>
  </si>
  <si>
    <t>Columna6805</t>
  </si>
  <si>
    <t>Columna6806</t>
  </si>
  <si>
    <t>Columna6807</t>
  </si>
  <si>
    <t>Columna6808</t>
  </si>
  <si>
    <t>Columna6809</t>
  </si>
  <si>
    <t>Columna6810</t>
  </si>
  <si>
    <t>Columna6811</t>
  </si>
  <si>
    <t>Columna6812</t>
  </si>
  <si>
    <t>Columna6813</t>
  </si>
  <si>
    <t>Columna6814</t>
  </si>
  <si>
    <t>Columna6815</t>
  </si>
  <si>
    <t>Columna6816</t>
  </si>
  <si>
    <t>Columna6817</t>
  </si>
  <si>
    <t>Columna6818</t>
  </si>
  <si>
    <t>Columna6819</t>
  </si>
  <si>
    <t>Columna6820</t>
  </si>
  <si>
    <t>Columna6821</t>
  </si>
  <si>
    <t>Columna6822</t>
  </si>
  <si>
    <t>Columna6823</t>
  </si>
  <si>
    <t>Columna6824</t>
  </si>
  <si>
    <t>Columna6825</t>
  </si>
  <si>
    <t>Columna6826</t>
  </si>
  <si>
    <t>Columna6827</t>
  </si>
  <si>
    <t>Columna6828</t>
  </si>
  <si>
    <t>Columna6829</t>
  </si>
  <si>
    <t>Columna6830</t>
  </si>
  <si>
    <t>Columna6831</t>
  </si>
  <si>
    <t>Columna6832</t>
  </si>
  <si>
    <t>Columna6833</t>
  </si>
  <si>
    <t>Columna6834</t>
  </si>
  <si>
    <t>Columna6835</t>
  </si>
  <si>
    <t>Columna6836</t>
  </si>
  <si>
    <t>Columna6837</t>
  </si>
  <si>
    <t>Columna6838</t>
  </si>
  <si>
    <t>Columna6839</t>
  </si>
  <si>
    <t>Columna6840</t>
  </si>
  <si>
    <t>Columna6841</t>
  </si>
  <si>
    <t>Columna6842</t>
  </si>
  <si>
    <t>Columna6843</t>
  </si>
  <si>
    <t>Columna6844</t>
  </si>
  <si>
    <t>Columna6845</t>
  </si>
  <si>
    <t>Columna6846</t>
  </si>
  <si>
    <t>Columna6847</t>
  </si>
  <si>
    <t>Columna6848</t>
  </si>
  <si>
    <t>Columna6849</t>
  </si>
  <si>
    <t>Columna6850</t>
  </si>
  <si>
    <t>Columna6851</t>
  </si>
  <si>
    <t>Columna6852</t>
  </si>
  <si>
    <t>Columna6853</t>
  </si>
  <si>
    <t>Columna6854</t>
  </si>
  <si>
    <t>Columna6855</t>
  </si>
  <si>
    <t>Columna6856</t>
  </si>
  <si>
    <t>Columna6857</t>
  </si>
  <si>
    <t>Columna6858</t>
  </si>
  <si>
    <t>Columna6859</t>
  </si>
  <si>
    <t>Columna6860</t>
  </si>
  <si>
    <t>Columna6861</t>
  </si>
  <si>
    <t>Columna6862</t>
  </si>
  <si>
    <t>Columna6863</t>
  </si>
  <si>
    <t>Columna6864</t>
  </si>
  <si>
    <t>Columna6865</t>
  </si>
  <si>
    <t>Columna6866</t>
  </si>
  <si>
    <t>Columna6867</t>
  </si>
  <si>
    <t>Columna6868</t>
  </si>
  <si>
    <t>Columna6869</t>
  </si>
  <si>
    <t>Columna6870</t>
  </si>
  <si>
    <t>Columna6871</t>
  </si>
  <si>
    <t>Columna6872</t>
  </si>
  <si>
    <t>Columna6873</t>
  </si>
  <si>
    <t>Columna6874</t>
  </si>
  <si>
    <t>Columna6875</t>
  </si>
  <si>
    <t>Columna6876</t>
  </si>
  <si>
    <t>Columna6877</t>
  </si>
  <si>
    <t>Columna6878</t>
  </si>
  <si>
    <t>Columna6879</t>
  </si>
  <si>
    <t>Columna6880</t>
  </si>
  <si>
    <t>Columna6881</t>
  </si>
  <si>
    <t>Columna6882</t>
  </si>
  <si>
    <t>Columna6883</t>
  </si>
  <si>
    <t>Columna6884</t>
  </si>
  <si>
    <t>Columna6885</t>
  </si>
  <si>
    <t>Columna6886</t>
  </si>
  <si>
    <t>Columna6887</t>
  </si>
  <si>
    <t>Columna6888</t>
  </si>
  <si>
    <t>Columna6889</t>
  </si>
  <si>
    <t>Columna6890</t>
  </si>
  <si>
    <t>Columna6891</t>
  </si>
  <si>
    <t>Columna6892</t>
  </si>
  <si>
    <t>Columna6893</t>
  </si>
  <si>
    <t>Columna6894</t>
  </si>
  <si>
    <t>Columna6895</t>
  </si>
  <si>
    <t>Columna6896</t>
  </si>
  <si>
    <t>Columna6897</t>
  </si>
  <si>
    <t>Columna6898</t>
  </si>
  <si>
    <t>Columna6899</t>
  </si>
  <si>
    <t>Columna6900</t>
  </si>
  <si>
    <t>Columna6901</t>
  </si>
  <si>
    <t>Columna6902</t>
  </si>
  <si>
    <t>Columna6903</t>
  </si>
  <si>
    <t>Columna6904</t>
  </si>
  <si>
    <t>Columna6905</t>
  </si>
  <si>
    <t>Columna6906</t>
  </si>
  <si>
    <t>Columna6907</t>
  </si>
  <si>
    <t>Columna6908</t>
  </si>
  <si>
    <t>Columna6909</t>
  </si>
  <si>
    <t>Columna6910</t>
  </si>
  <si>
    <t>Columna6911</t>
  </si>
  <si>
    <t>Columna6912</t>
  </si>
  <si>
    <t>Columna6913</t>
  </si>
  <si>
    <t>Columna6914</t>
  </si>
  <si>
    <t>Columna6915</t>
  </si>
  <si>
    <t>Columna6916</t>
  </si>
  <si>
    <t>Columna6917</t>
  </si>
  <si>
    <t>Columna6918</t>
  </si>
  <si>
    <t>Columna6919</t>
  </si>
  <si>
    <t>Columna6920</t>
  </si>
  <si>
    <t>Columna6921</t>
  </si>
  <si>
    <t>Columna6922</t>
  </si>
  <si>
    <t>Columna6923</t>
  </si>
  <si>
    <t>Columna6924</t>
  </si>
  <si>
    <t>Columna6925</t>
  </si>
  <si>
    <t>Columna6926</t>
  </si>
  <si>
    <t>Columna6927</t>
  </si>
  <si>
    <t>Columna6928</t>
  </si>
  <si>
    <t>Columna6929</t>
  </si>
  <si>
    <t>Columna6930</t>
  </si>
  <si>
    <t>Columna6931</t>
  </si>
  <si>
    <t>Columna6932</t>
  </si>
  <si>
    <t>Columna6933</t>
  </si>
  <si>
    <t>Columna6934</t>
  </si>
  <si>
    <t>Columna6935</t>
  </si>
  <si>
    <t>Columna6936</t>
  </si>
  <si>
    <t>Columna6937</t>
  </si>
  <si>
    <t>Columna6938</t>
  </si>
  <si>
    <t>Columna6939</t>
  </si>
  <si>
    <t>Columna6940</t>
  </si>
  <si>
    <t>Columna6941</t>
  </si>
  <si>
    <t>Columna6942</t>
  </si>
  <si>
    <t>Columna6943</t>
  </si>
  <si>
    <t>Columna6944</t>
  </si>
  <si>
    <t>Columna6945</t>
  </si>
  <si>
    <t>Columna6946</t>
  </si>
  <si>
    <t>Columna6947</t>
  </si>
  <si>
    <t>Columna6948</t>
  </si>
  <si>
    <t>Columna6949</t>
  </si>
  <si>
    <t>Columna6950</t>
  </si>
  <si>
    <t>Columna6951</t>
  </si>
  <si>
    <t>Columna6952</t>
  </si>
  <si>
    <t>Columna6953</t>
  </si>
  <si>
    <t>Columna6954</t>
  </si>
  <si>
    <t>Columna6955</t>
  </si>
  <si>
    <t>Columna6956</t>
  </si>
  <si>
    <t>Columna6957</t>
  </si>
  <si>
    <t>Columna6958</t>
  </si>
  <si>
    <t>Columna6959</t>
  </si>
  <si>
    <t>Columna6960</t>
  </si>
  <si>
    <t>Columna6961</t>
  </si>
  <si>
    <t>Columna6962</t>
  </si>
  <si>
    <t>Columna6963</t>
  </si>
  <si>
    <t>Columna6964</t>
  </si>
  <si>
    <t>Columna6965</t>
  </si>
  <si>
    <t>Columna6966</t>
  </si>
  <si>
    <t>Columna6967</t>
  </si>
  <si>
    <t>Columna6968</t>
  </si>
  <si>
    <t>Columna6969</t>
  </si>
  <si>
    <t>Columna6970</t>
  </si>
  <si>
    <t>Columna6971</t>
  </si>
  <si>
    <t>Columna6972</t>
  </si>
  <si>
    <t>Columna6973</t>
  </si>
  <si>
    <t>Columna6974</t>
  </si>
  <si>
    <t>Columna6975</t>
  </si>
  <si>
    <t>Columna6976</t>
  </si>
  <si>
    <t>Columna6977</t>
  </si>
  <si>
    <t>Columna6978</t>
  </si>
  <si>
    <t>Columna6979</t>
  </si>
  <si>
    <t>Columna6980</t>
  </si>
  <si>
    <t>Columna6981</t>
  </si>
  <si>
    <t>Columna6982</t>
  </si>
  <si>
    <t>Columna6983</t>
  </si>
  <si>
    <t>Columna6984</t>
  </si>
  <si>
    <t>Columna6985</t>
  </si>
  <si>
    <t>Columna6986</t>
  </si>
  <si>
    <t>Columna6987</t>
  </si>
  <si>
    <t>Columna6988</t>
  </si>
  <si>
    <t>Columna6989</t>
  </si>
  <si>
    <t>Columna6990</t>
  </si>
  <si>
    <t>Columna6991</t>
  </si>
  <si>
    <t>Columna6992</t>
  </si>
  <si>
    <t>Columna6993</t>
  </si>
  <si>
    <t>Columna6994</t>
  </si>
  <si>
    <t>Columna6995</t>
  </si>
  <si>
    <t>Columna6996</t>
  </si>
  <si>
    <t>Columna6997</t>
  </si>
  <si>
    <t>Columna6998</t>
  </si>
  <si>
    <t>Columna6999</t>
  </si>
  <si>
    <t>Columna7000</t>
  </si>
  <si>
    <t>Columna7001</t>
  </si>
  <si>
    <t>Columna7002</t>
  </si>
  <si>
    <t>Columna7003</t>
  </si>
  <si>
    <t>Columna7004</t>
  </si>
  <si>
    <t>Columna7005</t>
  </si>
  <si>
    <t>Columna7006</t>
  </si>
  <si>
    <t>Columna7007</t>
  </si>
  <si>
    <t>Columna7008</t>
  </si>
  <si>
    <t>Columna7009</t>
  </si>
  <si>
    <t>Columna7010</t>
  </si>
  <si>
    <t>Columna7011</t>
  </si>
  <si>
    <t>Columna7012</t>
  </si>
  <si>
    <t>Columna7013</t>
  </si>
  <si>
    <t>Columna7014</t>
  </si>
  <si>
    <t>Columna7015</t>
  </si>
  <si>
    <t>Columna7016</t>
  </si>
  <si>
    <t>Columna7017</t>
  </si>
  <si>
    <t>Columna7018</t>
  </si>
  <si>
    <t>Columna7019</t>
  </si>
  <si>
    <t>Columna7020</t>
  </si>
  <si>
    <t>Columna7021</t>
  </si>
  <si>
    <t>Columna7022</t>
  </si>
  <si>
    <t>Columna7023</t>
  </si>
  <si>
    <t>Columna7024</t>
  </si>
  <si>
    <t>Columna7025</t>
  </si>
  <si>
    <t>Columna7026</t>
  </si>
  <si>
    <t>Columna7027</t>
  </si>
  <si>
    <t>Columna7028</t>
  </si>
  <si>
    <t>Columna7029</t>
  </si>
  <si>
    <t>Columna7030</t>
  </si>
  <si>
    <t>Columna7031</t>
  </si>
  <si>
    <t>Columna7032</t>
  </si>
  <si>
    <t>Columna7033</t>
  </si>
  <si>
    <t>Columna7034</t>
  </si>
  <si>
    <t>Columna7035</t>
  </si>
  <si>
    <t>Columna7036</t>
  </si>
  <si>
    <t>Columna7037</t>
  </si>
  <si>
    <t>Columna7038</t>
  </si>
  <si>
    <t>Columna7039</t>
  </si>
  <si>
    <t>Columna7040</t>
  </si>
  <si>
    <t>Columna7041</t>
  </si>
  <si>
    <t>Columna7042</t>
  </si>
  <si>
    <t>Columna7043</t>
  </si>
  <si>
    <t>Columna7044</t>
  </si>
  <si>
    <t>Columna7045</t>
  </si>
  <si>
    <t>Columna7046</t>
  </si>
  <si>
    <t>Columna7047</t>
  </si>
  <si>
    <t>Columna7048</t>
  </si>
  <si>
    <t>Columna7049</t>
  </si>
  <si>
    <t>Columna7050</t>
  </si>
  <si>
    <t>Columna7051</t>
  </si>
  <si>
    <t>Columna7052</t>
  </si>
  <si>
    <t>Columna7053</t>
  </si>
  <si>
    <t>Columna7054</t>
  </si>
  <si>
    <t>Columna7055</t>
  </si>
  <si>
    <t>Columna7056</t>
  </si>
  <si>
    <t>Columna7057</t>
  </si>
  <si>
    <t>Columna7058</t>
  </si>
  <si>
    <t>Columna7059</t>
  </si>
  <si>
    <t>Columna7060</t>
  </si>
  <si>
    <t>Columna7061</t>
  </si>
  <si>
    <t>Columna7062</t>
  </si>
  <si>
    <t>Columna7063</t>
  </si>
  <si>
    <t>Columna7064</t>
  </si>
  <si>
    <t>Columna7065</t>
  </si>
  <si>
    <t>Columna7066</t>
  </si>
  <si>
    <t>Columna7067</t>
  </si>
  <si>
    <t>Columna7068</t>
  </si>
  <si>
    <t>Columna7069</t>
  </si>
  <si>
    <t>Columna7070</t>
  </si>
  <si>
    <t>Columna7071</t>
  </si>
  <si>
    <t>Columna7072</t>
  </si>
  <si>
    <t>Columna7073</t>
  </si>
  <si>
    <t>Columna7074</t>
  </si>
  <si>
    <t>Columna7075</t>
  </si>
  <si>
    <t>Columna7076</t>
  </si>
  <si>
    <t>Columna7077</t>
  </si>
  <si>
    <t>Columna7078</t>
  </si>
  <si>
    <t>Columna7079</t>
  </si>
  <si>
    <t>Columna7080</t>
  </si>
  <si>
    <t>Columna7081</t>
  </si>
  <si>
    <t>Columna7082</t>
  </si>
  <si>
    <t>Columna7083</t>
  </si>
  <si>
    <t>Columna7084</t>
  </si>
  <si>
    <t>Columna7085</t>
  </si>
  <si>
    <t>Columna7086</t>
  </si>
  <si>
    <t>Columna7087</t>
  </si>
  <si>
    <t>Columna7088</t>
  </si>
  <si>
    <t>Columna7089</t>
  </si>
  <si>
    <t>Columna7090</t>
  </si>
  <si>
    <t>Columna7091</t>
  </si>
  <si>
    <t>Columna7092</t>
  </si>
  <si>
    <t>Columna7093</t>
  </si>
  <si>
    <t>Columna7094</t>
  </si>
  <si>
    <t>Columna7095</t>
  </si>
  <si>
    <t>Columna7096</t>
  </si>
  <si>
    <t>Columna7097</t>
  </si>
  <si>
    <t>Columna7098</t>
  </si>
  <si>
    <t>Columna7099</t>
  </si>
  <si>
    <t>Columna7100</t>
  </si>
  <si>
    <t>Columna7101</t>
  </si>
  <si>
    <t>Columna7102</t>
  </si>
  <si>
    <t>Columna7103</t>
  </si>
  <si>
    <t>Columna7104</t>
  </si>
  <si>
    <t>Columna7105</t>
  </si>
  <si>
    <t>Columna7106</t>
  </si>
  <si>
    <t>Columna7107</t>
  </si>
  <si>
    <t>Columna7108</t>
  </si>
  <si>
    <t>Columna7109</t>
  </si>
  <si>
    <t>Columna7110</t>
  </si>
  <si>
    <t>Columna7111</t>
  </si>
  <si>
    <t>Columna7112</t>
  </si>
  <si>
    <t>Columna7113</t>
  </si>
  <si>
    <t>Columna7114</t>
  </si>
  <si>
    <t>Columna7115</t>
  </si>
  <si>
    <t>Columna7116</t>
  </si>
  <si>
    <t>Columna7117</t>
  </si>
  <si>
    <t>Columna7118</t>
  </si>
  <si>
    <t>Columna7119</t>
  </si>
  <si>
    <t>Columna7120</t>
  </si>
  <si>
    <t>Columna7121</t>
  </si>
  <si>
    <t>Columna7122</t>
  </si>
  <si>
    <t>Columna7123</t>
  </si>
  <si>
    <t>Columna7124</t>
  </si>
  <si>
    <t>Columna7125</t>
  </si>
  <si>
    <t>Columna7126</t>
  </si>
  <si>
    <t>Columna7127</t>
  </si>
  <si>
    <t>Columna7128</t>
  </si>
  <si>
    <t>Columna7129</t>
  </si>
  <si>
    <t>Columna7130</t>
  </si>
  <si>
    <t>Columna7131</t>
  </si>
  <si>
    <t>Columna7132</t>
  </si>
  <si>
    <t>Columna7133</t>
  </si>
  <si>
    <t>Columna7134</t>
  </si>
  <si>
    <t>Columna7135</t>
  </si>
  <si>
    <t>Columna7136</t>
  </si>
  <si>
    <t>Columna7137</t>
  </si>
  <si>
    <t>Columna7138</t>
  </si>
  <si>
    <t>Columna7139</t>
  </si>
  <si>
    <t>Columna7140</t>
  </si>
  <si>
    <t>Columna7141</t>
  </si>
  <si>
    <t>Columna7142</t>
  </si>
  <si>
    <t>Columna7143</t>
  </si>
  <si>
    <t>Columna7144</t>
  </si>
  <si>
    <t>Columna7145</t>
  </si>
  <si>
    <t>Columna7146</t>
  </si>
  <si>
    <t>Columna7147</t>
  </si>
  <si>
    <t>Columna7148</t>
  </si>
  <si>
    <t>Columna7149</t>
  </si>
  <si>
    <t>Columna7150</t>
  </si>
  <si>
    <t>Columna7151</t>
  </si>
  <si>
    <t>Columna7152</t>
  </si>
  <si>
    <t>Columna7153</t>
  </si>
  <si>
    <t>Columna7154</t>
  </si>
  <si>
    <t>Columna7155</t>
  </si>
  <si>
    <t>Columna7156</t>
  </si>
  <si>
    <t>Columna7157</t>
  </si>
  <si>
    <t>Columna7158</t>
  </si>
  <si>
    <t>Columna7159</t>
  </si>
  <si>
    <t>Columna7160</t>
  </si>
  <si>
    <t>Columna7161</t>
  </si>
  <si>
    <t>Columna7162</t>
  </si>
  <si>
    <t>Columna7163</t>
  </si>
  <si>
    <t>Columna7164</t>
  </si>
  <si>
    <t>Columna7165</t>
  </si>
  <si>
    <t>Columna7166</t>
  </si>
  <si>
    <t>Columna7167</t>
  </si>
  <si>
    <t>Columna7168</t>
  </si>
  <si>
    <t>Columna7169</t>
  </si>
  <si>
    <t>Columna7170</t>
  </si>
  <si>
    <t>Columna7171</t>
  </si>
  <si>
    <t>Columna7172</t>
  </si>
  <si>
    <t>Columna7173</t>
  </si>
  <si>
    <t>Columna7174</t>
  </si>
  <si>
    <t>Columna7175</t>
  </si>
  <si>
    <t>Columna7176</t>
  </si>
  <si>
    <t>Columna7177</t>
  </si>
  <si>
    <t>Columna7178</t>
  </si>
  <si>
    <t>Columna7179</t>
  </si>
  <si>
    <t>Columna7180</t>
  </si>
  <si>
    <t>Columna7181</t>
  </si>
  <si>
    <t>Columna7182</t>
  </si>
  <si>
    <t>Columna7183</t>
  </si>
  <si>
    <t>Columna7184</t>
  </si>
  <si>
    <t>Columna7185</t>
  </si>
  <si>
    <t>Columna7186</t>
  </si>
  <si>
    <t>Columna7187</t>
  </si>
  <si>
    <t>Columna7188</t>
  </si>
  <si>
    <t>Columna7189</t>
  </si>
  <si>
    <t>Columna7190</t>
  </si>
  <si>
    <t>Columna7191</t>
  </si>
  <si>
    <t>Columna7192</t>
  </si>
  <si>
    <t>Columna7193</t>
  </si>
  <si>
    <t>Columna7194</t>
  </si>
  <si>
    <t>Columna7195</t>
  </si>
  <si>
    <t>Columna7196</t>
  </si>
  <si>
    <t>Columna7197</t>
  </si>
  <si>
    <t>Columna7198</t>
  </si>
  <si>
    <t>Columna7199</t>
  </si>
  <si>
    <t>Columna7200</t>
  </si>
  <si>
    <t>Columna7201</t>
  </si>
  <si>
    <t>Columna7202</t>
  </si>
  <si>
    <t>Columna7203</t>
  </si>
  <si>
    <t>Columna7204</t>
  </si>
  <si>
    <t>Columna7205</t>
  </si>
  <si>
    <t>Columna7206</t>
  </si>
  <si>
    <t>Columna7207</t>
  </si>
  <si>
    <t>Columna7208</t>
  </si>
  <si>
    <t>Columna7209</t>
  </si>
  <si>
    <t>Columna7210</t>
  </si>
  <si>
    <t>Columna7211</t>
  </si>
  <si>
    <t>Columna7212</t>
  </si>
  <si>
    <t>Columna7213</t>
  </si>
  <si>
    <t>Columna7214</t>
  </si>
  <si>
    <t>Columna7215</t>
  </si>
  <si>
    <t>Columna7216</t>
  </si>
  <si>
    <t>Columna7217</t>
  </si>
  <si>
    <t>Columna7218</t>
  </si>
  <si>
    <t>Columna7219</t>
  </si>
  <si>
    <t>Columna7220</t>
  </si>
  <si>
    <t>Columna7221</t>
  </si>
  <si>
    <t>Columna7222</t>
  </si>
  <si>
    <t>Columna7223</t>
  </si>
  <si>
    <t>Columna7224</t>
  </si>
  <si>
    <t>Columna7225</t>
  </si>
  <si>
    <t>Columna7226</t>
  </si>
  <si>
    <t>Columna7227</t>
  </si>
  <si>
    <t>Columna7228</t>
  </si>
  <si>
    <t>Columna7229</t>
  </si>
  <si>
    <t>Columna7230</t>
  </si>
  <si>
    <t>Columna7231</t>
  </si>
  <si>
    <t>Columna7232</t>
  </si>
  <si>
    <t>Columna7233</t>
  </si>
  <si>
    <t>Columna7234</t>
  </si>
  <si>
    <t>Columna7235</t>
  </si>
  <si>
    <t>Columna7236</t>
  </si>
  <si>
    <t>Columna7237</t>
  </si>
  <si>
    <t>Columna7238</t>
  </si>
  <si>
    <t>Columna7239</t>
  </si>
  <si>
    <t>Columna7240</t>
  </si>
  <si>
    <t>Columna7241</t>
  </si>
  <si>
    <t>Columna7242</t>
  </si>
  <si>
    <t>Columna7243</t>
  </si>
  <si>
    <t>Columna7244</t>
  </si>
  <si>
    <t>Columna7245</t>
  </si>
  <si>
    <t>Columna7246</t>
  </si>
  <si>
    <t>Columna7247</t>
  </si>
  <si>
    <t>Columna7248</t>
  </si>
  <si>
    <t>Columna7249</t>
  </si>
  <si>
    <t>Columna7250</t>
  </si>
  <si>
    <t>Columna7251</t>
  </si>
  <si>
    <t>Columna7252</t>
  </si>
  <si>
    <t>Columna7253</t>
  </si>
  <si>
    <t>Columna7254</t>
  </si>
  <si>
    <t>Columna7255</t>
  </si>
  <si>
    <t>Columna7256</t>
  </si>
  <si>
    <t>Columna7257</t>
  </si>
  <si>
    <t>Columna7258</t>
  </si>
  <si>
    <t>Columna7259</t>
  </si>
  <si>
    <t>Columna7260</t>
  </si>
  <si>
    <t>Columna7261</t>
  </si>
  <si>
    <t>Columna7262</t>
  </si>
  <si>
    <t>Columna7263</t>
  </si>
  <si>
    <t>Columna7264</t>
  </si>
  <si>
    <t>Columna7265</t>
  </si>
  <si>
    <t>Columna7266</t>
  </si>
  <si>
    <t>Columna7267</t>
  </si>
  <si>
    <t>Columna7268</t>
  </si>
  <si>
    <t>Columna7269</t>
  </si>
  <si>
    <t>Columna7270</t>
  </si>
  <si>
    <t>Columna7271</t>
  </si>
  <si>
    <t>Columna7272</t>
  </si>
  <si>
    <t>Columna7273</t>
  </si>
  <si>
    <t>Columna7274</t>
  </si>
  <si>
    <t>Columna7275</t>
  </si>
  <si>
    <t>Columna7276</t>
  </si>
  <si>
    <t>Columna7277</t>
  </si>
  <si>
    <t>Columna7278</t>
  </si>
  <si>
    <t>Columna7279</t>
  </si>
  <si>
    <t>Columna7280</t>
  </si>
  <si>
    <t>Columna7281</t>
  </si>
  <si>
    <t>Columna7282</t>
  </si>
  <si>
    <t>Columna7283</t>
  </si>
  <si>
    <t>Columna7284</t>
  </si>
  <si>
    <t>Columna7285</t>
  </si>
  <si>
    <t>Columna7286</t>
  </si>
  <si>
    <t>Columna7287</t>
  </si>
  <si>
    <t>Columna7288</t>
  </si>
  <si>
    <t>Columna7289</t>
  </si>
  <si>
    <t>Columna7290</t>
  </si>
  <si>
    <t>Columna7291</t>
  </si>
  <si>
    <t>Columna7292</t>
  </si>
  <si>
    <t>Columna7293</t>
  </si>
  <si>
    <t>Columna7294</t>
  </si>
  <si>
    <t>Columna7295</t>
  </si>
  <si>
    <t>Columna7296</t>
  </si>
  <si>
    <t>Columna7297</t>
  </si>
  <si>
    <t>Columna7298</t>
  </si>
  <si>
    <t>Columna7299</t>
  </si>
  <si>
    <t>Columna7300</t>
  </si>
  <si>
    <t>Columna7301</t>
  </si>
  <si>
    <t>Columna7302</t>
  </si>
  <si>
    <t>Columna7303</t>
  </si>
  <si>
    <t>Columna7304</t>
  </si>
  <si>
    <t>Columna7305</t>
  </si>
  <si>
    <t>Columna7306</t>
  </si>
  <si>
    <t>Columna7307</t>
  </si>
  <si>
    <t>Columna7308</t>
  </si>
  <si>
    <t>Columna7309</t>
  </si>
  <si>
    <t>Columna7310</t>
  </si>
  <si>
    <t>Columna7311</t>
  </si>
  <si>
    <t>Columna7312</t>
  </si>
  <si>
    <t>Columna7313</t>
  </si>
  <si>
    <t>Columna7314</t>
  </si>
  <si>
    <t>Columna7315</t>
  </si>
  <si>
    <t>Columna7316</t>
  </si>
  <si>
    <t>Columna7317</t>
  </si>
  <si>
    <t>Columna7318</t>
  </si>
  <si>
    <t>Columna7319</t>
  </si>
  <si>
    <t>Columna7320</t>
  </si>
  <si>
    <t>Columna7321</t>
  </si>
  <si>
    <t>Columna7322</t>
  </si>
  <si>
    <t>Columna7323</t>
  </si>
  <si>
    <t>Columna7324</t>
  </si>
  <si>
    <t>Columna7325</t>
  </si>
  <si>
    <t>Columna7326</t>
  </si>
  <si>
    <t>Columna7327</t>
  </si>
  <si>
    <t>Columna7328</t>
  </si>
  <si>
    <t>Columna7329</t>
  </si>
  <si>
    <t>Columna7330</t>
  </si>
  <si>
    <t>Columna7331</t>
  </si>
  <si>
    <t>Columna7332</t>
  </si>
  <si>
    <t>Columna7333</t>
  </si>
  <si>
    <t>Columna7334</t>
  </si>
  <si>
    <t>Columna7335</t>
  </si>
  <si>
    <t>Columna7336</t>
  </si>
  <si>
    <t>Columna7337</t>
  </si>
  <si>
    <t>Columna7338</t>
  </si>
  <si>
    <t>Columna7339</t>
  </si>
  <si>
    <t>Columna7340</t>
  </si>
  <si>
    <t>Columna7341</t>
  </si>
  <si>
    <t>Columna7342</t>
  </si>
  <si>
    <t>Columna7343</t>
  </si>
  <si>
    <t>Columna7344</t>
  </si>
  <si>
    <t>Columna7345</t>
  </si>
  <si>
    <t>Columna7346</t>
  </si>
  <si>
    <t>Columna7347</t>
  </si>
  <si>
    <t>Columna7348</t>
  </si>
  <si>
    <t>Columna7349</t>
  </si>
  <si>
    <t>Columna7350</t>
  </si>
  <si>
    <t>Columna7351</t>
  </si>
  <si>
    <t>Columna7352</t>
  </si>
  <si>
    <t>Columna7353</t>
  </si>
  <si>
    <t>Columna7354</t>
  </si>
  <si>
    <t>Columna7355</t>
  </si>
  <si>
    <t>Columna7356</t>
  </si>
  <si>
    <t>Columna7357</t>
  </si>
  <si>
    <t>Columna7358</t>
  </si>
  <si>
    <t>Columna7359</t>
  </si>
  <si>
    <t>Columna7360</t>
  </si>
  <si>
    <t>Columna7361</t>
  </si>
  <si>
    <t>Columna7362</t>
  </si>
  <si>
    <t>Columna7363</t>
  </si>
  <si>
    <t>Columna7364</t>
  </si>
  <si>
    <t>Columna7365</t>
  </si>
  <si>
    <t>Columna7366</t>
  </si>
  <si>
    <t>Columna7367</t>
  </si>
  <si>
    <t>Columna7368</t>
  </si>
  <si>
    <t>Columna7369</t>
  </si>
  <si>
    <t>Columna7370</t>
  </si>
  <si>
    <t>Columna7371</t>
  </si>
  <si>
    <t>Columna7372</t>
  </si>
  <si>
    <t>Columna7373</t>
  </si>
  <si>
    <t>Columna7374</t>
  </si>
  <si>
    <t>Columna7375</t>
  </si>
  <si>
    <t>Columna7376</t>
  </si>
  <si>
    <t>Columna7377</t>
  </si>
  <si>
    <t>Columna7378</t>
  </si>
  <si>
    <t>Columna7379</t>
  </si>
  <si>
    <t>Columna7380</t>
  </si>
  <si>
    <t>Columna7381</t>
  </si>
  <si>
    <t>Columna7382</t>
  </si>
  <si>
    <t>Columna7383</t>
  </si>
  <si>
    <t>Columna7384</t>
  </si>
  <si>
    <t>Columna7385</t>
  </si>
  <si>
    <t>Columna7386</t>
  </si>
  <si>
    <t>Columna7387</t>
  </si>
  <si>
    <t>Columna7388</t>
  </si>
  <si>
    <t>Columna7389</t>
  </si>
  <si>
    <t>Columna7390</t>
  </si>
  <si>
    <t>Columna7391</t>
  </si>
  <si>
    <t>Columna7392</t>
  </si>
  <si>
    <t>Columna7393</t>
  </si>
  <si>
    <t>Columna7394</t>
  </si>
  <si>
    <t>Columna7395</t>
  </si>
  <si>
    <t>Columna7396</t>
  </si>
  <si>
    <t>Columna7397</t>
  </si>
  <si>
    <t>Columna7398</t>
  </si>
  <si>
    <t>Columna7399</t>
  </si>
  <si>
    <t>Columna7400</t>
  </si>
  <si>
    <t>Columna7401</t>
  </si>
  <si>
    <t>Columna7402</t>
  </si>
  <si>
    <t>Columna7403</t>
  </si>
  <si>
    <t>Columna7404</t>
  </si>
  <si>
    <t>Columna7405</t>
  </si>
  <si>
    <t>Columna7406</t>
  </si>
  <si>
    <t>Columna7407</t>
  </si>
  <si>
    <t>Columna7408</t>
  </si>
  <si>
    <t>Columna7409</t>
  </si>
  <si>
    <t>Columna7410</t>
  </si>
  <si>
    <t>Columna7411</t>
  </si>
  <si>
    <t>Columna7412</t>
  </si>
  <si>
    <t>Columna7413</t>
  </si>
  <si>
    <t>Columna7414</t>
  </si>
  <si>
    <t>Columna7415</t>
  </si>
  <si>
    <t>Columna7416</t>
  </si>
  <si>
    <t>Columna7417</t>
  </si>
  <si>
    <t>Columna7418</t>
  </si>
  <si>
    <t>Columna7419</t>
  </si>
  <si>
    <t>Columna7420</t>
  </si>
  <si>
    <t>Columna7421</t>
  </si>
  <si>
    <t>Columna7422</t>
  </si>
  <si>
    <t>Columna7423</t>
  </si>
  <si>
    <t>Columna7424</t>
  </si>
  <si>
    <t>Columna7425</t>
  </si>
  <si>
    <t>Columna7426</t>
  </si>
  <si>
    <t>Columna7427</t>
  </si>
  <si>
    <t>Columna7428</t>
  </si>
  <si>
    <t>Columna7429</t>
  </si>
  <si>
    <t>Columna7430</t>
  </si>
  <si>
    <t>Columna7431</t>
  </si>
  <si>
    <t>Columna7432</t>
  </si>
  <si>
    <t>Columna7433</t>
  </si>
  <si>
    <t>Columna7434</t>
  </si>
  <si>
    <t>Columna7435</t>
  </si>
  <si>
    <t>Columna7436</t>
  </si>
  <si>
    <t>Columna7437</t>
  </si>
  <si>
    <t>Columna7438</t>
  </si>
  <si>
    <t>Columna7439</t>
  </si>
  <si>
    <t>Columna7440</t>
  </si>
  <si>
    <t>Columna7441</t>
  </si>
  <si>
    <t>Columna7442</t>
  </si>
  <si>
    <t>Columna7443</t>
  </si>
  <si>
    <t>Columna7444</t>
  </si>
  <si>
    <t>Columna7445</t>
  </si>
  <si>
    <t>Columna7446</t>
  </si>
  <si>
    <t>Columna7447</t>
  </si>
  <si>
    <t>Columna7448</t>
  </si>
  <si>
    <t>Columna7449</t>
  </si>
  <si>
    <t>Columna7450</t>
  </si>
  <si>
    <t>Columna7451</t>
  </si>
  <si>
    <t>Columna7452</t>
  </si>
  <si>
    <t>Columna7453</t>
  </si>
  <si>
    <t>Columna7454</t>
  </si>
  <si>
    <t>Columna7455</t>
  </si>
  <si>
    <t>Columna7456</t>
  </si>
  <si>
    <t>Columna7457</t>
  </si>
  <si>
    <t>Columna7458</t>
  </si>
  <si>
    <t>Columna7459</t>
  </si>
  <si>
    <t>Columna7460</t>
  </si>
  <si>
    <t>Columna7461</t>
  </si>
  <si>
    <t>Columna7462</t>
  </si>
  <si>
    <t>Columna7463</t>
  </si>
  <si>
    <t>Columna7464</t>
  </si>
  <si>
    <t>Columna7465</t>
  </si>
  <si>
    <t>Columna7466</t>
  </si>
  <si>
    <t>Columna7467</t>
  </si>
  <si>
    <t>Columna7468</t>
  </si>
  <si>
    <t>Columna7469</t>
  </si>
  <si>
    <t>Columna7470</t>
  </si>
  <si>
    <t>Columna7471</t>
  </si>
  <si>
    <t>Columna7472</t>
  </si>
  <si>
    <t>Columna7473</t>
  </si>
  <si>
    <t>Columna7474</t>
  </si>
  <si>
    <t>Columna7475</t>
  </si>
  <si>
    <t>Columna7476</t>
  </si>
  <si>
    <t>Columna7477</t>
  </si>
  <si>
    <t>Columna7478</t>
  </si>
  <si>
    <t>Columna7479</t>
  </si>
  <si>
    <t>Columna7480</t>
  </si>
  <si>
    <t>Columna7481</t>
  </si>
  <si>
    <t>Columna7482</t>
  </si>
  <si>
    <t>Columna7483</t>
  </si>
  <si>
    <t>Columna7484</t>
  </si>
  <si>
    <t>Columna7485</t>
  </si>
  <si>
    <t>Columna7486</t>
  </si>
  <si>
    <t>Columna7487</t>
  </si>
  <si>
    <t>Columna7488</t>
  </si>
  <si>
    <t>Columna7489</t>
  </si>
  <si>
    <t>Columna7490</t>
  </si>
  <si>
    <t>Columna7491</t>
  </si>
  <si>
    <t>Columna7492</t>
  </si>
  <si>
    <t>Columna7493</t>
  </si>
  <si>
    <t>Columna7494</t>
  </si>
  <si>
    <t>Columna7495</t>
  </si>
  <si>
    <t>Columna7496</t>
  </si>
  <si>
    <t>Columna7497</t>
  </si>
  <si>
    <t>Columna7498</t>
  </si>
  <si>
    <t>Columna7499</t>
  </si>
  <si>
    <t>Columna7500</t>
  </si>
  <si>
    <t>Columna7501</t>
  </si>
  <si>
    <t>Columna7502</t>
  </si>
  <si>
    <t>Columna7503</t>
  </si>
  <si>
    <t>Columna7504</t>
  </si>
  <si>
    <t>Columna7505</t>
  </si>
  <si>
    <t>Columna7506</t>
  </si>
  <si>
    <t>Columna7507</t>
  </si>
  <si>
    <t>Columna7508</t>
  </si>
  <si>
    <t>Columna7509</t>
  </si>
  <si>
    <t>Columna7510</t>
  </si>
  <si>
    <t>Columna7511</t>
  </si>
  <si>
    <t>Columna7512</t>
  </si>
  <si>
    <t>Columna7513</t>
  </si>
  <si>
    <t>Columna7514</t>
  </si>
  <si>
    <t>Columna7515</t>
  </si>
  <si>
    <t>Columna7516</t>
  </si>
  <si>
    <t>Columna7517</t>
  </si>
  <si>
    <t>Columna7518</t>
  </si>
  <si>
    <t>Columna7519</t>
  </si>
  <si>
    <t>Columna7520</t>
  </si>
  <si>
    <t>Columna7521</t>
  </si>
  <si>
    <t>Columna7522</t>
  </si>
  <si>
    <t>Columna7523</t>
  </si>
  <si>
    <t>Columna7524</t>
  </si>
  <si>
    <t>Columna7525</t>
  </si>
  <si>
    <t>Columna7526</t>
  </si>
  <si>
    <t>Columna7527</t>
  </si>
  <si>
    <t>Columna7528</t>
  </si>
  <si>
    <t>Columna7529</t>
  </si>
  <si>
    <t>Columna7530</t>
  </si>
  <si>
    <t>Columna7531</t>
  </si>
  <si>
    <t>Columna7532</t>
  </si>
  <si>
    <t>Columna7533</t>
  </si>
  <si>
    <t>Columna7534</t>
  </si>
  <si>
    <t>Columna7535</t>
  </si>
  <si>
    <t>Columna7536</t>
  </si>
  <si>
    <t>Columna7537</t>
  </si>
  <si>
    <t>Columna7538</t>
  </si>
  <si>
    <t>Columna7539</t>
  </si>
  <si>
    <t>Columna7540</t>
  </si>
  <si>
    <t>Columna7541</t>
  </si>
  <si>
    <t>Columna7542</t>
  </si>
  <si>
    <t>Columna7543</t>
  </si>
  <si>
    <t>Columna7544</t>
  </si>
  <si>
    <t>Columna7545</t>
  </si>
  <si>
    <t>Columna7546</t>
  </si>
  <si>
    <t>Columna7547</t>
  </si>
  <si>
    <t>Columna7548</t>
  </si>
  <si>
    <t>Columna7549</t>
  </si>
  <si>
    <t>Columna7550</t>
  </si>
  <si>
    <t>Columna7551</t>
  </si>
  <si>
    <t>Columna7552</t>
  </si>
  <si>
    <t>Columna7553</t>
  </si>
  <si>
    <t>Columna7554</t>
  </si>
  <si>
    <t>Columna7555</t>
  </si>
  <si>
    <t>Columna7556</t>
  </si>
  <si>
    <t>Columna7557</t>
  </si>
  <si>
    <t>Columna7558</t>
  </si>
  <si>
    <t>Columna7559</t>
  </si>
  <si>
    <t>Columna7560</t>
  </si>
  <si>
    <t>Columna7561</t>
  </si>
  <si>
    <t>Columna7562</t>
  </si>
  <si>
    <t>Columna7563</t>
  </si>
  <si>
    <t>Columna7564</t>
  </si>
  <si>
    <t>Columna7565</t>
  </si>
  <si>
    <t>Columna7566</t>
  </si>
  <si>
    <t>Columna7567</t>
  </si>
  <si>
    <t>Columna7568</t>
  </si>
  <si>
    <t>Columna7569</t>
  </si>
  <si>
    <t>Columna7570</t>
  </si>
  <si>
    <t>Columna7571</t>
  </si>
  <si>
    <t>Columna7572</t>
  </si>
  <si>
    <t>Columna7573</t>
  </si>
  <si>
    <t>Columna7574</t>
  </si>
  <si>
    <t>Columna7575</t>
  </si>
  <si>
    <t>Columna7576</t>
  </si>
  <si>
    <t>Columna7577</t>
  </si>
  <si>
    <t>Columna7578</t>
  </si>
  <si>
    <t>Columna7579</t>
  </si>
  <si>
    <t>Columna7580</t>
  </si>
  <si>
    <t>Columna7581</t>
  </si>
  <si>
    <t>Columna7582</t>
  </si>
  <si>
    <t>Columna7583</t>
  </si>
  <si>
    <t>Columna7584</t>
  </si>
  <si>
    <t>Columna7585</t>
  </si>
  <si>
    <t>Columna7586</t>
  </si>
  <si>
    <t>Columna7587</t>
  </si>
  <si>
    <t>Columna7588</t>
  </si>
  <si>
    <t>Columna7589</t>
  </si>
  <si>
    <t>Columna7590</t>
  </si>
  <si>
    <t>Columna7591</t>
  </si>
  <si>
    <t>Columna7592</t>
  </si>
  <si>
    <t>Columna7593</t>
  </si>
  <si>
    <t>Columna7594</t>
  </si>
  <si>
    <t>Columna7595</t>
  </si>
  <si>
    <t>Columna7596</t>
  </si>
  <si>
    <t>Columna7597</t>
  </si>
  <si>
    <t>Columna7598</t>
  </si>
  <si>
    <t>Columna7599</t>
  </si>
  <si>
    <t>Columna7600</t>
  </si>
  <si>
    <t>Columna7601</t>
  </si>
  <si>
    <t>Columna7602</t>
  </si>
  <si>
    <t>Columna7603</t>
  </si>
  <si>
    <t>Columna7604</t>
  </si>
  <si>
    <t>Columna7605</t>
  </si>
  <si>
    <t>Columna7606</t>
  </si>
  <si>
    <t>Columna7607</t>
  </si>
  <si>
    <t>Columna7608</t>
  </si>
  <si>
    <t>Columna7609</t>
  </si>
  <si>
    <t>Columna7610</t>
  </si>
  <si>
    <t>Columna7611</t>
  </si>
  <si>
    <t>Columna7612</t>
  </si>
  <si>
    <t>Columna7613</t>
  </si>
  <si>
    <t>Columna7614</t>
  </si>
  <si>
    <t>Columna7615</t>
  </si>
  <si>
    <t>Columna7616</t>
  </si>
  <si>
    <t>Columna7617</t>
  </si>
  <si>
    <t>Columna7618</t>
  </si>
  <si>
    <t>Columna7619</t>
  </si>
  <si>
    <t>Columna7620</t>
  </si>
  <si>
    <t>Columna7621</t>
  </si>
  <si>
    <t>Columna7622</t>
  </si>
  <si>
    <t>Columna7623</t>
  </si>
  <si>
    <t>Columna7624</t>
  </si>
  <si>
    <t>Columna7625</t>
  </si>
  <si>
    <t>Columna7626</t>
  </si>
  <si>
    <t>Columna7627</t>
  </si>
  <si>
    <t>Columna7628</t>
  </si>
  <si>
    <t>Columna7629</t>
  </si>
  <si>
    <t>Columna7630</t>
  </si>
  <si>
    <t>Columna7631</t>
  </si>
  <si>
    <t>Columna7632</t>
  </si>
  <si>
    <t>Columna7633</t>
  </si>
  <si>
    <t>Columna7634</t>
  </si>
  <si>
    <t>Columna7635</t>
  </si>
  <si>
    <t>Columna7636</t>
  </si>
  <si>
    <t>Columna7637</t>
  </si>
  <si>
    <t>Columna7638</t>
  </si>
  <si>
    <t>Columna7639</t>
  </si>
  <si>
    <t>Columna7640</t>
  </si>
  <si>
    <t>Columna7641</t>
  </si>
  <si>
    <t>Columna7642</t>
  </si>
  <si>
    <t>Columna7643</t>
  </si>
  <si>
    <t>Columna7644</t>
  </si>
  <si>
    <t>Columna7645</t>
  </si>
  <si>
    <t>Columna7646</t>
  </si>
  <si>
    <t>Columna7647</t>
  </si>
  <si>
    <t>Columna7648</t>
  </si>
  <si>
    <t>Columna7649</t>
  </si>
  <si>
    <t>Columna7650</t>
  </si>
  <si>
    <t>Columna7651</t>
  </si>
  <si>
    <t>Columna7652</t>
  </si>
  <si>
    <t>Columna7653</t>
  </si>
  <si>
    <t>Columna7654</t>
  </si>
  <si>
    <t>Columna7655</t>
  </si>
  <si>
    <t>Columna7656</t>
  </si>
  <si>
    <t>Columna7657</t>
  </si>
  <si>
    <t>Columna7658</t>
  </si>
  <si>
    <t>Columna7659</t>
  </si>
  <si>
    <t>Columna7660</t>
  </si>
  <si>
    <t>Columna7661</t>
  </si>
  <si>
    <t>Columna7662</t>
  </si>
  <si>
    <t>Columna7663</t>
  </si>
  <si>
    <t>Columna7664</t>
  </si>
  <si>
    <t>Columna7665</t>
  </si>
  <si>
    <t>Columna7666</t>
  </si>
  <si>
    <t>Columna7667</t>
  </si>
  <si>
    <t>Columna7668</t>
  </si>
  <si>
    <t>Columna7669</t>
  </si>
  <si>
    <t>Columna7670</t>
  </si>
  <si>
    <t>Columna7671</t>
  </si>
  <si>
    <t>Columna7672</t>
  </si>
  <si>
    <t>Columna7673</t>
  </si>
  <si>
    <t>Columna7674</t>
  </si>
  <si>
    <t>Columna7675</t>
  </si>
  <si>
    <t>Columna7676</t>
  </si>
  <si>
    <t>Columna7677</t>
  </si>
  <si>
    <t>Columna7678</t>
  </si>
  <si>
    <t>Columna7679</t>
  </si>
  <si>
    <t>Columna7680</t>
  </si>
  <si>
    <t>Columna7681</t>
  </si>
  <si>
    <t>Columna7682</t>
  </si>
  <si>
    <t>Columna7683</t>
  </si>
  <si>
    <t>Columna7684</t>
  </si>
  <si>
    <t>Columna7685</t>
  </si>
  <si>
    <t>Columna7686</t>
  </si>
  <si>
    <t>Columna7687</t>
  </si>
  <si>
    <t>Columna7688</t>
  </si>
  <si>
    <t>Columna7689</t>
  </si>
  <si>
    <t>Columna7690</t>
  </si>
  <si>
    <t>Columna7691</t>
  </si>
  <si>
    <t>Columna7692</t>
  </si>
  <si>
    <t>Columna7693</t>
  </si>
  <si>
    <t>Columna7694</t>
  </si>
  <si>
    <t>Columna7695</t>
  </si>
  <si>
    <t>Columna7696</t>
  </si>
  <si>
    <t>Columna7697</t>
  </si>
  <si>
    <t>Columna7698</t>
  </si>
  <si>
    <t>Columna7699</t>
  </si>
  <si>
    <t>Columna7700</t>
  </si>
  <si>
    <t>Columna7701</t>
  </si>
  <si>
    <t>Columna7702</t>
  </si>
  <si>
    <t>Columna7703</t>
  </si>
  <si>
    <t>Columna7704</t>
  </si>
  <si>
    <t>Columna7705</t>
  </si>
  <si>
    <t>Columna7706</t>
  </si>
  <si>
    <t>Columna7707</t>
  </si>
  <si>
    <t>Columna7708</t>
  </si>
  <si>
    <t>Columna7709</t>
  </si>
  <si>
    <t>Columna7710</t>
  </si>
  <si>
    <t>Columna7711</t>
  </si>
  <si>
    <t>Columna7712</t>
  </si>
  <si>
    <t>Columna7713</t>
  </si>
  <si>
    <t>Columna7714</t>
  </si>
  <si>
    <t>Columna7715</t>
  </si>
  <si>
    <t>Columna7716</t>
  </si>
  <si>
    <t>Columna7717</t>
  </si>
  <si>
    <t>Columna7718</t>
  </si>
  <si>
    <t>Columna7719</t>
  </si>
  <si>
    <t>Columna7720</t>
  </si>
  <si>
    <t>Columna7721</t>
  </si>
  <si>
    <t>Columna7722</t>
  </si>
  <si>
    <t>Columna7723</t>
  </si>
  <si>
    <t>Columna7724</t>
  </si>
  <si>
    <t>Columna7725</t>
  </si>
  <si>
    <t>Columna7726</t>
  </si>
  <si>
    <t>Columna7727</t>
  </si>
  <si>
    <t>Columna7728</t>
  </si>
  <si>
    <t>Columna7729</t>
  </si>
  <si>
    <t>Columna7730</t>
  </si>
  <si>
    <t>Columna7731</t>
  </si>
  <si>
    <t>Columna7732</t>
  </si>
  <si>
    <t>Columna7733</t>
  </si>
  <si>
    <t>Columna7734</t>
  </si>
  <si>
    <t>Columna7735</t>
  </si>
  <si>
    <t>Columna7736</t>
  </si>
  <si>
    <t>Columna7737</t>
  </si>
  <si>
    <t>Columna7738</t>
  </si>
  <si>
    <t>Columna7739</t>
  </si>
  <si>
    <t>Columna7740</t>
  </si>
  <si>
    <t>Columna7741</t>
  </si>
  <si>
    <t>Columna7742</t>
  </si>
  <si>
    <t>Columna7743</t>
  </si>
  <si>
    <t>Columna7744</t>
  </si>
  <si>
    <t>Columna7745</t>
  </si>
  <si>
    <t>Columna7746</t>
  </si>
  <si>
    <t>Columna7747</t>
  </si>
  <si>
    <t>Columna7748</t>
  </si>
  <si>
    <t>Columna7749</t>
  </si>
  <si>
    <t>Columna7750</t>
  </si>
  <si>
    <t>Columna7751</t>
  </si>
  <si>
    <t>Columna7752</t>
  </si>
  <si>
    <t>Columna7753</t>
  </si>
  <si>
    <t>Columna7754</t>
  </si>
  <si>
    <t>Columna7755</t>
  </si>
  <si>
    <t>Columna7756</t>
  </si>
  <si>
    <t>Columna7757</t>
  </si>
  <si>
    <t>Columna7758</t>
  </si>
  <si>
    <t>Columna7759</t>
  </si>
  <si>
    <t>Columna7760</t>
  </si>
  <si>
    <t>Columna7761</t>
  </si>
  <si>
    <t>Columna7762</t>
  </si>
  <si>
    <t>Columna7763</t>
  </si>
  <si>
    <t>Columna7764</t>
  </si>
  <si>
    <t>Columna7765</t>
  </si>
  <si>
    <t>Columna7766</t>
  </si>
  <si>
    <t>Columna7767</t>
  </si>
  <si>
    <t>Columna7768</t>
  </si>
  <si>
    <t>Columna7769</t>
  </si>
  <si>
    <t>Columna7770</t>
  </si>
  <si>
    <t>Columna7771</t>
  </si>
  <si>
    <t>Columna7772</t>
  </si>
  <si>
    <t>Columna7773</t>
  </si>
  <si>
    <t>Columna7774</t>
  </si>
  <si>
    <t>Columna7775</t>
  </si>
  <si>
    <t>Columna7776</t>
  </si>
  <si>
    <t>Columna7777</t>
  </si>
  <si>
    <t>Columna7778</t>
  </si>
  <si>
    <t>Columna7779</t>
  </si>
  <si>
    <t>Columna7780</t>
  </si>
  <si>
    <t>Columna7781</t>
  </si>
  <si>
    <t>Columna7782</t>
  </si>
  <si>
    <t>Columna7783</t>
  </si>
  <si>
    <t>Columna7784</t>
  </si>
  <si>
    <t>Columna7785</t>
  </si>
  <si>
    <t>Columna7786</t>
  </si>
  <si>
    <t>Columna7787</t>
  </si>
  <si>
    <t>Columna7788</t>
  </si>
  <si>
    <t>Columna7789</t>
  </si>
  <si>
    <t>Columna7790</t>
  </si>
  <si>
    <t>Columna7791</t>
  </si>
  <si>
    <t>Columna7792</t>
  </si>
  <si>
    <t>Columna7793</t>
  </si>
  <si>
    <t>Columna7794</t>
  </si>
  <si>
    <t>Columna7795</t>
  </si>
  <si>
    <t>Columna7796</t>
  </si>
  <si>
    <t>Columna7797</t>
  </si>
  <si>
    <t>Columna7798</t>
  </si>
  <si>
    <t>Columna7799</t>
  </si>
  <si>
    <t>Columna7800</t>
  </si>
  <si>
    <t>Columna7801</t>
  </si>
  <si>
    <t>Columna7802</t>
  </si>
  <si>
    <t>Columna7803</t>
  </si>
  <si>
    <t>Columna7804</t>
  </si>
  <si>
    <t>Columna7805</t>
  </si>
  <si>
    <t>Columna7806</t>
  </si>
  <si>
    <t>Columna7807</t>
  </si>
  <si>
    <t>Columna7808</t>
  </si>
  <si>
    <t>Columna7809</t>
  </si>
  <si>
    <t>Columna7810</t>
  </si>
  <si>
    <t>Columna7811</t>
  </si>
  <si>
    <t>Columna7812</t>
  </si>
  <si>
    <t>Columna7813</t>
  </si>
  <si>
    <t>Columna7814</t>
  </si>
  <si>
    <t>Columna7815</t>
  </si>
  <si>
    <t>Columna7816</t>
  </si>
  <si>
    <t>Columna7817</t>
  </si>
  <si>
    <t>Columna7818</t>
  </si>
  <si>
    <t>Columna7819</t>
  </si>
  <si>
    <t>Columna7820</t>
  </si>
  <si>
    <t>Columna7821</t>
  </si>
  <si>
    <t>Columna7822</t>
  </si>
  <si>
    <t>Columna7823</t>
  </si>
  <si>
    <t>Columna7824</t>
  </si>
  <si>
    <t>Columna7825</t>
  </si>
  <si>
    <t>Columna7826</t>
  </si>
  <si>
    <t>Columna7827</t>
  </si>
  <si>
    <t>Columna7828</t>
  </si>
  <si>
    <t>Columna7829</t>
  </si>
  <si>
    <t>Columna7830</t>
  </si>
  <si>
    <t>Columna7831</t>
  </si>
  <si>
    <t>Columna7832</t>
  </si>
  <si>
    <t>Columna7833</t>
  </si>
  <si>
    <t>Columna7834</t>
  </si>
  <si>
    <t>Columna7835</t>
  </si>
  <si>
    <t>Columna7836</t>
  </si>
  <si>
    <t>Columna7837</t>
  </si>
  <si>
    <t>Columna7838</t>
  </si>
  <si>
    <t>Columna7839</t>
  </si>
  <si>
    <t>Columna7840</t>
  </si>
  <si>
    <t>Columna7841</t>
  </si>
  <si>
    <t>Columna7842</t>
  </si>
  <si>
    <t>Columna7843</t>
  </si>
  <si>
    <t>Columna7844</t>
  </si>
  <si>
    <t>Columna7845</t>
  </si>
  <si>
    <t>Columna7846</t>
  </si>
  <si>
    <t>Columna7847</t>
  </si>
  <si>
    <t>Columna7848</t>
  </si>
  <si>
    <t>Columna7849</t>
  </si>
  <si>
    <t>Columna7850</t>
  </si>
  <si>
    <t>Columna7851</t>
  </si>
  <si>
    <t>Columna7852</t>
  </si>
  <si>
    <t>Columna7853</t>
  </si>
  <si>
    <t>Columna7854</t>
  </si>
  <si>
    <t>Columna7855</t>
  </si>
  <si>
    <t>Columna7856</t>
  </si>
  <si>
    <t>Columna7857</t>
  </si>
  <si>
    <t>Columna7858</t>
  </si>
  <si>
    <t>Columna7859</t>
  </si>
  <si>
    <t>Columna7860</t>
  </si>
  <si>
    <t>Columna7861</t>
  </si>
  <si>
    <t>Columna7862</t>
  </si>
  <si>
    <t>Columna7863</t>
  </si>
  <si>
    <t>Columna7864</t>
  </si>
  <si>
    <t>Columna7865</t>
  </si>
  <si>
    <t>Columna7866</t>
  </si>
  <si>
    <t>Columna7867</t>
  </si>
  <si>
    <t>Columna7868</t>
  </si>
  <si>
    <t>Columna7869</t>
  </si>
  <si>
    <t>Columna7870</t>
  </si>
  <si>
    <t>Columna7871</t>
  </si>
  <si>
    <t>Columna7872</t>
  </si>
  <si>
    <t>Columna7873</t>
  </si>
  <si>
    <t>Columna7874</t>
  </si>
  <si>
    <t>Columna7875</t>
  </si>
  <si>
    <t>Columna7876</t>
  </si>
  <si>
    <t>Columna7877</t>
  </si>
  <si>
    <t>Columna7878</t>
  </si>
  <si>
    <t>Columna7879</t>
  </si>
  <si>
    <t>Columna7880</t>
  </si>
  <si>
    <t>Columna7881</t>
  </si>
  <si>
    <t>Columna7882</t>
  </si>
  <si>
    <t>Columna7883</t>
  </si>
  <si>
    <t>Columna7884</t>
  </si>
  <si>
    <t>Columna7885</t>
  </si>
  <si>
    <t>Columna7886</t>
  </si>
  <si>
    <t>Columna7887</t>
  </si>
  <si>
    <t>Columna7888</t>
  </si>
  <si>
    <t>Columna7889</t>
  </si>
  <si>
    <t>Columna7890</t>
  </si>
  <si>
    <t>Columna7891</t>
  </si>
  <si>
    <t>Columna7892</t>
  </si>
  <si>
    <t>Columna7893</t>
  </si>
  <si>
    <t>Columna7894</t>
  </si>
  <si>
    <t>Columna7895</t>
  </si>
  <si>
    <t>Columna7896</t>
  </si>
  <si>
    <t>Columna7897</t>
  </si>
  <si>
    <t>Columna7898</t>
  </si>
  <si>
    <t>Columna7899</t>
  </si>
  <si>
    <t>Columna7900</t>
  </si>
  <si>
    <t>Columna7901</t>
  </si>
  <si>
    <t>Columna7902</t>
  </si>
  <si>
    <t>Columna7903</t>
  </si>
  <si>
    <t>Columna7904</t>
  </si>
  <si>
    <t>Columna7905</t>
  </si>
  <si>
    <t>Columna7906</t>
  </si>
  <si>
    <t>Columna7907</t>
  </si>
  <si>
    <t>Columna7908</t>
  </si>
  <si>
    <t>Columna7909</t>
  </si>
  <si>
    <t>Columna7910</t>
  </si>
  <si>
    <t>Columna7911</t>
  </si>
  <si>
    <t>Columna7912</t>
  </si>
  <si>
    <t>Columna7913</t>
  </si>
  <si>
    <t>Columna7914</t>
  </si>
  <si>
    <t>Columna7915</t>
  </si>
  <si>
    <t>Columna7916</t>
  </si>
  <si>
    <t>Columna7917</t>
  </si>
  <si>
    <t>Columna7918</t>
  </si>
  <si>
    <t>Columna7919</t>
  </si>
  <si>
    <t>Columna7920</t>
  </si>
  <si>
    <t>Columna7921</t>
  </si>
  <si>
    <t>Columna7922</t>
  </si>
  <si>
    <t>Columna7923</t>
  </si>
  <si>
    <t>Columna7924</t>
  </si>
  <si>
    <t>Columna7925</t>
  </si>
  <si>
    <t>Columna7926</t>
  </si>
  <si>
    <t>Columna7927</t>
  </si>
  <si>
    <t>Columna7928</t>
  </si>
  <si>
    <t>Columna7929</t>
  </si>
  <si>
    <t>Columna7930</t>
  </si>
  <si>
    <t>Columna7931</t>
  </si>
  <si>
    <t>Columna7932</t>
  </si>
  <si>
    <t>Columna7933</t>
  </si>
  <si>
    <t>Columna7934</t>
  </si>
  <si>
    <t>Columna7935</t>
  </si>
  <si>
    <t>Columna7936</t>
  </si>
  <si>
    <t>Columna7937</t>
  </si>
  <si>
    <t>Columna7938</t>
  </si>
  <si>
    <t>Columna7939</t>
  </si>
  <si>
    <t>Columna7940</t>
  </si>
  <si>
    <t>Columna7941</t>
  </si>
  <si>
    <t>Columna7942</t>
  </si>
  <si>
    <t>Columna7943</t>
  </si>
  <si>
    <t>Columna7944</t>
  </si>
  <si>
    <t>Columna7945</t>
  </si>
  <si>
    <t>Columna7946</t>
  </si>
  <si>
    <t>Columna7947</t>
  </si>
  <si>
    <t>Columna7948</t>
  </si>
  <si>
    <t>Columna7949</t>
  </si>
  <si>
    <t>Columna7950</t>
  </si>
  <si>
    <t>Columna7951</t>
  </si>
  <si>
    <t>Columna7952</t>
  </si>
  <si>
    <t>Columna7953</t>
  </si>
  <si>
    <t>Columna7954</t>
  </si>
  <si>
    <t>Columna7955</t>
  </si>
  <si>
    <t>Columna7956</t>
  </si>
  <si>
    <t>Columna7957</t>
  </si>
  <si>
    <t>Columna7958</t>
  </si>
  <si>
    <t>Columna7959</t>
  </si>
  <si>
    <t>Columna7960</t>
  </si>
  <si>
    <t>Columna7961</t>
  </si>
  <si>
    <t>Columna7962</t>
  </si>
  <si>
    <t>Columna7963</t>
  </si>
  <si>
    <t>Columna7964</t>
  </si>
  <si>
    <t>Columna7965</t>
  </si>
  <si>
    <t>Columna7966</t>
  </si>
  <si>
    <t>Columna7967</t>
  </si>
  <si>
    <t>Columna7968</t>
  </si>
  <si>
    <t>Columna7969</t>
  </si>
  <si>
    <t>Columna7970</t>
  </si>
  <si>
    <t>Columna7971</t>
  </si>
  <si>
    <t>Columna7972</t>
  </si>
  <si>
    <t>Columna7973</t>
  </si>
  <si>
    <t>Columna7974</t>
  </si>
  <si>
    <t>Columna7975</t>
  </si>
  <si>
    <t>Columna7976</t>
  </si>
  <si>
    <t>Columna7977</t>
  </si>
  <si>
    <t>Columna7978</t>
  </si>
  <si>
    <t>Columna7979</t>
  </si>
  <si>
    <t>Columna7980</t>
  </si>
  <si>
    <t>Columna7981</t>
  </si>
  <si>
    <t>Columna7982</t>
  </si>
  <si>
    <t>Columna7983</t>
  </si>
  <si>
    <t>Columna7984</t>
  </si>
  <si>
    <t>Columna7985</t>
  </si>
  <si>
    <t>Columna7986</t>
  </si>
  <si>
    <t>Columna7987</t>
  </si>
  <si>
    <t>Columna7988</t>
  </si>
  <si>
    <t>Columna7989</t>
  </si>
  <si>
    <t>Columna7990</t>
  </si>
  <si>
    <t>Columna7991</t>
  </si>
  <si>
    <t>Columna7992</t>
  </si>
  <si>
    <t>Columna7993</t>
  </si>
  <si>
    <t>Columna7994</t>
  </si>
  <si>
    <t>Columna7995</t>
  </si>
  <si>
    <t>Columna7996</t>
  </si>
  <si>
    <t>Columna7997</t>
  </si>
  <si>
    <t>Columna7998</t>
  </si>
  <si>
    <t>Columna7999</t>
  </si>
  <si>
    <t>Columna8000</t>
  </si>
  <si>
    <t>Columna8001</t>
  </si>
  <si>
    <t>Columna8002</t>
  </si>
  <si>
    <t>Columna8003</t>
  </si>
  <si>
    <t>Columna8004</t>
  </si>
  <si>
    <t>Columna8005</t>
  </si>
  <si>
    <t>Columna8006</t>
  </si>
  <si>
    <t>Columna8007</t>
  </si>
  <si>
    <t>Columna8008</t>
  </si>
  <si>
    <t>Columna8009</t>
  </si>
  <si>
    <t>Columna8010</t>
  </si>
  <si>
    <t>Columna8011</t>
  </si>
  <si>
    <t>Columna8012</t>
  </si>
  <si>
    <t>Columna8013</t>
  </si>
  <si>
    <t>Columna8014</t>
  </si>
  <si>
    <t>Columna8015</t>
  </si>
  <si>
    <t>Columna8016</t>
  </si>
  <si>
    <t>Columna8017</t>
  </si>
  <si>
    <t>Columna8018</t>
  </si>
  <si>
    <t>Columna8019</t>
  </si>
  <si>
    <t>Columna8020</t>
  </si>
  <si>
    <t>Columna8021</t>
  </si>
  <si>
    <t>Columna8022</t>
  </si>
  <si>
    <t>Columna8023</t>
  </si>
  <si>
    <t>Columna8024</t>
  </si>
  <si>
    <t>Columna8025</t>
  </si>
  <si>
    <t>Columna8026</t>
  </si>
  <si>
    <t>Columna8027</t>
  </si>
  <si>
    <t>Columna8028</t>
  </si>
  <si>
    <t>Columna8029</t>
  </si>
  <si>
    <t>Columna8030</t>
  </si>
  <si>
    <t>Columna8031</t>
  </si>
  <si>
    <t>Columna8032</t>
  </si>
  <si>
    <t>Columna8033</t>
  </si>
  <si>
    <t>Columna8034</t>
  </si>
  <si>
    <t>Columna8035</t>
  </si>
  <si>
    <t>Columna8036</t>
  </si>
  <si>
    <t>Columna8037</t>
  </si>
  <si>
    <t>Columna8038</t>
  </si>
  <si>
    <t>Columna8039</t>
  </si>
  <si>
    <t>Columna8040</t>
  </si>
  <si>
    <t>Columna8041</t>
  </si>
  <si>
    <t>Columna8042</t>
  </si>
  <si>
    <t>Columna8043</t>
  </si>
  <si>
    <t>Columna8044</t>
  </si>
  <si>
    <t>Columna8045</t>
  </si>
  <si>
    <t>Columna8046</t>
  </si>
  <si>
    <t>Columna8047</t>
  </si>
  <si>
    <t>Columna8048</t>
  </si>
  <si>
    <t>Columna8049</t>
  </si>
  <si>
    <t>Columna8050</t>
  </si>
  <si>
    <t>Columna8051</t>
  </si>
  <si>
    <t>Columna8052</t>
  </si>
  <si>
    <t>Columna8053</t>
  </si>
  <si>
    <t>Columna8054</t>
  </si>
  <si>
    <t>Columna8055</t>
  </si>
  <si>
    <t>Columna8056</t>
  </si>
  <si>
    <t>Columna8057</t>
  </si>
  <si>
    <t>Columna8058</t>
  </si>
  <si>
    <t>Columna8059</t>
  </si>
  <si>
    <t>Columna8060</t>
  </si>
  <si>
    <t>Columna8061</t>
  </si>
  <si>
    <t>Columna8062</t>
  </si>
  <si>
    <t>Columna8063</t>
  </si>
  <si>
    <t>Columna8064</t>
  </si>
  <si>
    <t>Columna8065</t>
  </si>
  <si>
    <t>Columna8066</t>
  </si>
  <si>
    <t>Columna8067</t>
  </si>
  <si>
    <t>Columna8068</t>
  </si>
  <si>
    <t>Columna8069</t>
  </si>
  <si>
    <t>Columna8070</t>
  </si>
  <si>
    <t>Columna8071</t>
  </si>
  <si>
    <t>Columna8072</t>
  </si>
  <si>
    <t>Columna8073</t>
  </si>
  <si>
    <t>Columna8074</t>
  </si>
  <si>
    <t>Columna8075</t>
  </si>
  <si>
    <t>Columna8076</t>
  </si>
  <si>
    <t>Columna8077</t>
  </si>
  <si>
    <t>Columna8078</t>
  </si>
  <si>
    <t>Columna8079</t>
  </si>
  <si>
    <t>Columna8080</t>
  </si>
  <si>
    <t>Columna8081</t>
  </si>
  <si>
    <t>Columna8082</t>
  </si>
  <si>
    <t>Columna8083</t>
  </si>
  <si>
    <t>Columna8084</t>
  </si>
  <si>
    <t>Columna8085</t>
  </si>
  <si>
    <t>Columna8086</t>
  </si>
  <si>
    <t>Columna8087</t>
  </si>
  <si>
    <t>Columna8088</t>
  </si>
  <si>
    <t>Columna8089</t>
  </si>
  <si>
    <t>Columna8090</t>
  </si>
  <si>
    <t>Columna8091</t>
  </si>
  <si>
    <t>Columna8092</t>
  </si>
  <si>
    <t>Columna8093</t>
  </si>
  <si>
    <t>Columna8094</t>
  </si>
  <si>
    <t>Columna8095</t>
  </si>
  <si>
    <t>Columna8096</t>
  </si>
  <si>
    <t>Columna8097</t>
  </si>
  <si>
    <t>Columna8098</t>
  </si>
  <si>
    <t>Columna8099</t>
  </si>
  <si>
    <t>Columna8100</t>
  </si>
  <si>
    <t>Columna8101</t>
  </si>
  <si>
    <t>Columna8102</t>
  </si>
  <si>
    <t>Columna8103</t>
  </si>
  <si>
    <t>Columna8104</t>
  </si>
  <si>
    <t>Columna8105</t>
  </si>
  <si>
    <t>Columna8106</t>
  </si>
  <si>
    <t>Columna8107</t>
  </si>
  <si>
    <t>Columna8108</t>
  </si>
  <si>
    <t>Columna8109</t>
  </si>
  <si>
    <t>Columna8110</t>
  </si>
  <si>
    <t>Columna8111</t>
  </si>
  <si>
    <t>Columna8112</t>
  </si>
  <si>
    <t>Columna8113</t>
  </si>
  <si>
    <t>Columna8114</t>
  </si>
  <si>
    <t>Columna8115</t>
  </si>
  <si>
    <t>Columna8116</t>
  </si>
  <si>
    <t>Columna8117</t>
  </si>
  <si>
    <t>Columna8118</t>
  </si>
  <si>
    <t>Columna8119</t>
  </si>
  <si>
    <t>Columna8120</t>
  </si>
  <si>
    <t>Columna8121</t>
  </si>
  <si>
    <t>Columna8122</t>
  </si>
  <si>
    <t>Columna8123</t>
  </si>
  <si>
    <t>Columna8124</t>
  </si>
  <si>
    <t>Columna8125</t>
  </si>
  <si>
    <t>Columna8126</t>
  </si>
  <si>
    <t>Columna8127</t>
  </si>
  <si>
    <t>Columna8128</t>
  </si>
  <si>
    <t>Columna8129</t>
  </si>
  <si>
    <t>Columna8130</t>
  </si>
  <si>
    <t>Columna8131</t>
  </si>
  <si>
    <t>Columna8132</t>
  </si>
  <si>
    <t>Columna8133</t>
  </si>
  <si>
    <t>Columna8134</t>
  </si>
  <si>
    <t>Columna8135</t>
  </si>
  <si>
    <t>Columna8136</t>
  </si>
  <si>
    <t>Columna8137</t>
  </si>
  <si>
    <t>Columna8138</t>
  </si>
  <si>
    <t>Columna8139</t>
  </si>
  <si>
    <t>Columna8140</t>
  </si>
  <si>
    <t>Columna8141</t>
  </si>
  <si>
    <t>Columna8142</t>
  </si>
  <si>
    <t>Columna8143</t>
  </si>
  <si>
    <t>Columna8144</t>
  </si>
  <si>
    <t>Columna8145</t>
  </si>
  <si>
    <t>Columna8146</t>
  </si>
  <si>
    <t>Columna8147</t>
  </si>
  <si>
    <t>Columna8148</t>
  </si>
  <si>
    <t>Columna8149</t>
  </si>
  <si>
    <t>Columna8150</t>
  </si>
  <si>
    <t>Columna8151</t>
  </si>
  <si>
    <t>Columna8152</t>
  </si>
  <si>
    <t>Columna8153</t>
  </si>
  <si>
    <t>Columna8154</t>
  </si>
  <si>
    <t>Columna8155</t>
  </si>
  <si>
    <t>Columna8156</t>
  </si>
  <si>
    <t>Columna8157</t>
  </si>
  <si>
    <t>Columna8158</t>
  </si>
  <si>
    <t>Columna8159</t>
  </si>
  <si>
    <t>Columna8160</t>
  </si>
  <si>
    <t>Columna8161</t>
  </si>
  <si>
    <t>Columna8162</t>
  </si>
  <si>
    <t>Columna8163</t>
  </si>
  <si>
    <t>Columna8164</t>
  </si>
  <si>
    <t>Columna8165</t>
  </si>
  <si>
    <t>Columna8166</t>
  </si>
  <si>
    <t>Columna8167</t>
  </si>
  <si>
    <t>Columna8168</t>
  </si>
  <si>
    <t>Columna8169</t>
  </si>
  <si>
    <t>Columna8170</t>
  </si>
  <si>
    <t>Columna8171</t>
  </si>
  <si>
    <t>Columna8172</t>
  </si>
  <si>
    <t>Columna8173</t>
  </si>
  <si>
    <t>Columna8174</t>
  </si>
  <si>
    <t>Columna8175</t>
  </si>
  <si>
    <t>Columna8176</t>
  </si>
  <si>
    <t>Columna8177</t>
  </si>
  <si>
    <t>Columna8178</t>
  </si>
  <si>
    <t>Columna8179</t>
  </si>
  <si>
    <t>Columna8180</t>
  </si>
  <si>
    <t>Columna8181</t>
  </si>
  <si>
    <t>Columna8182</t>
  </si>
  <si>
    <t>Columna8183</t>
  </si>
  <si>
    <t>Columna8184</t>
  </si>
  <si>
    <t>Columna8185</t>
  </si>
  <si>
    <t>Columna8186</t>
  </si>
  <si>
    <t>Columna8187</t>
  </si>
  <si>
    <t>Columna8188</t>
  </si>
  <si>
    <t>Columna8189</t>
  </si>
  <si>
    <t>Columna8190</t>
  </si>
  <si>
    <t>Columna8191</t>
  </si>
  <si>
    <t>Columna8192</t>
  </si>
  <si>
    <t>Columna8193</t>
  </si>
  <si>
    <t>Columna8194</t>
  </si>
  <si>
    <t>Columna8195</t>
  </si>
  <si>
    <t>Columna8196</t>
  </si>
  <si>
    <t>Columna8197</t>
  </si>
  <si>
    <t>Columna8198</t>
  </si>
  <si>
    <t>Columna8199</t>
  </si>
  <si>
    <t>Columna8200</t>
  </si>
  <si>
    <t>Columna8201</t>
  </si>
  <si>
    <t>Columna8202</t>
  </si>
  <si>
    <t>Columna8203</t>
  </si>
  <si>
    <t>Columna8204</t>
  </si>
  <si>
    <t>Columna8205</t>
  </si>
  <si>
    <t>Columna8206</t>
  </si>
  <si>
    <t>Columna8207</t>
  </si>
  <si>
    <t>Columna8208</t>
  </si>
  <si>
    <t>Columna8209</t>
  </si>
  <si>
    <t>Columna8210</t>
  </si>
  <si>
    <t>Columna8211</t>
  </si>
  <si>
    <t>Columna8212</t>
  </si>
  <si>
    <t>Columna8213</t>
  </si>
  <si>
    <t>Columna8214</t>
  </si>
  <si>
    <t>Columna8215</t>
  </si>
  <si>
    <t>Columna8216</t>
  </si>
  <si>
    <t>Columna8217</t>
  </si>
  <si>
    <t>Columna8218</t>
  </si>
  <si>
    <t>Columna8219</t>
  </si>
  <si>
    <t>Columna8220</t>
  </si>
  <si>
    <t>Columna8221</t>
  </si>
  <si>
    <t>Columna8222</t>
  </si>
  <si>
    <t>Columna8223</t>
  </si>
  <si>
    <t>Columna8224</t>
  </si>
  <si>
    <t>Columna8225</t>
  </si>
  <si>
    <t>Columna8226</t>
  </si>
  <si>
    <t>Columna8227</t>
  </si>
  <si>
    <t>Columna8228</t>
  </si>
  <si>
    <t>Columna8229</t>
  </si>
  <si>
    <t>Columna8230</t>
  </si>
  <si>
    <t>Columna8231</t>
  </si>
  <si>
    <t>Columna8232</t>
  </si>
  <si>
    <t>Columna8233</t>
  </si>
  <si>
    <t>Columna8234</t>
  </si>
  <si>
    <t>Columna8235</t>
  </si>
  <si>
    <t>Columna8236</t>
  </si>
  <si>
    <t>Columna8237</t>
  </si>
  <si>
    <t>Columna8238</t>
  </si>
  <si>
    <t>Columna8239</t>
  </si>
  <si>
    <t>Columna8240</t>
  </si>
  <si>
    <t>Columna8241</t>
  </si>
  <si>
    <t>Columna8242</t>
  </si>
  <si>
    <t>Columna8243</t>
  </si>
  <si>
    <t>Columna8244</t>
  </si>
  <si>
    <t>Columna8245</t>
  </si>
  <si>
    <t>Columna8246</t>
  </si>
  <si>
    <t>Columna8247</t>
  </si>
  <si>
    <t>Columna8248</t>
  </si>
  <si>
    <t>Columna8249</t>
  </si>
  <si>
    <t>Columna8250</t>
  </si>
  <si>
    <t>Columna8251</t>
  </si>
  <si>
    <t>Columna8252</t>
  </si>
  <si>
    <t>Columna8253</t>
  </si>
  <si>
    <t>Columna8254</t>
  </si>
  <si>
    <t>Columna8255</t>
  </si>
  <si>
    <t>Columna8256</t>
  </si>
  <si>
    <t>Columna8257</t>
  </si>
  <si>
    <t>Columna8258</t>
  </si>
  <si>
    <t>Columna8259</t>
  </si>
  <si>
    <t>Columna8260</t>
  </si>
  <si>
    <t>Columna8261</t>
  </si>
  <si>
    <t>Columna8262</t>
  </si>
  <si>
    <t>Columna8263</t>
  </si>
  <si>
    <t>Columna8264</t>
  </si>
  <si>
    <t>Columna8265</t>
  </si>
  <si>
    <t>Columna8266</t>
  </si>
  <si>
    <t>Columna8267</t>
  </si>
  <si>
    <t>Columna8268</t>
  </si>
  <si>
    <t>Columna8269</t>
  </si>
  <si>
    <t>Columna8270</t>
  </si>
  <si>
    <t>Columna8271</t>
  </si>
  <si>
    <t>Columna8272</t>
  </si>
  <si>
    <t>Columna8273</t>
  </si>
  <si>
    <t>Columna8274</t>
  </si>
  <si>
    <t>Columna8275</t>
  </si>
  <si>
    <t>Columna8276</t>
  </si>
  <si>
    <t>Columna8277</t>
  </si>
  <si>
    <t>Columna8278</t>
  </si>
  <si>
    <t>Columna8279</t>
  </si>
  <si>
    <t>Columna8280</t>
  </si>
  <si>
    <t>Columna8281</t>
  </si>
  <si>
    <t>Columna8282</t>
  </si>
  <si>
    <t>Columna8283</t>
  </si>
  <si>
    <t>Columna8284</t>
  </si>
  <si>
    <t>Columna8285</t>
  </si>
  <si>
    <t>Columna8286</t>
  </si>
  <si>
    <t>Columna8287</t>
  </si>
  <si>
    <t>Columna8288</t>
  </si>
  <si>
    <t>Columna8289</t>
  </si>
  <si>
    <t>Columna8290</t>
  </si>
  <si>
    <t>Columna8291</t>
  </si>
  <si>
    <t>Columna8292</t>
  </si>
  <si>
    <t>Columna8293</t>
  </si>
  <si>
    <t>Columna8294</t>
  </si>
  <si>
    <t>Columna8295</t>
  </si>
  <si>
    <t>Columna8296</t>
  </si>
  <si>
    <t>Columna8297</t>
  </si>
  <si>
    <t>Columna8298</t>
  </si>
  <si>
    <t>Columna8299</t>
  </si>
  <si>
    <t>Columna8300</t>
  </si>
  <si>
    <t>Columna8301</t>
  </si>
  <si>
    <t>Columna8302</t>
  </si>
  <si>
    <t>Columna8303</t>
  </si>
  <si>
    <t>Columna8304</t>
  </si>
  <si>
    <t>Columna8305</t>
  </si>
  <si>
    <t>Columna8306</t>
  </si>
  <si>
    <t>Columna8307</t>
  </si>
  <si>
    <t>Columna8308</t>
  </si>
  <si>
    <t>Columna8309</t>
  </si>
  <si>
    <t>Columna8310</t>
  </si>
  <si>
    <t>Columna8311</t>
  </si>
  <si>
    <t>Columna8312</t>
  </si>
  <si>
    <t>Columna8313</t>
  </si>
  <si>
    <t>Columna8314</t>
  </si>
  <si>
    <t>Columna8315</t>
  </si>
  <si>
    <t>Columna8316</t>
  </si>
  <si>
    <t>Columna8317</t>
  </si>
  <si>
    <t>Columna8318</t>
  </si>
  <si>
    <t>Columna8319</t>
  </si>
  <si>
    <t>Columna8320</t>
  </si>
  <si>
    <t>Columna8321</t>
  </si>
  <si>
    <t>Columna8322</t>
  </si>
  <si>
    <t>Columna8323</t>
  </si>
  <si>
    <t>Columna8324</t>
  </si>
  <si>
    <t>Columna8325</t>
  </si>
  <si>
    <t>Columna8326</t>
  </si>
  <si>
    <t>Columna8327</t>
  </si>
  <si>
    <t>Columna8328</t>
  </si>
  <si>
    <t>Columna8329</t>
  </si>
  <si>
    <t>Columna8330</t>
  </si>
  <si>
    <t>Columna8331</t>
  </si>
  <si>
    <t>Columna8332</t>
  </si>
  <si>
    <t>Columna8333</t>
  </si>
  <si>
    <t>Columna8334</t>
  </si>
  <si>
    <t>Columna8335</t>
  </si>
  <si>
    <t>Columna8336</t>
  </si>
  <si>
    <t>Columna8337</t>
  </si>
  <si>
    <t>Columna8338</t>
  </si>
  <si>
    <t>Columna8339</t>
  </si>
  <si>
    <t>Columna8340</t>
  </si>
  <si>
    <t>Columna8341</t>
  </si>
  <si>
    <t>Columna8342</t>
  </si>
  <si>
    <t>Columna8343</t>
  </si>
  <si>
    <t>Columna8344</t>
  </si>
  <si>
    <t>Columna8345</t>
  </si>
  <si>
    <t>Columna8346</t>
  </si>
  <si>
    <t>Columna8347</t>
  </si>
  <si>
    <t>Columna8348</t>
  </si>
  <si>
    <t>Columna8349</t>
  </si>
  <si>
    <t>Columna8350</t>
  </si>
  <si>
    <t>Columna8351</t>
  </si>
  <si>
    <t>Columna8352</t>
  </si>
  <si>
    <t>Columna8353</t>
  </si>
  <si>
    <t>Columna8354</t>
  </si>
  <si>
    <t>Columna8355</t>
  </si>
  <si>
    <t>Columna8356</t>
  </si>
  <si>
    <t>Columna8357</t>
  </si>
  <si>
    <t>Columna8358</t>
  </si>
  <si>
    <t>Columna8359</t>
  </si>
  <si>
    <t>Columna8360</t>
  </si>
  <si>
    <t>Columna8361</t>
  </si>
  <si>
    <t>Columna8362</t>
  </si>
  <si>
    <t>Columna8363</t>
  </si>
  <si>
    <t>Columna8364</t>
  </si>
  <si>
    <t>Columna8365</t>
  </si>
  <si>
    <t>Columna8366</t>
  </si>
  <si>
    <t>Columna8367</t>
  </si>
  <si>
    <t>Columna8368</t>
  </si>
  <si>
    <t>Columna8369</t>
  </si>
  <si>
    <t>Columna8370</t>
  </si>
  <si>
    <t>Columna8371</t>
  </si>
  <si>
    <t>Columna8372</t>
  </si>
  <si>
    <t>Columna8373</t>
  </si>
  <si>
    <t>Columna8374</t>
  </si>
  <si>
    <t>Columna8375</t>
  </si>
  <si>
    <t>Columna8376</t>
  </si>
  <si>
    <t>Columna8377</t>
  </si>
  <si>
    <t>Columna8378</t>
  </si>
  <si>
    <t>Columna8379</t>
  </si>
  <si>
    <t>Columna8380</t>
  </si>
  <si>
    <t>Columna8381</t>
  </si>
  <si>
    <t>Columna8382</t>
  </si>
  <si>
    <t>Columna8383</t>
  </si>
  <si>
    <t>Columna8384</t>
  </si>
  <si>
    <t>Columna8385</t>
  </si>
  <si>
    <t>Columna8386</t>
  </si>
  <si>
    <t>Columna8387</t>
  </si>
  <si>
    <t>Columna8388</t>
  </si>
  <si>
    <t>Columna8389</t>
  </si>
  <si>
    <t>Columna8390</t>
  </si>
  <si>
    <t>Columna8391</t>
  </si>
  <si>
    <t>Columna8392</t>
  </si>
  <si>
    <t>Columna8393</t>
  </si>
  <si>
    <t>Columna8394</t>
  </si>
  <si>
    <t>Columna8395</t>
  </si>
  <si>
    <t>Columna8396</t>
  </si>
  <si>
    <t>Columna8397</t>
  </si>
  <si>
    <t>Columna8398</t>
  </si>
  <si>
    <t>Columna8399</t>
  </si>
  <si>
    <t>Columna8400</t>
  </si>
  <si>
    <t>Columna8401</t>
  </si>
  <si>
    <t>Columna8402</t>
  </si>
  <si>
    <t>Columna8403</t>
  </si>
  <si>
    <t>Columna8404</t>
  </si>
  <si>
    <t>Columna8405</t>
  </si>
  <si>
    <t>Columna8406</t>
  </si>
  <si>
    <t>Columna8407</t>
  </si>
  <si>
    <t>Columna8408</t>
  </si>
  <si>
    <t>Columna8409</t>
  </si>
  <si>
    <t>Columna8410</t>
  </si>
  <si>
    <t>Columna8411</t>
  </si>
  <si>
    <t>Columna8412</t>
  </si>
  <si>
    <t>Columna8413</t>
  </si>
  <si>
    <t>Columna8414</t>
  </si>
  <si>
    <t>Columna8415</t>
  </si>
  <si>
    <t>Columna8416</t>
  </si>
  <si>
    <t>Columna8417</t>
  </si>
  <si>
    <t>Columna8418</t>
  </si>
  <si>
    <t>Columna8419</t>
  </si>
  <si>
    <t>Columna8420</t>
  </si>
  <si>
    <t>Columna8421</t>
  </si>
  <si>
    <t>Columna8422</t>
  </si>
  <si>
    <t>Columna8423</t>
  </si>
  <si>
    <t>Columna8424</t>
  </si>
  <si>
    <t>Columna8425</t>
  </si>
  <si>
    <t>Columna8426</t>
  </si>
  <si>
    <t>Columna8427</t>
  </si>
  <si>
    <t>Columna8428</t>
  </si>
  <si>
    <t>Columna8429</t>
  </si>
  <si>
    <t>Columna8430</t>
  </si>
  <si>
    <t>Columna8431</t>
  </si>
  <si>
    <t>Columna8432</t>
  </si>
  <si>
    <t>Columna8433</t>
  </si>
  <si>
    <t>Columna8434</t>
  </si>
  <si>
    <t>Columna8435</t>
  </si>
  <si>
    <t>Columna8436</t>
  </si>
  <si>
    <t>Columna8437</t>
  </si>
  <si>
    <t>Columna8438</t>
  </si>
  <si>
    <t>Columna8439</t>
  </si>
  <si>
    <t>Columna8440</t>
  </si>
  <si>
    <t>Columna8441</t>
  </si>
  <si>
    <t>Columna8442</t>
  </si>
  <si>
    <t>Columna8443</t>
  </si>
  <si>
    <t>Columna8444</t>
  </si>
  <si>
    <t>Columna8445</t>
  </si>
  <si>
    <t>Columna8446</t>
  </si>
  <si>
    <t>Columna8447</t>
  </si>
  <si>
    <t>Columna8448</t>
  </si>
  <si>
    <t>Columna8449</t>
  </si>
  <si>
    <t>Columna8450</t>
  </si>
  <si>
    <t>Columna8451</t>
  </si>
  <si>
    <t>Columna8452</t>
  </si>
  <si>
    <t>Columna8453</t>
  </si>
  <si>
    <t>Columna8454</t>
  </si>
  <si>
    <t>Columna8455</t>
  </si>
  <si>
    <t>Columna8456</t>
  </si>
  <si>
    <t>Columna8457</t>
  </si>
  <si>
    <t>Columna8458</t>
  </si>
  <si>
    <t>Columna8459</t>
  </si>
  <si>
    <t>Columna8460</t>
  </si>
  <si>
    <t>Columna8461</t>
  </si>
  <si>
    <t>Columna8462</t>
  </si>
  <si>
    <t>Columna8463</t>
  </si>
  <si>
    <t>Columna8464</t>
  </si>
  <si>
    <t>Columna8465</t>
  </si>
  <si>
    <t>Columna8466</t>
  </si>
  <si>
    <t>Columna8467</t>
  </si>
  <si>
    <t>Columna8468</t>
  </si>
  <si>
    <t>Columna8469</t>
  </si>
  <si>
    <t>Columna8470</t>
  </si>
  <si>
    <t>Columna8471</t>
  </si>
  <si>
    <t>Columna8472</t>
  </si>
  <si>
    <t>Columna8473</t>
  </si>
  <si>
    <t>Columna8474</t>
  </si>
  <si>
    <t>Columna8475</t>
  </si>
  <si>
    <t>Columna8476</t>
  </si>
  <si>
    <t>Columna8477</t>
  </si>
  <si>
    <t>Columna8478</t>
  </si>
  <si>
    <t>Columna8479</t>
  </si>
  <si>
    <t>Columna8480</t>
  </si>
  <si>
    <t>Columna8481</t>
  </si>
  <si>
    <t>Columna8482</t>
  </si>
  <si>
    <t>Columna8483</t>
  </si>
  <si>
    <t>Columna8484</t>
  </si>
  <si>
    <t>Columna8485</t>
  </si>
  <si>
    <t>Columna8486</t>
  </si>
  <si>
    <t>Columna8487</t>
  </si>
  <si>
    <t>Columna8488</t>
  </si>
  <si>
    <t>Columna8489</t>
  </si>
  <si>
    <t>Columna8490</t>
  </si>
  <si>
    <t>Columna8491</t>
  </si>
  <si>
    <t>Columna8492</t>
  </si>
  <si>
    <t>Columna8493</t>
  </si>
  <si>
    <t>Columna8494</t>
  </si>
  <si>
    <t>Columna8495</t>
  </si>
  <si>
    <t>Columna8496</t>
  </si>
  <si>
    <t>Columna8497</t>
  </si>
  <si>
    <t>Columna8498</t>
  </si>
  <si>
    <t>Columna8499</t>
  </si>
  <si>
    <t>Columna8500</t>
  </si>
  <si>
    <t>Columna8501</t>
  </si>
  <si>
    <t>Columna8502</t>
  </si>
  <si>
    <t>Columna8503</t>
  </si>
  <si>
    <t>Columna8504</t>
  </si>
  <si>
    <t>Columna8505</t>
  </si>
  <si>
    <t>Columna8506</t>
  </si>
  <si>
    <t>Columna8507</t>
  </si>
  <si>
    <t>Columna8508</t>
  </si>
  <si>
    <t>Columna8509</t>
  </si>
  <si>
    <t>Columna8510</t>
  </si>
  <si>
    <t>Columna8511</t>
  </si>
  <si>
    <t>Columna8512</t>
  </si>
  <si>
    <t>Columna8513</t>
  </si>
  <si>
    <t>Columna8514</t>
  </si>
  <si>
    <t>Columna8515</t>
  </si>
  <si>
    <t>Columna8516</t>
  </si>
  <si>
    <t>Columna8517</t>
  </si>
  <si>
    <t>Columna8518</t>
  </si>
  <si>
    <t>Columna8519</t>
  </si>
  <si>
    <t>Columna8520</t>
  </si>
  <si>
    <t>Columna8521</t>
  </si>
  <si>
    <t>Columna8522</t>
  </si>
  <si>
    <t>Columna8523</t>
  </si>
  <si>
    <t>Columna8524</t>
  </si>
  <si>
    <t>Columna8525</t>
  </si>
  <si>
    <t>Columna8526</t>
  </si>
  <si>
    <t>Columna8527</t>
  </si>
  <si>
    <t>Columna8528</t>
  </si>
  <si>
    <t>Columna8529</t>
  </si>
  <si>
    <t>Columna8530</t>
  </si>
  <si>
    <t>Columna8531</t>
  </si>
  <si>
    <t>Columna8532</t>
  </si>
  <si>
    <t>Columna8533</t>
  </si>
  <si>
    <t>Columna8534</t>
  </si>
  <si>
    <t>Columna8535</t>
  </si>
  <si>
    <t>Columna8536</t>
  </si>
  <si>
    <t>Columna8537</t>
  </si>
  <si>
    <t>Columna8538</t>
  </si>
  <si>
    <t>Columna8539</t>
  </si>
  <si>
    <t>Columna8540</t>
  </si>
  <si>
    <t>Columna8541</t>
  </si>
  <si>
    <t>Columna8542</t>
  </si>
  <si>
    <t>Columna8543</t>
  </si>
  <si>
    <t>Columna8544</t>
  </si>
  <si>
    <t>Columna8545</t>
  </si>
  <si>
    <t>Columna8546</t>
  </si>
  <si>
    <t>Columna8547</t>
  </si>
  <si>
    <t>Columna8548</t>
  </si>
  <si>
    <t>Columna8549</t>
  </si>
  <si>
    <t>Columna8550</t>
  </si>
  <si>
    <t>Columna8551</t>
  </si>
  <si>
    <t>Columna8552</t>
  </si>
  <si>
    <t>Columna8553</t>
  </si>
  <si>
    <t>Columna8554</t>
  </si>
  <si>
    <t>Columna8555</t>
  </si>
  <si>
    <t>Columna8556</t>
  </si>
  <si>
    <t>Columna8557</t>
  </si>
  <si>
    <t>Columna8558</t>
  </si>
  <si>
    <t>Columna8559</t>
  </si>
  <si>
    <t>Columna8560</t>
  </si>
  <si>
    <t>Columna8561</t>
  </si>
  <si>
    <t>Columna8562</t>
  </si>
  <si>
    <t>Columna8563</t>
  </si>
  <si>
    <t>Columna8564</t>
  </si>
  <si>
    <t>Columna8565</t>
  </si>
  <si>
    <t>Columna8566</t>
  </si>
  <si>
    <t>Columna8567</t>
  </si>
  <si>
    <t>Columna8568</t>
  </si>
  <si>
    <t>Columna8569</t>
  </si>
  <si>
    <t>Columna8570</t>
  </si>
  <si>
    <t>Columna8571</t>
  </si>
  <si>
    <t>Columna8572</t>
  </si>
  <si>
    <t>Columna8573</t>
  </si>
  <si>
    <t>Columna8574</t>
  </si>
  <si>
    <t>Columna8575</t>
  </si>
  <si>
    <t>Columna8576</t>
  </si>
  <si>
    <t>Columna8577</t>
  </si>
  <si>
    <t>Columna8578</t>
  </si>
  <si>
    <t>Columna8579</t>
  </si>
  <si>
    <t>Columna8580</t>
  </si>
  <si>
    <t>Columna8581</t>
  </si>
  <si>
    <t>Columna8582</t>
  </si>
  <si>
    <t>Columna8583</t>
  </si>
  <si>
    <t>Columna8584</t>
  </si>
  <si>
    <t>Columna8585</t>
  </si>
  <si>
    <t>Columna8586</t>
  </si>
  <si>
    <t>Columna8587</t>
  </si>
  <si>
    <t>Columna8588</t>
  </si>
  <si>
    <t>Columna8589</t>
  </si>
  <si>
    <t>Columna8590</t>
  </si>
  <si>
    <t>Columna8591</t>
  </si>
  <si>
    <t>Columna8592</t>
  </si>
  <si>
    <t>Columna8593</t>
  </si>
  <si>
    <t>Columna8594</t>
  </si>
  <si>
    <t>Columna8595</t>
  </si>
  <si>
    <t>Columna8596</t>
  </si>
  <si>
    <t>Columna8597</t>
  </si>
  <si>
    <t>Columna8598</t>
  </si>
  <si>
    <t>Columna8599</t>
  </si>
  <si>
    <t>Columna8600</t>
  </si>
  <si>
    <t>Columna8601</t>
  </si>
  <si>
    <t>Columna8602</t>
  </si>
  <si>
    <t>Columna8603</t>
  </si>
  <si>
    <t>Columna8604</t>
  </si>
  <si>
    <t>Columna8605</t>
  </si>
  <si>
    <t>Columna8606</t>
  </si>
  <si>
    <t>Columna8607</t>
  </si>
  <si>
    <t>Columna8608</t>
  </si>
  <si>
    <t>Columna8609</t>
  </si>
  <si>
    <t>Columna8610</t>
  </si>
  <si>
    <t>Columna8611</t>
  </si>
  <si>
    <t>Columna8612</t>
  </si>
  <si>
    <t>Columna8613</t>
  </si>
  <si>
    <t>Columna8614</t>
  </si>
  <si>
    <t>Columna8615</t>
  </si>
  <si>
    <t>Columna8616</t>
  </si>
  <si>
    <t>Columna8617</t>
  </si>
  <si>
    <t>Columna8618</t>
  </si>
  <si>
    <t>Columna8619</t>
  </si>
  <si>
    <t>Columna8620</t>
  </si>
  <si>
    <t>Columna8621</t>
  </si>
  <si>
    <t>Columna8622</t>
  </si>
  <si>
    <t>Columna8623</t>
  </si>
  <si>
    <t>Columna8624</t>
  </si>
  <si>
    <t>Columna8625</t>
  </si>
  <si>
    <t>Columna8626</t>
  </si>
  <si>
    <t>Columna8627</t>
  </si>
  <si>
    <t>Columna8628</t>
  </si>
  <si>
    <t>Columna8629</t>
  </si>
  <si>
    <t>Columna8630</t>
  </si>
  <si>
    <t>Columna8631</t>
  </si>
  <si>
    <t>Columna8632</t>
  </si>
  <si>
    <t>Columna8633</t>
  </si>
  <si>
    <t>Columna8634</t>
  </si>
  <si>
    <t>Columna8635</t>
  </si>
  <si>
    <t>Columna8636</t>
  </si>
  <si>
    <t>Columna8637</t>
  </si>
  <si>
    <t>Columna8638</t>
  </si>
  <si>
    <t>Columna8639</t>
  </si>
  <si>
    <t>Columna8640</t>
  </si>
  <si>
    <t>Columna8641</t>
  </si>
  <si>
    <t>Columna8642</t>
  </si>
  <si>
    <t>Columna8643</t>
  </si>
  <si>
    <t>Columna8644</t>
  </si>
  <si>
    <t>Columna8645</t>
  </si>
  <si>
    <t>Columna8646</t>
  </si>
  <si>
    <t>Columna8647</t>
  </si>
  <si>
    <t>Columna8648</t>
  </si>
  <si>
    <t>Columna8649</t>
  </si>
  <si>
    <t>Columna8650</t>
  </si>
  <si>
    <t>Columna8651</t>
  </si>
  <si>
    <t>Columna8652</t>
  </si>
  <si>
    <t>Columna8653</t>
  </si>
  <si>
    <t>Columna8654</t>
  </si>
  <si>
    <t>Columna8655</t>
  </si>
  <si>
    <t>Columna8656</t>
  </si>
  <si>
    <t>Columna8657</t>
  </si>
  <si>
    <t>Columna8658</t>
  </si>
  <si>
    <t>Columna8659</t>
  </si>
  <si>
    <t>Columna8660</t>
  </si>
  <si>
    <t>Columna8661</t>
  </si>
  <si>
    <t>Columna8662</t>
  </si>
  <si>
    <t>Columna8663</t>
  </si>
  <si>
    <t>Columna8664</t>
  </si>
  <si>
    <t>Columna8665</t>
  </si>
  <si>
    <t>Columna8666</t>
  </si>
  <si>
    <t>Columna8667</t>
  </si>
  <si>
    <t>Columna8668</t>
  </si>
  <si>
    <t>Columna8669</t>
  </si>
  <si>
    <t>Columna8670</t>
  </si>
  <si>
    <t>Columna8671</t>
  </si>
  <si>
    <t>Columna8672</t>
  </si>
  <si>
    <t>Columna8673</t>
  </si>
  <si>
    <t>Columna8674</t>
  </si>
  <si>
    <t>Columna8675</t>
  </si>
  <si>
    <t>Columna8676</t>
  </si>
  <si>
    <t>Columna8677</t>
  </si>
  <si>
    <t>Columna8678</t>
  </si>
  <si>
    <t>Columna8679</t>
  </si>
  <si>
    <t>Columna8680</t>
  </si>
  <si>
    <t>Columna8681</t>
  </si>
  <si>
    <t>Columna8682</t>
  </si>
  <si>
    <t>Columna8683</t>
  </si>
  <si>
    <t>Columna8684</t>
  </si>
  <si>
    <t>Columna8685</t>
  </si>
  <si>
    <t>Columna8686</t>
  </si>
  <si>
    <t>Columna8687</t>
  </si>
  <si>
    <t>Columna8688</t>
  </si>
  <si>
    <t>Columna8689</t>
  </si>
  <si>
    <t>Columna8690</t>
  </si>
  <si>
    <t>Columna8691</t>
  </si>
  <si>
    <t>Columna8692</t>
  </si>
  <si>
    <t>Columna8693</t>
  </si>
  <si>
    <t>Columna8694</t>
  </si>
  <si>
    <t>Columna8695</t>
  </si>
  <si>
    <t>Columna8696</t>
  </si>
  <si>
    <t>Columna8697</t>
  </si>
  <si>
    <t>Columna8698</t>
  </si>
  <si>
    <t>Columna8699</t>
  </si>
  <si>
    <t>Columna8700</t>
  </si>
  <si>
    <t>Columna8701</t>
  </si>
  <si>
    <t>Columna8702</t>
  </si>
  <si>
    <t>Columna8703</t>
  </si>
  <si>
    <t>Columna8704</t>
  </si>
  <si>
    <t>Columna8705</t>
  </si>
  <si>
    <t>Columna8706</t>
  </si>
  <si>
    <t>Columna8707</t>
  </si>
  <si>
    <t>Columna8708</t>
  </si>
  <si>
    <t>Columna8709</t>
  </si>
  <si>
    <t>Columna8710</t>
  </si>
  <si>
    <t>Columna8711</t>
  </si>
  <si>
    <t>Columna8712</t>
  </si>
  <si>
    <t>Columna8713</t>
  </si>
  <si>
    <t>Columna8714</t>
  </si>
  <si>
    <t>Columna8715</t>
  </si>
  <si>
    <t>Columna8716</t>
  </si>
  <si>
    <t>Columna8717</t>
  </si>
  <si>
    <t>Columna8718</t>
  </si>
  <si>
    <t>Columna8719</t>
  </si>
  <si>
    <t>Columna8720</t>
  </si>
  <si>
    <t>Columna8721</t>
  </si>
  <si>
    <t>Columna8722</t>
  </si>
  <si>
    <t>Columna8723</t>
  </si>
  <si>
    <t>Columna8724</t>
  </si>
  <si>
    <t>Columna8725</t>
  </si>
  <si>
    <t>Columna8726</t>
  </si>
  <si>
    <t>Columna8727</t>
  </si>
  <si>
    <t>Columna8728</t>
  </si>
  <si>
    <t>Columna8729</t>
  </si>
  <si>
    <t>Columna8730</t>
  </si>
  <si>
    <t>Columna8731</t>
  </si>
  <si>
    <t>Columna8732</t>
  </si>
  <si>
    <t>Columna8733</t>
  </si>
  <si>
    <t>Columna8734</t>
  </si>
  <si>
    <t>Columna8735</t>
  </si>
  <si>
    <t>Columna8736</t>
  </si>
  <si>
    <t>Columna8737</t>
  </si>
  <si>
    <t>Columna8738</t>
  </si>
  <si>
    <t>Columna8739</t>
  </si>
  <si>
    <t>Columna8740</t>
  </si>
  <si>
    <t>Columna8741</t>
  </si>
  <si>
    <t>Columna8742</t>
  </si>
  <si>
    <t>Columna8743</t>
  </si>
  <si>
    <t>Columna8744</t>
  </si>
  <si>
    <t>Columna8745</t>
  </si>
  <si>
    <t>Columna8746</t>
  </si>
  <si>
    <t>Columna8747</t>
  </si>
  <si>
    <t>Columna8748</t>
  </si>
  <si>
    <t>Columna8749</t>
  </si>
  <si>
    <t>Columna8750</t>
  </si>
  <si>
    <t>Columna8751</t>
  </si>
  <si>
    <t>Columna8752</t>
  </si>
  <si>
    <t>Columna8753</t>
  </si>
  <si>
    <t>Columna8754</t>
  </si>
  <si>
    <t>Columna8755</t>
  </si>
  <si>
    <t>Columna8756</t>
  </si>
  <si>
    <t>Columna8757</t>
  </si>
  <si>
    <t>Columna8758</t>
  </si>
  <si>
    <t>Columna8759</t>
  </si>
  <si>
    <t>Columna8760</t>
  </si>
  <si>
    <t>Columna8761</t>
  </si>
  <si>
    <t>Columna8762</t>
  </si>
  <si>
    <t>Columna8763</t>
  </si>
  <si>
    <t>Columna8764</t>
  </si>
  <si>
    <t>Columna8765</t>
  </si>
  <si>
    <t>Columna8766</t>
  </si>
  <si>
    <t>Columna8767</t>
  </si>
  <si>
    <t>Columna8768</t>
  </si>
  <si>
    <t>Columna8769</t>
  </si>
  <si>
    <t>Columna8770</t>
  </si>
  <si>
    <t>Columna8771</t>
  </si>
  <si>
    <t>Columna8772</t>
  </si>
  <si>
    <t>Columna8773</t>
  </si>
  <si>
    <t>Columna8774</t>
  </si>
  <si>
    <t>Columna8775</t>
  </si>
  <si>
    <t>Columna8776</t>
  </si>
  <si>
    <t>Columna8777</t>
  </si>
  <si>
    <t>Columna8778</t>
  </si>
  <si>
    <t>Columna8779</t>
  </si>
  <si>
    <t>Columna8780</t>
  </si>
  <si>
    <t>Columna8781</t>
  </si>
  <si>
    <t>Columna8782</t>
  </si>
  <si>
    <t>Columna8783</t>
  </si>
  <si>
    <t>Columna8784</t>
  </si>
  <si>
    <t>Columna8785</t>
  </si>
  <si>
    <t>Columna8786</t>
  </si>
  <si>
    <t>Columna8787</t>
  </si>
  <si>
    <t>Columna8788</t>
  </si>
  <si>
    <t>Columna8789</t>
  </si>
  <si>
    <t>Columna8790</t>
  </si>
  <si>
    <t>Columna8791</t>
  </si>
  <si>
    <t>Columna8792</t>
  </si>
  <si>
    <t>Columna8793</t>
  </si>
  <si>
    <t>Columna8794</t>
  </si>
  <si>
    <t>Columna8795</t>
  </si>
  <si>
    <t>Columna8796</t>
  </si>
  <si>
    <t>Columna8797</t>
  </si>
  <si>
    <t>Columna8798</t>
  </si>
  <si>
    <t>Columna8799</t>
  </si>
  <si>
    <t>Columna8800</t>
  </si>
  <si>
    <t>Columna8801</t>
  </si>
  <si>
    <t>Columna8802</t>
  </si>
  <si>
    <t>Columna8803</t>
  </si>
  <si>
    <t>Columna8804</t>
  </si>
  <si>
    <t>Columna8805</t>
  </si>
  <si>
    <t>Columna8806</t>
  </si>
  <si>
    <t>Columna8807</t>
  </si>
  <si>
    <t>Columna8808</t>
  </si>
  <si>
    <t>Columna8809</t>
  </si>
  <si>
    <t>Columna8810</t>
  </si>
  <si>
    <t>Columna8811</t>
  </si>
  <si>
    <t>Columna8812</t>
  </si>
  <si>
    <t>Columna8813</t>
  </si>
  <si>
    <t>Columna8814</t>
  </si>
  <si>
    <t>Columna8815</t>
  </si>
  <si>
    <t>Columna8816</t>
  </si>
  <si>
    <t>Columna8817</t>
  </si>
  <si>
    <t>Columna8818</t>
  </si>
  <si>
    <t>Columna8819</t>
  </si>
  <si>
    <t>Columna8820</t>
  </si>
  <si>
    <t>Columna8821</t>
  </si>
  <si>
    <t>Columna8822</t>
  </si>
  <si>
    <t>Columna8823</t>
  </si>
  <si>
    <t>Columna8824</t>
  </si>
  <si>
    <t>Columna8825</t>
  </si>
  <si>
    <t>Columna8826</t>
  </si>
  <si>
    <t>Columna8827</t>
  </si>
  <si>
    <t>Columna8828</t>
  </si>
  <si>
    <t>Columna8829</t>
  </si>
  <si>
    <t>Columna8830</t>
  </si>
  <si>
    <t>Columna8831</t>
  </si>
  <si>
    <t>Columna8832</t>
  </si>
  <si>
    <t>Columna8833</t>
  </si>
  <si>
    <t>Columna8834</t>
  </si>
  <si>
    <t>Columna8835</t>
  </si>
  <si>
    <t>Columna8836</t>
  </si>
  <si>
    <t>Columna8837</t>
  </si>
  <si>
    <t>Columna8838</t>
  </si>
  <si>
    <t>Columna8839</t>
  </si>
  <si>
    <t>Columna8840</t>
  </si>
  <si>
    <t>Columna8841</t>
  </si>
  <si>
    <t>Columna8842</t>
  </si>
  <si>
    <t>Columna8843</t>
  </si>
  <si>
    <t>Columna8844</t>
  </si>
  <si>
    <t>Columna8845</t>
  </si>
  <si>
    <t>Columna8846</t>
  </si>
  <si>
    <t>Columna8847</t>
  </si>
  <si>
    <t>Columna8848</t>
  </si>
  <si>
    <t>Columna8849</t>
  </si>
  <si>
    <t>Columna8850</t>
  </si>
  <si>
    <t>Columna8851</t>
  </si>
  <si>
    <t>Columna8852</t>
  </si>
  <si>
    <t>Columna8853</t>
  </si>
  <si>
    <t>Columna8854</t>
  </si>
  <si>
    <t>Columna8855</t>
  </si>
  <si>
    <t>Columna8856</t>
  </si>
  <si>
    <t>Columna8857</t>
  </si>
  <si>
    <t>Columna8858</t>
  </si>
  <si>
    <t>Columna8859</t>
  </si>
  <si>
    <t>Columna8860</t>
  </si>
  <si>
    <t>Columna8861</t>
  </si>
  <si>
    <t>Columna8862</t>
  </si>
  <si>
    <t>Columna8863</t>
  </si>
  <si>
    <t>Columna8864</t>
  </si>
  <si>
    <t>Columna8865</t>
  </si>
  <si>
    <t>Columna8866</t>
  </si>
  <si>
    <t>Columna8867</t>
  </si>
  <si>
    <t>Columna8868</t>
  </si>
  <si>
    <t>Columna8869</t>
  </si>
  <si>
    <t>Columna8870</t>
  </si>
  <si>
    <t>Columna8871</t>
  </si>
  <si>
    <t>Columna8872</t>
  </si>
  <si>
    <t>Columna8873</t>
  </si>
  <si>
    <t>Columna8874</t>
  </si>
  <si>
    <t>Columna8875</t>
  </si>
  <si>
    <t>Columna8876</t>
  </si>
  <si>
    <t>Columna8877</t>
  </si>
  <si>
    <t>Columna8878</t>
  </si>
  <si>
    <t>Columna8879</t>
  </si>
  <si>
    <t>Columna8880</t>
  </si>
  <si>
    <t>Columna8881</t>
  </si>
  <si>
    <t>Columna8882</t>
  </si>
  <si>
    <t>Columna8883</t>
  </si>
  <si>
    <t>Columna8884</t>
  </si>
  <si>
    <t>Columna8885</t>
  </si>
  <si>
    <t>Columna8886</t>
  </si>
  <si>
    <t>Columna8887</t>
  </si>
  <si>
    <t>Columna8888</t>
  </si>
  <si>
    <t>Columna8889</t>
  </si>
  <si>
    <t>Columna8890</t>
  </si>
  <si>
    <t>Columna8891</t>
  </si>
  <si>
    <t>Columna8892</t>
  </si>
  <si>
    <t>Columna8893</t>
  </si>
  <si>
    <t>Columna8894</t>
  </si>
  <si>
    <t>Columna8895</t>
  </si>
  <si>
    <t>Columna8896</t>
  </si>
  <si>
    <t>Columna8897</t>
  </si>
  <si>
    <t>Columna8898</t>
  </si>
  <si>
    <t>Columna8899</t>
  </si>
  <si>
    <t>Columna8900</t>
  </si>
  <si>
    <t>Columna8901</t>
  </si>
  <si>
    <t>Columna8902</t>
  </si>
  <si>
    <t>Columna8903</t>
  </si>
  <si>
    <t>Columna8904</t>
  </si>
  <si>
    <t>Columna8905</t>
  </si>
  <si>
    <t>Columna8906</t>
  </si>
  <si>
    <t>Columna8907</t>
  </si>
  <si>
    <t>Columna8908</t>
  </si>
  <si>
    <t>Columna8909</t>
  </si>
  <si>
    <t>Columna8910</t>
  </si>
  <si>
    <t>Columna8911</t>
  </si>
  <si>
    <t>Columna8912</t>
  </si>
  <si>
    <t>Columna8913</t>
  </si>
  <si>
    <t>Columna8914</t>
  </si>
  <si>
    <t>Columna8915</t>
  </si>
  <si>
    <t>Columna8916</t>
  </si>
  <si>
    <t>Columna8917</t>
  </si>
  <si>
    <t>Columna8918</t>
  </si>
  <si>
    <t>Columna8919</t>
  </si>
  <si>
    <t>Columna8920</t>
  </si>
  <si>
    <t>Columna8921</t>
  </si>
  <si>
    <t>Columna8922</t>
  </si>
  <si>
    <t>Columna8923</t>
  </si>
  <si>
    <t>Columna8924</t>
  </si>
  <si>
    <t>Columna8925</t>
  </si>
  <si>
    <t>Columna8926</t>
  </si>
  <si>
    <t>Columna8927</t>
  </si>
  <si>
    <t>Columna8928</t>
  </si>
  <si>
    <t>Columna8929</t>
  </si>
  <si>
    <t>Columna8930</t>
  </si>
  <si>
    <t>Columna8931</t>
  </si>
  <si>
    <t>Columna8932</t>
  </si>
  <si>
    <t>Columna8933</t>
  </si>
  <si>
    <t>Columna8934</t>
  </si>
  <si>
    <t>Columna8935</t>
  </si>
  <si>
    <t>Columna8936</t>
  </si>
  <si>
    <t>Columna8937</t>
  </si>
  <si>
    <t>Columna8938</t>
  </si>
  <si>
    <t>Columna8939</t>
  </si>
  <si>
    <t>Columna8940</t>
  </si>
  <si>
    <t>Columna8941</t>
  </si>
  <si>
    <t>Columna8942</t>
  </si>
  <si>
    <t>Columna8943</t>
  </si>
  <si>
    <t>Columna8944</t>
  </si>
  <si>
    <t>Columna8945</t>
  </si>
  <si>
    <t>Columna8946</t>
  </si>
  <si>
    <t>Columna8947</t>
  </si>
  <si>
    <t>Columna8948</t>
  </si>
  <si>
    <t>Columna8949</t>
  </si>
  <si>
    <t>Columna8950</t>
  </si>
  <si>
    <t>Columna8951</t>
  </si>
  <si>
    <t>Columna8952</t>
  </si>
  <si>
    <t>Columna8953</t>
  </si>
  <si>
    <t>Columna8954</t>
  </si>
  <si>
    <t>Columna8955</t>
  </si>
  <si>
    <t>Columna8956</t>
  </si>
  <si>
    <t>Columna8957</t>
  </si>
  <si>
    <t>Columna8958</t>
  </si>
  <si>
    <t>Columna8959</t>
  </si>
  <si>
    <t>Columna8960</t>
  </si>
  <si>
    <t>Columna8961</t>
  </si>
  <si>
    <t>Columna8962</t>
  </si>
  <si>
    <t>Columna8963</t>
  </si>
  <si>
    <t>Columna8964</t>
  </si>
  <si>
    <t>Columna8965</t>
  </si>
  <si>
    <t>Columna8966</t>
  </si>
  <si>
    <t>Columna8967</t>
  </si>
  <si>
    <t>Columna8968</t>
  </si>
  <si>
    <t>Columna8969</t>
  </si>
  <si>
    <t>Columna8970</t>
  </si>
  <si>
    <t>Columna8971</t>
  </si>
  <si>
    <t>Columna8972</t>
  </si>
  <si>
    <t>Columna8973</t>
  </si>
  <si>
    <t>Columna8974</t>
  </si>
  <si>
    <t>Columna8975</t>
  </si>
  <si>
    <t>Columna8976</t>
  </si>
  <si>
    <t>Columna8977</t>
  </si>
  <si>
    <t>Columna8978</t>
  </si>
  <si>
    <t>Columna8979</t>
  </si>
  <si>
    <t>Columna8980</t>
  </si>
  <si>
    <t>Columna8981</t>
  </si>
  <si>
    <t>Columna8982</t>
  </si>
  <si>
    <t>Columna8983</t>
  </si>
  <si>
    <t>Columna8984</t>
  </si>
  <si>
    <t>Columna8985</t>
  </si>
  <si>
    <t>Columna8986</t>
  </si>
  <si>
    <t>Columna8987</t>
  </si>
  <si>
    <t>Columna8988</t>
  </si>
  <si>
    <t>Columna8989</t>
  </si>
  <si>
    <t>Columna8990</t>
  </si>
  <si>
    <t>Columna8991</t>
  </si>
  <si>
    <t>Columna8992</t>
  </si>
  <si>
    <t>Columna8993</t>
  </si>
  <si>
    <t>Columna8994</t>
  </si>
  <si>
    <t>Columna8995</t>
  </si>
  <si>
    <t>Columna8996</t>
  </si>
  <si>
    <t>Columna8997</t>
  </si>
  <si>
    <t>Columna8998</t>
  </si>
  <si>
    <t>Columna8999</t>
  </si>
  <si>
    <t>Columna9000</t>
  </si>
  <si>
    <t>Columna9001</t>
  </si>
  <si>
    <t>Columna9002</t>
  </si>
  <si>
    <t>Columna9003</t>
  </si>
  <si>
    <t>Columna9004</t>
  </si>
  <si>
    <t>Columna9005</t>
  </si>
  <si>
    <t>Columna9006</t>
  </si>
  <si>
    <t>Columna9007</t>
  </si>
  <si>
    <t>Columna9008</t>
  </si>
  <si>
    <t>Columna9009</t>
  </si>
  <si>
    <t>Columna9010</t>
  </si>
  <si>
    <t>Columna9011</t>
  </si>
  <si>
    <t>Columna9012</t>
  </si>
  <si>
    <t>Columna9013</t>
  </si>
  <si>
    <t>Columna9014</t>
  </si>
  <si>
    <t>Columna9015</t>
  </si>
  <si>
    <t>Columna9016</t>
  </si>
  <si>
    <t>Columna9017</t>
  </si>
  <si>
    <t>Columna9018</t>
  </si>
  <si>
    <t>Columna9019</t>
  </si>
  <si>
    <t>Columna9020</t>
  </si>
  <si>
    <t>Columna9021</t>
  </si>
  <si>
    <t>Columna9022</t>
  </si>
  <si>
    <t>Columna9023</t>
  </si>
  <si>
    <t>Columna9024</t>
  </si>
  <si>
    <t>Columna9025</t>
  </si>
  <si>
    <t>Columna9026</t>
  </si>
  <si>
    <t>Columna9027</t>
  </si>
  <si>
    <t>Columna9028</t>
  </si>
  <si>
    <t>Columna9029</t>
  </si>
  <si>
    <t>Columna9030</t>
  </si>
  <si>
    <t>Columna9031</t>
  </si>
  <si>
    <t>Columna9032</t>
  </si>
  <si>
    <t>Columna9033</t>
  </si>
  <si>
    <t>Columna9034</t>
  </si>
  <si>
    <t>Columna9035</t>
  </si>
  <si>
    <t>Columna9036</t>
  </si>
  <si>
    <t>Columna9037</t>
  </si>
  <si>
    <t>Columna9038</t>
  </si>
  <si>
    <t>Columna9039</t>
  </si>
  <si>
    <t>Columna9040</t>
  </si>
  <si>
    <t>Columna9041</t>
  </si>
  <si>
    <t>Columna9042</t>
  </si>
  <si>
    <t>Columna9043</t>
  </si>
  <si>
    <t>Columna9044</t>
  </si>
  <si>
    <t>Columna9045</t>
  </si>
  <si>
    <t>Columna9046</t>
  </si>
  <si>
    <t>Columna9047</t>
  </si>
  <si>
    <t>Columna9048</t>
  </si>
  <si>
    <t>Columna9049</t>
  </si>
  <si>
    <t>Columna9050</t>
  </si>
  <si>
    <t>Columna9051</t>
  </si>
  <si>
    <t>Columna9052</t>
  </si>
  <si>
    <t>Columna9053</t>
  </si>
  <si>
    <t>Columna9054</t>
  </si>
  <si>
    <t>Columna9055</t>
  </si>
  <si>
    <t>Columna9056</t>
  </si>
  <si>
    <t>Columna9057</t>
  </si>
  <si>
    <t>Columna9058</t>
  </si>
  <si>
    <t>Columna9059</t>
  </si>
  <si>
    <t>Columna9060</t>
  </si>
  <si>
    <t>Columna9061</t>
  </si>
  <si>
    <t>Columna9062</t>
  </si>
  <si>
    <t>Columna9063</t>
  </si>
  <si>
    <t>Columna9064</t>
  </si>
  <si>
    <t>Columna9065</t>
  </si>
  <si>
    <t>Columna9066</t>
  </si>
  <si>
    <t>Columna9067</t>
  </si>
  <si>
    <t>Columna9068</t>
  </si>
  <si>
    <t>Columna9069</t>
  </si>
  <si>
    <t>Columna9070</t>
  </si>
  <si>
    <t>Columna9071</t>
  </si>
  <si>
    <t>Columna9072</t>
  </si>
  <si>
    <t>Columna9073</t>
  </si>
  <si>
    <t>Columna9074</t>
  </si>
  <si>
    <t>Columna9075</t>
  </si>
  <si>
    <t>Columna9076</t>
  </si>
  <si>
    <t>Columna9077</t>
  </si>
  <si>
    <t>Columna9078</t>
  </si>
  <si>
    <t>Columna9079</t>
  </si>
  <si>
    <t>Columna9080</t>
  </si>
  <si>
    <t>Columna9081</t>
  </si>
  <si>
    <t>Columna9082</t>
  </si>
  <si>
    <t>Columna9083</t>
  </si>
  <si>
    <t>Columna9084</t>
  </si>
  <si>
    <t>Columna9085</t>
  </si>
  <si>
    <t>Columna9086</t>
  </si>
  <si>
    <t>Columna9087</t>
  </si>
  <si>
    <t>Columna9088</t>
  </si>
  <si>
    <t>Columna9089</t>
  </si>
  <si>
    <t>Columna9090</t>
  </si>
  <si>
    <t>Columna9091</t>
  </si>
  <si>
    <t>Columna9092</t>
  </si>
  <si>
    <t>Columna9093</t>
  </si>
  <si>
    <t>Columna9094</t>
  </si>
  <si>
    <t>Columna9095</t>
  </si>
  <si>
    <t>Columna9096</t>
  </si>
  <si>
    <t>Columna9097</t>
  </si>
  <si>
    <t>Columna9098</t>
  </si>
  <si>
    <t>Columna9099</t>
  </si>
  <si>
    <t>Columna9100</t>
  </si>
  <si>
    <t>Columna9101</t>
  </si>
  <si>
    <t>Columna9102</t>
  </si>
  <si>
    <t>Columna9103</t>
  </si>
  <si>
    <t>Columna9104</t>
  </si>
  <si>
    <t>Columna9105</t>
  </si>
  <si>
    <t>Columna9106</t>
  </si>
  <si>
    <t>Columna9107</t>
  </si>
  <si>
    <t>Columna9108</t>
  </si>
  <si>
    <t>Columna9109</t>
  </si>
  <si>
    <t>Columna9110</t>
  </si>
  <si>
    <t>Columna9111</t>
  </si>
  <si>
    <t>Columna9112</t>
  </si>
  <si>
    <t>Columna9113</t>
  </si>
  <si>
    <t>Columna9114</t>
  </si>
  <si>
    <t>Columna9115</t>
  </si>
  <si>
    <t>Columna9116</t>
  </si>
  <si>
    <t>Columna9117</t>
  </si>
  <si>
    <t>Columna9118</t>
  </si>
  <si>
    <t>Columna9119</t>
  </si>
  <si>
    <t>Columna9120</t>
  </si>
  <si>
    <t>Columna9121</t>
  </si>
  <si>
    <t>Columna9122</t>
  </si>
  <si>
    <t>Columna9123</t>
  </si>
  <si>
    <t>Columna9124</t>
  </si>
  <si>
    <t>Columna9125</t>
  </si>
  <si>
    <t>Columna9126</t>
  </si>
  <si>
    <t>Columna9127</t>
  </si>
  <si>
    <t>Columna9128</t>
  </si>
  <si>
    <t>Columna9129</t>
  </si>
  <si>
    <t>Columna9130</t>
  </si>
  <si>
    <t>Columna9131</t>
  </si>
  <si>
    <t>Columna9132</t>
  </si>
  <si>
    <t>Columna9133</t>
  </si>
  <si>
    <t>Columna9134</t>
  </si>
  <si>
    <t>Columna9135</t>
  </si>
  <si>
    <t>Columna9136</t>
  </si>
  <si>
    <t>Columna9137</t>
  </si>
  <si>
    <t>Columna9138</t>
  </si>
  <si>
    <t>Columna9139</t>
  </si>
  <si>
    <t>Columna9140</t>
  </si>
  <si>
    <t>Columna9141</t>
  </si>
  <si>
    <t>Columna9142</t>
  </si>
  <si>
    <t>Columna9143</t>
  </si>
  <si>
    <t>Columna9144</t>
  </si>
  <si>
    <t>Columna9145</t>
  </si>
  <si>
    <t>Columna9146</t>
  </si>
  <si>
    <t>Columna9147</t>
  </si>
  <si>
    <t>Columna9148</t>
  </si>
  <si>
    <t>Columna9149</t>
  </si>
  <si>
    <t>Columna9150</t>
  </si>
  <si>
    <t>Columna9151</t>
  </si>
  <si>
    <t>Columna9152</t>
  </si>
  <si>
    <t>Columna9153</t>
  </si>
  <si>
    <t>Columna9154</t>
  </si>
  <si>
    <t>Columna9155</t>
  </si>
  <si>
    <t>Columna9156</t>
  </si>
  <si>
    <t>Columna9157</t>
  </si>
  <si>
    <t>Columna9158</t>
  </si>
  <si>
    <t>Columna9159</t>
  </si>
  <si>
    <t>Columna9160</t>
  </si>
  <si>
    <t>Columna9161</t>
  </si>
  <si>
    <t>Columna9162</t>
  </si>
  <si>
    <t>Columna9163</t>
  </si>
  <si>
    <t>Columna9164</t>
  </si>
  <si>
    <t>Columna9165</t>
  </si>
  <si>
    <t>Columna9166</t>
  </si>
  <si>
    <t>Columna9167</t>
  </si>
  <si>
    <t>Columna9168</t>
  </si>
  <si>
    <t>Columna9169</t>
  </si>
  <si>
    <t>Columna9170</t>
  </si>
  <si>
    <t>Columna9171</t>
  </si>
  <si>
    <t>Columna9172</t>
  </si>
  <si>
    <t>Columna9173</t>
  </si>
  <si>
    <t>Columna9174</t>
  </si>
  <si>
    <t>Columna9175</t>
  </si>
  <si>
    <t>Columna9176</t>
  </si>
  <si>
    <t>Columna9177</t>
  </si>
  <si>
    <t>Columna9178</t>
  </si>
  <si>
    <t>Columna9179</t>
  </si>
  <si>
    <t>Columna9180</t>
  </si>
  <si>
    <t>Columna9181</t>
  </si>
  <si>
    <t>Columna9182</t>
  </si>
  <si>
    <t>Columna9183</t>
  </si>
  <si>
    <t>Columna9184</t>
  </si>
  <si>
    <t>Columna9185</t>
  </si>
  <si>
    <t>Columna9186</t>
  </si>
  <si>
    <t>Columna9187</t>
  </si>
  <si>
    <t>Columna9188</t>
  </si>
  <si>
    <t>Columna9189</t>
  </si>
  <si>
    <t>Columna9190</t>
  </si>
  <si>
    <t>Columna9191</t>
  </si>
  <si>
    <t>Columna9192</t>
  </si>
  <si>
    <t>Columna9193</t>
  </si>
  <si>
    <t>Columna9194</t>
  </si>
  <si>
    <t>Columna9195</t>
  </si>
  <si>
    <t>Columna9196</t>
  </si>
  <si>
    <t>Columna9197</t>
  </si>
  <si>
    <t>Columna9198</t>
  </si>
  <si>
    <t>Columna9199</t>
  </si>
  <si>
    <t>Columna9200</t>
  </si>
  <si>
    <t>Columna9201</t>
  </si>
  <si>
    <t>Columna9202</t>
  </si>
  <si>
    <t>Columna9203</t>
  </si>
  <si>
    <t>Columna9204</t>
  </si>
  <si>
    <t>Columna9205</t>
  </si>
  <si>
    <t>Columna9206</t>
  </si>
  <si>
    <t>Columna9207</t>
  </si>
  <si>
    <t>Columna9208</t>
  </si>
  <si>
    <t>Columna9209</t>
  </si>
  <si>
    <t>Columna9210</t>
  </si>
  <si>
    <t>Columna9211</t>
  </si>
  <si>
    <t>Columna9212</t>
  </si>
  <si>
    <t>Columna9213</t>
  </si>
  <si>
    <t>Columna9214</t>
  </si>
  <si>
    <t>Columna9215</t>
  </si>
  <si>
    <t>Columna9216</t>
  </si>
  <si>
    <t>Columna9217</t>
  </si>
  <si>
    <t>Columna9218</t>
  </si>
  <si>
    <t>Columna9219</t>
  </si>
  <si>
    <t>Columna9220</t>
  </si>
  <si>
    <t>Columna9221</t>
  </si>
  <si>
    <t>Columna9222</t>
  </si>
  <si>
    <t>Columna9223</t>
  </si>
  <si>
    <t>Columna9224</t>
  </si>
  <si>
    <t>Columna9225</t>
  </si>
  <si>
    <t>Columna9226</t>
  </si>
  <si>
    <t>Columna9227</t>
  </si>
  <si>
    <t>Columna9228</t>
  </si>
  <si>
    <t>Columna9229</t>
  </si>
  <si>
    <t>Columna9230</t>
  </si>
  <si>
    <t>Columna9231</t>
  </si>
  <si>
    <t>Columna9232</t>
  </si>
  <si>
    <t>Columna9233</t>
  </si>
  <si>
    <t>Columna9234</t>
  </si>
  <si>
    <t>Columna9235</t>
  </si>
  <si>
    <t>Columna9236</t>
  </si>
  <si>
    <t>Columna9237</t>
  </si>
  <si>
    <t>Columna9238</t>
  </si>
  <si>
    <t>Columna9239</t>
  </si>
  <si>
    <t>Columna9240</t>
  </si>
  <si>
    <t>Columna9241</t>
  </si>
  <si>
    <t>Columna9242</t>
  </si>
  <si>
    <t>Columna9243</t>
  </si>
  <si>
    <t>Columna9244</t>
  </si>
  <si>
    <t>Columna9245</t>
  </si>
  <si>
    <t>Columna9246</t>
  </si>
  <si>
    <t>Columna9247</t>
  </si>
  <si>
    <t>Columna9248</t>
  </si>
  <si>
    <t>Columna9249</t>
  </si>
  <si>
    <t>Columna9250</t>
  </si>
  <si>
    <t>Columna9251</t>
  </si>
  <si>
    <t>Columna9252</t>
  </si>
  <si>
    <t>Columna9253</t>
  </si>
  <si>
    <t>Columna9254</t>
  </si>
  <si>
    <t>Columna9255</t>
  </si>
  <si>
    <t>Columna9256</t>
  </si>
  <si>
    <t>Columna9257</t>
  </si>
  <si>
    <t>Columna9258</t>
  </si>
  <si>
    <t>Columna9259</t>
  </si>
  <si>
    <t>Columna9260</t>
  </si>
  <si>
    <t>Columna9261</t>
  </si>
  <si>
    <t>Columna9262</t>
  </si>
  <si>
    <t>Columna9263</t>
  </si>
  <si>
    <t>Columna9264</t>
  </si>
  <si>
    <t>Columna9265</t>
  </si>
  <si>
    <t>Columna9266</t>
  </si>
  <si>
    <t>Columna9267</t>
  </si>
  <si>
    <t>Columna9268</t>
  </si>
  <si>
    <t>Columna9269</t>
  </si>
  <si>
    <t>Columna9270</t>
  </si>
  <si>
    <t>Columna9271</t>
  </si>
  <si>
    <t>Columna9272</t>
  </si>
  <si>
    <t>Columna9273</t>
  </si>
  <si>
    <t>Columna9274</t>
  </si>
  <si>
    <t>Columna9275</t>
  </si>
  <si>
    <t>Columna9276</t>
  </si>
  <si>
    <t>Columna9277</t>
  </si>
  <si>
    <t>Columna9278</t>
  </si>
  <si>
    <t>Columna9279</t>
  </si>
  <si>
    <t>Columna9280</t>
  </si>
  <si>
    <t>Columna9281</t>
  </si>
  <si>
    <t>Columna9282</t>
  </si>
  <si>
    <t>Columna9283</t>
  </si>
  <si>
    <t>Columna9284</t>
  </si>
  <si>
    <t>Columna9285</t>
  </si>
  <si>
    <t>Columna9286</t>
  </si>
  <si>
    <t>Columna9287</t>
  </si>
  <si>
    <t>Columna9288</t>
  </si>
  <si>
    <t>Columna9289</t>
  </si>
  <si>
    <t>Columna9290</t>
  </si>
  <si>
    <t>Columna9291</t>
  </si>
  <si>
    <t>Columna9292</t>
  </si>
  <si>
    <t>Columna9293</t>
  </si>
  <si>
    <t>Columna9294</t>
  </si>
  <si>
    <t>Columna9295</t>
  </si>
  <si>
    <t>Columna9296</t>
  </si>
  <si>
    <t>Columna9297</t>
  </si>
  <si>
    <t>Columna9298</t>
  </si>
  <si>
    <t>Columna9299</t>
  </si>
  <si>
    <t>Columna9300</t>
  </si>
  <si>
    <t>Columna9301</t>
  </si>
  <si>
    <t>Columna9302</t>
  </si>
  <si>
    <t>Columna9303</t>
  </si>
  <si>
    <t>Columna9304</t>
  </si>
  <si>
    <t>Columna9305</t>
  </si>
  <si>
    <t>Columna9306</t>
  </si>
  <si>
    <t>Columna9307</t>
  </si>
  <si>
    <t>Columna9308</t>
  </si>
  <si>
    <t>Columna9309</t>
  </si>
  <si>
    <t>Columna9310</t>
  </si>
  <si>
    <t>Columna9311</t>
  </si>
  <si>
    <t>Columna9312</t>
  </si>
  <si>
    <t>Columna9313</t>
  </si>
  <si>
    <t>Columna9314</t>
  </si>
  <si>
    <t>Columna9315</t>
  </si>
  <si>
    <t>Columna9316</t>
  </si>
  <si>
    <t>Columna9317</t>
  </si>
  <si>
    <t>Columna9318</t>
  </si>
  <si>
    <t>Columna9319</t>
  </si>
  <si>
    <t>Columna9320</t>
  </si>
  <si>
    <t>Columna9321</t>
  </si>
  <si>
    <t>Columna9322</t>
  </si>
  <si>
    <t>Columna9323</t>
  </si>
  <si>
    <t>Columna9324</t>
  </si>
  <si>
    <t>Columna9325</t>
  </si>
  <si>
    <t>Columna9326</t>
  </si>
  <si>
    <t>Columna9327</t>
  </si>
  <si>
    <t>Columna9328</t>
  </si>
  <si>
    <t>Columna9329</t>
  </si>
  <si>
    <t>Columna9330</t>
  </si>
  <si>
    <t>Columna9331</t>
  </si>
  <si>
    <t>Columna9332</t>
  </si>
  <si>
    <t>Columna9333</t>
  </si>
  <si>
    <t>Columna9334</t>
  </si>
  <si>
    <t>Columna9335</t>
  </si>
  <si>
    <t>Columna9336</t>
  </si>
  <si>
    <t>Columna9337</t>
  </si>
  <si>
    <t>Columna9338</t>
  </si>
  <si>
    <t>Columna9339</t>
  </si>
  <si>
    <t>Columna9340</t>
  </si>
  <si>
    <t>Columna9341</t>
  </si>
  <si>
    <t>Columna9342</t>
  </si>
  <si>
    <t>Columna9343</t>
  </si>
  <si>
    <t>Columna9344</t>
  </si>
  <si>
    <t>Columna9345</t>
  </si>
  <si>
    <t>Columna9346</t>
  </si>
  <si>
    <t>Columna9347</t>
  </si>
  <si>
    <t>Columna9348</t>
  </si>
  <si>
    <t>Columna9349</t>
  </si>
  <si>
    <t>Columna9350</t>
  </si>
  <si>
    <t>Columna9351</t>
  </si>
  <si>
    <t>Columna9352</t>
  </si>
  <si>
    <t>Columna9353</t>
  </si>
  <si>
    <t>Columna9354</t>
  </si>
  <si>
    <t>Columna9355</t>
  </si>
  <si>
    <t>Columna9356</t>
  </si>
  <si>
    <t>Columna9357</t>
  </si>
  <si>
    <t>Columna9358</t>
  </si>
  <si>
    <t>Columna9359</t>
  </si>
  <si>
    <t>Columna9360</t>
  </si>
  <si>
    <t>Columna9361</t>
  </si>
  <si>
    <t>Columna9362</t>
  </si>
  <si>
    <t>Columna9363</t>
  </si>
  <si>
    <t>Columna9364</t>
  </si>
  <si>
    <t>Columna9365</t>
  </si>
  <si>
    <t>Columna9366</t>
  </si>
  <si>
    <t>Columna9367</t>
  </si>
  <si>
    <t>Columna9368</t>
  </si>
  <si>
    <t>Columna9369</t>
  </si>
  <si>
    <t>Columna9370</t>
  </si>
  <si>
    <t>Columna9371</t>
  </si>
  <si>
    <t>Columna9372</t>
  </si>
  <si>
    <t>Columna9373</t>
  </si>
  <si>
    <t>Columna9374</t>
  </si>
  <si>
    <t>Columna9375</t>
  </si>
  <si>
    <t>Columna9376</t>
  </si>
  <si>
    <t>Columna9377</t>
  </si>
  <si>
    <t>Columna9378</t>
  </si>
  <si>
    <t>Columna9379</t>
  </si>
  <si>
    <t>Columna9380</t>
  </si>
  <si>
    <t>Columna9381</t>
  </si>
  <si>
    <t>Columna9382</t>
  </si>
  <si>
    <t>Columna9383</t>
  </si>
  <si>
    <t>Columna9384</t>
  </si>
  <si>
    <t>Columna9385</t>
  </si>
  <si>
    <t>Columna9386</t>
  </si>
  <si>
    <t>Columna9387</t>
  </si>
  <si>
    <t>Columna9388</t>
  </si>
  <si>
    <t>Columna9389</t>
  </si>
  <si>
    <t>Columna9390</t>
  </si>
  <si>
    <t>Columna9391</t>
  </si>
  <si>
    <t>Columna9392</t>
  </si>
  <si>
    <t>Columna9393</t>
  </si>
  <si>
    <t>Columna9394</t>
  </si>
  <si>
    <t>Columna9395</t>
  </si>
  <si>
    <t>Columna9396</t>
  </si>
  <si>
    <t>Columna9397</t>
  </si>
  <si>
    <t>Columna9398</t>
  </si>
  <si>
    <t>Columna9399</t>
  </si>
  <si>
    <t>Columna9400</t>
  </si>
  <si>
    <t>Columna9401</t>
  </si>
  <si>
    <t>Columna9402</t>
  </si>
  <si>
    <t>Columna9403</t>
  </si>
  <si>
    <t>Columna9404</t>
  </si>
  <si>
    <t>Columna9405</t>
  </si>
  <si>
    <t>Columna9406</t>
  </si>
  <si>
    <t>Columna9407</t>
  </si>
  <si>
    <t>Columna9408</t>
  </si>
  <si>
    <t>Columna9409</t>
  </si>
  <si>
    <t>Columna9410</t>
  </si>
  <si>
    <t>Columna9411</t>
  </si>
  <si>
    <t>Columna9412</t>
  </si>
  <si>
    <t>Columna9413</t>
  </si>
  <si>
    <t>Columna9414</t>
  </si>
  <si>
    <t>Columna9415</t>
  </si>
  <si>
    <t>Columna9416</t>
  </si>
  <si>
    <t>Columna9417</t>
  </si>
  <si>
    <t>Columna9418</t>
  </si>
  <si>
    <t>Columna9419</t>
  </si>
  <si>
    <t>Columna9420</t>
  </si>
  <si>
    <t>Columna9421</t>
  </si>
  <si>
    <t>Columna9422</t>
  </si>
  <si>
    <t>Columna9423</t>
  </si>
  <si>
    <t>Columna9424</t>
  </si>
  <si>
    <t>Columna9425</t>
  </si>
  <si>
    <t>Columna9426</t>
  </si>
  <si>
    <t>Columna9427</t>
  </si>
  <si>
    <t>Columna9428</t>
  </si>
  <si>
    <t>Columna9429</t>
  </si>
  <si>
    <t>Columna9430</t>
  </si>
  <si>
    <t>Columna9431</t>
  </si>
  <si>
    <t>Columna9432</t>
  </si>
  <si>
    <t>Columna9433</t>
  </si>
  <si>
    <t>Columna9434</t>
  </si>
  <si>
    <t>Columna9435</t>
  </si>
  <si>
    <t>Columna9436</t>
  </si>
  <si>
    <t>Columna9437</t>
  </si>
  <si>
    <t>Columna9438</t>
  </si>
  <si>
    <t>Columna9439</t>
  </si>
  <si>
    <t>Columna9440</t>
  </si>
  <si>
    <t>Columna9441</t>
  </si>
  <si>
    <t>Columna9442</t>
  </si>
  <si>
    <t>Columna9443</t>
  </si>
  <si>
    <t>Columna9444</t>
  </si>
  <si>
    <t>Columna9445</t>
  </si>
  <si>
    <t>Columna9446</t>
  </si>
  <si>
    <t>Columna9447</t>
  </si>
  <si>
    <t>Columna9448</t>
  </si>
  <si>
    <t>Columna9449</t>
  </si>
  <si>
    <t>Columna9450</t>
  </si>
  <si>
    <t>Columna9451</t>
  </si>
  <si>
    <t>Columna9452</t>
  </si>
  <si>
    <t>Columna9453</t>
  </si>
  <si>
    <t>Columna9454</t>
  </si>
  <si>
    <t>Columna9455</t>
  </si>
  <si>
    <t>Columna9456</t>
  </si>
  <si>
    <t>Columna9457</t>
  </si>
  <si>
    <t>Columna9458</t>
  </si>
  <si>
    <t>Columna9459</t>
  </si>
  <si>
    <t>Columna9460</t>
  </si>
  <si>
    <t>Columna9461</t>
  </si>
  <si>
    <t>Columna9462</t>
  </si>
  <si>
    <t>Columna9463</t>
  </si>
  <si>
    <t>Columna9464</t>
  </si>
  <si>
    <t>Columna9465</t>
  </si>
  <si>
    <t>Columna9466</t>
  </si>
  <si>
    <t>Columna9467</t>
  </si>
  <si>
    <t>Columna9468</t>
  </si>
  <si>
    <t>Columna9469</t>
  </si>
  <si>
    <t>Columna9470</t>
  </si>
  <si>
    <t>Columna9471</t>
  </si>
  <si>
    <t>Columna9472</t>
  </si>
  <si>
    <t>Columna9473</t>
  </si>
  <si>
    <t>Columna9474</t>
  </si>
  <si>
    <t>Columna9475</t>
  </si>
  <si>
    <t>Columna9476</t>
  </si>
  <si>
    <t>Columna9477</t>
  </si>
  <si>
    <t>Columna9478</t>
  </si>
  <si>
    <t>Columna9479</t>
  </si>
  <si>
    <t>Columna9480</t>
  </si>
  <si>
    <t>Columna9481</t>
  </si>
  <si>
    <t>Columna9482</t>
  </si>
  <si>
    <t>Columna9483</t>
  </si>
  <si>
    <t>Columna9484</t>
  </si>
  <si>
    <t>Columna9485</t>
  </si>
  <si>
    <t>Columna9486</t>
  </si>
  <si>
    <t>Columna9487</t>
  </si>
  <si>
    <t>Columna9488</t>
  </si>
  <si>
    <t>Columna9489</t>
  </si>
  <si>
    <t>Columna9490</t>
  </si>
  <si>
    <t>Columna9491</t>
  </si>
  <si>
    <t>Columna9492</t>
  </si>
  <si>
    <t>Columna9493</t>
  </si>
  <si>
    <t>Columna9494</t>
  </si>
  <si>
    <t>Columna9495</t>
  </si>
  <si>
    <t>Columna9496</t>
  </si>
  <si>
    <t>Columna9497</t>
  </si>
  <si>
    <t>Columna9498</t>
  </si>
  <si>
    <t>Columna9499</t>
  </si>
  <si>
    <t>Columna9500</t>
  </si>
  <si>
    <t>Columna9501</t>
  </si>
  <si>
    <t>Columna9502</t>
  </si>
  <si>
    <t>Columna9503</t>
  </si>
  <si>
    <t>Columna9504</t>
  </si>
  <si>
    <t>Columna9505</t>
  </si>
  <si>
    <t>Columna9506</t>
  </si>
  <si>
    <t>Columna9507</t>
  </si>
  <si>
    <t>Columna9508</t>
  </si>
  <si>
    <t>Columna9509</t>
  </si>
  <si>
    <t>Columna9510</t>
  </si>
  <si>
    <t>Columna9511</t>
  </si>
  <si>
    <t>Columna9512</t>
  </si>
  <si>
    <t>Columna9513</t>
  </si>
  <si>
    <t>Columna9514</t>
  </si>
  <si>
    <t>Columna9515</t>
  </si>
  <si>
    <t>Columna9516</t>
  </si>
  <si>
    <t>Columna9517</t>
  </si>
  <si>
    <t>Columna9518</t>
  </si>
  <si>
    <t>Columna9519</t>
  </si>
  <si>
    <t>Columna9520</t>
  </si>
  <si>
    <t>Columna9521</t>
  </si>
  <si>
    <t>Columna9522</t>
  </si>
  <si>
    <t>Columna9523</t>
  </si>
  <si>
    <t>Columna9524</t>
  </si>
  <si>
    <t>Columna9525</t>
  </si>
  <si>
    <t>Columna9526</t>
  </si>
  <si>
    <t>Columna9527</t>
  </si>
  <si>
    <t>Columna9528</t>
  </si>
  <si>
    <t>Columna9529</t>
  </si>
  <si>
    <t>Columna9530</t>
  </si>
  <si>
    <t>Columna9531</t>
  </si>
  <si>
    <t>Columna9532</t>
  </si>
  <si>
    <t>Columna9533</t>
  </si>
  <si>
    <t>Columna9534</t>
  </si>
  <si>
    <t>Columna9535</t>
  </si>
  <si>
    <t>Columna9536</t>
  </si>
  <si>
    <t>Columna9537</t>
  </si>
  <si>
    <t>Columna9538</t>
  </si>
  <si>
    <t>Columna9539</t>
  </si>
  <si>
    <t>Columna9540</t>
  </si>
  <si>
    <t>Columna9541</t>
  </si>
  <si>
    <t>Columna9542</t>
  </si>
  <si>
    <t>Columna9543</t>
  </si>
  <si>
    <t>Columna9544</t>
  </si>
  <si>
    <t>Columna9545</t>
  </si>
  <si>
    <t>Columna9546</t>
  </si>
  <si>
    <t>Columna9547</t>
  </si>
  <si>
    <t>Columna9548</t>
  </si>
  <si>
    <t>Columna9549</t>
  </si>
  <si>
    <t>Columna9550</t>
  </si>
  <si>
    <t>Columna9551</t>
  </si>
  <si>
    <t>Columna9552</t>
  </si>
  <si>
    <t>Columna9553</t>
  </si>
  <si>
    <t>Columna9554</t>
  </si>
  <si>
    <t>Columna9555</t>
  </si>
  <si>
    <t>Columna9556</t>
  </si>
  <si>
    <t>Columna9557</t>
  </si>
  <si>
    <t>Columna9558</t>
  </si>
  <si>
    <t>Columna9559</t>
  </si>
  <si>
    <t>Columna9560</t>
  </si>
  <si>
    <t>Columna9561</t>
  </si>
  <si>
    <t>Columna9562</t>
  </si>
  <si>
    <t>Columna9563</t>
  </si>
  <si>
    <t>Columna9564</t>
  </si>
  <si>
    <t>Columna9565</t>
  </si>
  <si>
    <t>Columna9566</t>
  </si>
  <si>
    <t>Columna9567</t>
  </si>
  <si>
    <t>Columna9568</t>
  </si>
  <si>
    <t>Columna9569</t>
  </si>
  <si>
    <t>Columna9570</t>
  </si>
  <si>
    <t>Columna9571</t>
  </si>
  <si>
    <t>Columna9572</t>
  </si>
  <si>
    <t>Columna9573</t>
  </si>
  <si>
    <t>Columna9574</t>
  </si>
  <si>
    <t>Columna9575</t>
  </si>
  <si>
    <t>Columna9576</t>
  </si>
  <si>
    <t>Columna9577</t>
  </si>
  <si>
    <t>Columna9578</t>
  </si>
  <si>
    <t>Columna9579</t>
  </si>
  <si>
    <t>Columna9580</t>
  </si>
  <si>
    <t>Columna9581</t>
  </si>
  <si>
    <t>Columna9582</t>
  </si>
  <si>
    <t>Columna9583</t>
  </si>
  <si>
    <t>Columna9584</t>
  </si>
  <si>
    <t>Columna9585</t>
  </si>
  <si>
    <t>Columna9586</t>
  </si>
  <si>
    <t>Columna9587</t>
  </si>
  <si>
    <t>Columna9588</t>
  </si>
  <si>
    <t>Columna9589</t>
  </si>
  <si>
    <t>Columna9590</t>
  </si>
  <si>
    <t>Columna9591</t>
  </si>
  <si>
    <t>Columna9592</t>
  </si>
  <si>
    <t>Columna9593</t>
  </si>
  <si>
    <t>Columna9594</t>
  </si>
  <si>
    <t>Columna9595</t>
  </si>
  <si>
    <t>Columna9596</t>
  </si>
  <si>
    <t>Columna9597</t>
  </si>
  <si>
    <t>Columna9598</t>
  </si>
  <si>
    <t>Columna9599</t>
  </si>
  <si>
    <t>Columna9600</t>
  </si>
  <si>
    <t>Columna9601</t>
  </si>
  <si>
    <t>Columna9602</t>
  </si>
  <si>
    <t>Columna9603</t>
  </si>
  <si>
    <t>Columna9604</t>
  </si>
  <si>
    <t>Columna9605</t>
  </si>
  <si>
    <t>Columna9606</t>
  </si>
  <si>
    <t>Columna9607</t>
  </si>
  <si>
    <t>Columna9608</t>
  </si>
  <si>
    <t>Columna9609</t>
  </si>
  <si>
    <t>Columna9610</t>
  </si>
  <si>
    <t>Columna9611</t>
  </si>
  <si>
    <t>Columna9612</t>
  </si>
  <si>
    <t>Columna9613</t>
  </si>
  <si>
    <t>Columna9614</t>
  </si>
  <si>
    <t>Columna9615</t>
  </si>
  <si>
    <t>Columna9616</t>
  </si>
  <si>
    <t>Columna9617</t>
  </si>
  <si>
    <t>Columna9618</t>
  </si>
  <si>
    <t>Columna9619</t>
  </si>
  <si>
    <t>Columna9620</t>
  </si>
  <si>
    <t>Columna9621</t>
  </si>
  <si>
    <t>Columna9622</t>
  </si>
  <si>
    <t>Columna9623</t>
  </si>
  <si>
    <t>Columna9624</t>
  </si>
  <si>
    <t>Columna9625</t>
  </si>
  <si>
    <t>Columna9626</t>
  </si>
  <si>
    <t>Columna9627</t>
  </si>
  <si>
    <t>Columna9628</t>
  </si>
  <si>
    <t>Columna9629</t>
  </si>
  <si>
    <t>Columna9630</t>
  </si>
  <si>
    <t>Columna9631</t>
  </si>
  <si>
    <t>Columna9632</t>
  </si>
  <si>
    <t>Columna9633</t>
  </si>
  <si>
    <t>Columna9634</t>
  </si>
  <si>
    <t>Columna9635</t>
  </si>
  <si>
    <t>Columna9636</t>
  </si>
  <si>
    <t>Columna9637</t>
  </si>
  <si>
    <t>Columna9638</t>
  </si>
  <si>
    <t>Columna9639</t>
  </si>
  <si>
    <t>Columna9640</t>
  </si>
  <si>
    <t>Columna9641</t>
  </si>
  <si>
    <t>Columna9642</t>
  </si>
  <si>
    <t>Columna9643</t>
  </si>
  <si>
    <t>Columna9644</t>
  </si>
  <si>
    <t>Columna9645</t>
  </si>
  <si>
    <t>Columna9646</t>
  </si>
  <si>
    <t>Columna9647</t>
  </si>
  <si>
    <t>Columna9648</t>
  </si>
  <si>
    <t>Columna9649</t>
  </si>
  <si>
    <t>Columna9650</t>
  </si>
  <si>
    <t>Columna9651</t>
  </si>
  <si>
    <t>Columna9652</t>
  </si>
  <si>
    <t>Columna9653</t>
  </si>
  <si>
    <t>Columna9654</t>
  </si>
  <si>
    <t>Columna9655</t>
  </si>
  <si>
    <t>Columna9656</t>
  </si>
  <si>
    <t>Columna9657</t>
  </si>
  <si>
    <t>Columna9658</t>
  </si>
  <si>
    <t>Columna9659</t>
  </si>
  <si>
    <t>Columna9660</t>
  </si>
  <si>
    <t>Columna9661</t>
  </si>
  <si>
    <t>Columna9662</t>
  </si>
  <si>
    <t>Columna9663</t>
  </si>
  <si>
    <t>Columna9664</t>
  </si>
  <si>
    <t>Columna9665</t>
  </si>
  <si>
    <t>Columna9666</t>
  </si>
  <si>
    <t>Columna9667</t>
  </si>
  <si>
    <t>Columna9668</t>
  </si>
  <si>
    <t>Columna9669</t>
  </si>
  <si>
    <t>Columna9670</t>
  </si>
  <si>
    <t>Columna9671</t>
  </si>
  <si>
    <t>Columna9672</t>
  </si>
  <si>
    <t>Columna9673</t>
  </si>
  <si>
    <t>Columna9674</t>
  </si>
  <si>
    <t>Columna9675</t>
  </si>
  <si>
    <t>Columna9676</t>
  </si>
  <si>
    <t>Columna9677</t>
  </si>
  <si>
    <t>Columna9678</t>
  </si>
  <si>
    <t>Columna9679</t>
  </si>
  <si>
    <t>Columna9680</t>
  </si>
  <si>
    <t>Columna9681</t>
  </si>
  <si>
    <t>Columna9682</t>
  </si>
  <si>
    <t>Columna9683</t>
  </si>
  <si>
    <t>Columna9684</t>
  </si>
  <si>
    <t>Columna9685</t>
  </si>
  <si>
    <t>Columna9686</t>
  </si>
  <si>
    <t>Columna9687</t>
  </si>
  <si>
    <t>Columna9688</t>
  </si>
  <si>
    <t>Columna9689</t>
  </si>
  <si>
    <t>Columna9690</t>
  </si>
  <si>
    <t>Columna9691</t>
  </si>
  <si>
    <t>Columna9692</t>
  </si>
  <si>
    <t>Columna9693</t>
  </si>
  <si>
    <t>Columna9694</t>
  </si>
  <si>
    <t>Columna9695</t>
  </si>
  <si>
    <t>Columna9696</t>
  </si>
  <si>
    <t>Columna9697</t>
  </si>
  <si>
    <t>Columna9698</t>
  </si>
  <si>
    <t>Columna9699</t>
  </si>
  <si>
    <t>Columna9700</t>
  </si>
  <si>
    <t>Columna9701</t>
  </si>
  <si>
    <t>Columna9702</t>
  </si>
  <si>
    <t>Columna9703</t>
  </si>
  <si>
    <t>Columna9704</t>
  </si>
  <si>
    <t>Columna9705</t>
  </si>
  <si>
    <t>Columna9706</t>
  </si>
  <si>
    <t>Columna9707</t>
  </si>
  <si>
    <t>Columna9708</t>
  </si>
  <si>
    <t>Columna9709</t>
  </si>
  <si>
    <t>Columna9710</t>
  </si>
  <si>
    <t>Columna9711</t>
  </si>
  <si>
    <t>Columna9712</t>
  </si>
  <si>
    <t>Columna9713</t>
  </si>
  <si>
    <t>Columna9714</t>
  </si>
  <si>
    <t>Columna9715</t>
  </si>
  <si>
    <t>Columna9716</t>
  </si>
  <si>
    <t>Columna9717</t>
  </si>
  <si>
    <t>Columna9718</t>
  </si>
  <si>
    <t>Columna9719</t>
  </si>
  <si>
    <t>Columna9720</t>
  </si>
  <si>
    <t>Columna9721</t>
  </si>
  <si>
    <t>Columna9722</t>
  </si>
  <si>
    <t>Columna9723</t>
  </si>
  <si>
    <t>Columna9724</t>
  </si>
  <si>
    <t>Columna9725</t>
  </si>
  <si>
    <t>Columna9726</t>
  </si>
  <si>
    <t>Columna9727</t>
  </si>
  <si>
    <t>Columna9728</t>
  </si>
  <si>
    <t>Columna9729</t>
  </si>
  <si>
    <t>Columna9730</t>
  </si>
  <si>
    <t>Columna9731</t>
  </si>
  <si>
    <t>Columna9732</t>
  </si>
  <si>
    <t>Columna9733</t>
  </si>
  <si>
    <t>Columna9734</t>
  </si>
  <si>
    <t>Columna9735</t>
  </si>
  <si>
    <t>Columna9736</t>
  </si>
  <si>
    <t>Columna9737</t>
  </si>
  <si>
    <t>Columna9738</t>
  </si>
  <si>
    <t>Columna9739</t>
  </si>
  <si>
    <t>Columna9740</t>
  </si>
  <si>
    <t>Columna9741</t>
  </si>
  <si>
    <t>Columna9742</t>
  </si>
  <si>
    <t>Columna9743</t>
  </si>
  <si>
    <t>Columna9744</t>
  </si>
  <si>
    <t>Columna9745</t>
  </si>
  <si>
    <t>Columna9746</t>
  </si>
  <si>
    <t>Columna9747</t>
  </si>
  <si>
    <t>Columna9748</t>
  </si>
  <si>
    <t>Columna9749</t>
  </si>
  <si>
    <t>Columna9750</t>
  </si>
  <si>
    <t>Columna9751</t>
  </si>
  <si>
    <t>Columna9752</t>
  </si>
  <si>
    <t>Columna9753</t>
  </si>
  <si>
    <t>Columna9754</t>
  </si>
  <si>
    <t>Columna9755</t>
  </si>
  <si>
    <t>Columna9756</t>
  </si>
  <si>
    <t>Columna9757</t>
  </si>
  <si>
    <t>Columna9758</t>
  </si>
  <si>
    <t>Columna9759</t>
  </si>
  <si>
    <t>Columna9760</t>
  </si>
  <si>
    <t>Columna9761</t>
  </si>
  <si>
    <t>Columna9762</t>
  </si>
  <si>
    <t>Columna9763</t>
  </si>
  <si>
    <t>Columna9764</t>
  </si>
  <si>
    <t>Columna9765</t>
  </si>
  <si>
    <t>Columna9766</t>
  </si>
  <si>
    <t>Columna9767</t>
  </si>
  <si>
    <t>Columna9768</t>
  </si>
  <si>
    <t>Columna9769</t>
  </si>
  <si>
    <t>Columna9770</t>
  </si>
  <si>
    <t>Columna9771</t>
  </si>
  <si>
    <t>Columna9772</t>
  </si>
  <si>
    <t>Columna9773</t>
  </si>
  <si>
    <t>Columna9774</t>
  </si>
  <si>
    <t>Columna9775</t>
  </si>
  <si>
    <t>Columna9776</t>
  </si>
  <si>
    <t>Columna9777</t>
  </si>
  <si>
    <t>Columna9778</t>
  </si>
  <si>
    <t>Columna9779</t>
  </si>
  <si>
    <t>Columna9780</t>
  </si>
  <si>
    <t>Columna9781</t>
  </si>
  <si>
    <t>Columna9782</t>
  </si>
  <si>
    <t>Columna9783</t>
  </si>
  <si>
    <t>Columna9784</t>
  </si>
  <si>
    <t>Columna9785</t>
  </si>
  <si>
    <t>Columna9786</t>
  </si>
  <si>
    <t>Columna9787</t>
  </si>
  <si>
    <t>Columna9788</t>
  </si>
  <si>
    <t>Columna9789</t>
  </si>
  <si>
    <t>Columna9790</t>
  </si>
  <si>
    <t>Columna9791</t>
  </si>
  <si>
    <t>Columna9792</t>
  </si>
  <si>
    <t>Columna9793</t>
  </si>
  <si>
    <t>Columna9794</t>
  </si>
  <si>
    <t>Columna9795</t>
  </si>
  <si>
    <t>Columna9796</t>
  </si>
  <si>
    <t>Columna9797</t>
  </si>
  <si>
    <t>Columna9798</t>
  </si>
  <si>
    <t>Columna9799</t>
  </si>
  <si>
    <t>Columna9800</t>
  </si>
  <si>
    <t>Columna9801</t>
  </si>
  <si>
    <t>Columna9802</t>
  </si>
  <si>
    <t>Columna9803</t>
  </si>
  <si>
    <t>Columna9804</t>
  </si>
  <si>
    <t>Columna9805</t>
  </si>
  <si>
    <t>Columna9806</t>
  </si>
  <si>
    <t>Columna9807</t>
  </si>
  <si>
    <t>Columna9808</t>
  </si>
  <si>
    <t>Columna9809</t>
  </si>
  <si>
    <t>Columna9810</t>
  </si>
  <si>
    <t>Columna9811</t>
  </si>
  <si>
    <t>Columna9812</t>
  </si>
  <si>
    <t>Columna9813</t>
  </si>
  <si>
    <t>Columna9814</t>
  </si>
  <si>
    <t>Columna9815</t>
  </si>
  <si>
    <t>Columna9816</t>
  </si>
  <si>
    <t>Columna9817</t>
  </si>
  <si>
    <t>Columna9818</t>
  </si>
  <si>
    <t>Columna9819</t>
  </si>
  <si>
    <t>Columna9820</t>
  </si>
  <si>
    <t>Columna9821</t>
  </si>
  <si>
    <t>Columna9822</t>
  </si>
  <si>
    <t>Columna9823</t>
  </si>
  <si>
    <t>Columna9824</t>
  </si>
  <si>
    <t>Columna9825</t>
  </si>
  <si>
    <t>Columna9826</t>
  </si>
  <si>
    <t>Columna9827</t>
  </si>
  <si>
    <t>Columna9828</t>
  </si>
  <si>
    <t>Columna9829</t>
  </si>
  <si>
    <t>Columna9830</t>
  </si>
  <si>
    <t>Columna9831</t>
  </si>
  <si>
    <t>Columna9832</t>
  </si>
  <si>
    <t>Columna9833</t>
  </si>
  <si>
    <t>Columna9834</t>
  </si>
  <si>
    <t>Columna9835</t>
  </si>
  <si>
    <t>Columna9836</t>
  </si>
  <si>
    <t>Columna9837</t>
  </si>
  <si>
    <t>Columna9838</t>
  </si>
  <si>
    <t>Columna9839</t>
  </si>
  <si>
    <t>Columna9840</t>
  </si>
  <si>
    <t>Columna9841</t>
  </si>
  <si>
    <t>Columna9842</t>
  </si>
  <si>
    <t>Columna9843</t>
  </si>
  <si>
    <t>Columna9844</t>
  </si>
  <si>
    <t>Columna9845</t>
  </si>
  <si>
    <t>Columna9846</t>
  </si>
  <si>
    <t>Columna9847</t>
  </si>
  <si>
    <t>Columna9848</t>
  </si>
  <si>
    <t>Columna9849</t>
  </si>
  <si>
    <t>Columna9850</t>
  </si>
  <si>
    <t>Columna9851</t>
  </si>
  <si>
    <t>Columna9852</t>
  </si>
  <si>
    <t>Columna9853</t>
  </si>
  <si>
    <t>Columna9854</t>
  </si>
  <si>
    <t>Columna9855</t>
  </si>
  <si>
    <t>Columna9856</t>
  </si>
  <si>
    <t>Columna9857</t>
  </si>
  <si>
    <t>Columna9858</t>
  </si>
  <si>
    <t>Columna9859</t>
  </si>
  <si>
    <t>Columna9860</t>
  </si>
  <si>
    <t>Columna9861</t>
  </si>
  <si>
    <t>Columna9862</t>
  </si>
  <si>
    <t>Columna9863</t>
  </si>
  <si>
    <t>Columna9864</t>
  </si>
  <si>
    <t>Columna9865</t>
  </si>
  <si>
    <t>Columna9866</t>
  </si>
  <si>
    <t>Columna9867</t>
  </si>
  <si>
    <t>Columna9868</t>
  </si>
  <si>
    <t>Columna9869</t>
  </si>
  <si>
    <t>Columna9870</t>
  </si>
  <si>
    <t>Columna9871</t>
  </si>
  <si>
    <t>Columna9872</t>
  </si>
  <si>
    <t>Columna9873</t>
  </si>
  <si>
    <t>Columna9874</t>
  </si>
  <si>
    <t>Columna9875</t>
  </si>
  <si>
    <t>Columna9876</t>
  </si>
  <si>
    <t>Columna9877</t>
  </si>
  <si>
    <t>Columna9878</t>
  </si>
  <si>
    <t>Columna9879</t>
  </si>
  <si>
    <t>Columna9880</t>
  </si>
  <si>
    <t>Columna9881</t>
  </si>
  <si>
    <t>Columna9882</t>
  </si>
  <si>
    <t>Columna9883</t>
  </si>
  <si>
    <t>Columna9884</t>
  </si>
  <si>
    <t>Columna9885</t>
  </si>
  <si>
    <t>Columna9886</t>
  </si>
  <si>
    <t>Columna9887</t>
  </si>
  <si>
    <t>Columna9888</t>
  </si>
  <si>
    <t>Columna9889</t>
  </si>
  <si>
    <t>Columna9890</t>
  </si>
  <si>
    <t>Columna9891</t>
  </si>
  <si>
    <t>Columna9892</t>
  </si>
  <si>
    <t>Columna9893</t>
  </si>
  <si>
    <t>Columna9894</t>
  </si>
  <si>
    <t>Columna9895</t>
  </si>
  <si>
    <t>Columna9896</t>
  </si>
  <si>
    <t>Columna9897</t>
  </si>
  <si>
    <t>Columna9898</t>
  </si>
  <si>
    <t>Columna9899</t>
  </si>
  <si>
    <t>Columna9900</t>
  </si>
  <si>
    <t>Columna9901</t>
  </si>
  <si>
    <t>Columna9902</t>
  </si>
  <si>
    <t>Columna9903</t>
  </si>
  <si>
    <t>Columna9904</t>
  </si>
  <si>
    <t>Columna9905</t>
  </si>
  <si>
    <t>Columna9906</t>
  </si>
  <si>
    <t>Columna9907</t>
  </si>
  <si>
    <t>Columna9908</t>
  </si>
  <si>
    <t>Columna9909</t>
  </si>
  <si>
    <t>Columna9910</t>
  </si>
  <si>
    <t>Columna9911</t>
  </si>
  <si>
    <t>Columna9912</t>
  </si>
  <si>
    <t>Columna9913</t>
  </si>
  <si>
    <t>Columna9914</t>
  </si>
  <si>
    <t>Columna9915</t>
  </si>
  <si>
    <t>Columna9916</t>
  </si>
  <si>
    <t>Columna9917</t>
  </si>
  <si>
    <t>Columna9918</t>
  </si>
  <si>
    <t>Columna9919</t>
  </si>
  <si>
    <t>Columna9920</t>
  </si>
  <si>
    <t>Columna9921</t>
  </si>
  <si>
    <t>Columna9922</t>
  </si>
  <si>
    <t>Columna9923</t>
  </si>
  <si>
    <t>Columna9924</t>
  </si>
  <si>
    <t>Columna9925</t>
  </si>
  <si>
    <t>Columna9926</t>
  </si>
  <si>
    <t>Columna9927</t>
  </si>
  <si>
    <t>Columna9928</t>
  </si>
  <si>
    <t>Columna9929</t>
  </si>
  <si>
    <t>Columna9930</t>
  </si>
  <si>
    <t>Columna9931</t>
  </si>
  <si>
    <t>Columna9932</t>
  </si>
  <si>
    <t>Columna9933</t>
  </si>
  <si>
    <t>Columna9934</t>
  </si>
  <si>
    <t>Columna9935</t>
  </si>
  <si>
    <t>Columna9936</t>
  </si>
  <si>
    <t>Columna9937</t>
  </si>
  <si>
    <t>Columna9938</t>
  </si>
  <si>
    <t>Columna9939</t>
  </si>
  <si>
    <t>Columna9940</t>
  </si>
  <si>
    <t>Columna9941</t>
  </si>
  <si>
    <t>Columna9942</t>
  </si>
  <si>
    <t>Columna9943</t>
  </si>
  <si>
    <t>Columna9944</t>
  </si>
  <si>
    <t>Columna9945</t>
  </si>
  <si>
    <t>Columna9946</t>
  </si>
  <si>
    <t>Columna9947</t>
  </si>
  <si>
    <t>Columna9948</t>
  </si>
  <si>
    <t>Columna9949</t>
  </si>
  <si>
    <t>Columna9950</t>
  </si>
  <si>
    <t>Columna9951</t>
  </si>
  <si>
    <t>Columna9952</t>
  </si>
  <si>
    <t>Columna9953</t>
  </si>
  <si>
    <t>Columna9954</t>
  </si>
  <si>
    <t>Columna9955</t>
  </si>
  <si>
    <t>Columna9956</t>
  </si>
  <si>
    <t>Columna9957</t>
  </si>
  <si>
    <t>Columna9958</t>
  </si>
  <si>
    <t>Columna9959</t>
  </si>
  <si>
    <t>Columna9960</t>
  </si>
  <si>
    <t>Columna9961</t>
  </si>
  <si>
    <t>Columna9962</t>
  </si>
  <si>
    <t>Columna9963</t>
  </si>
  <si>
    <t>Columna9964</t>
  </si>
  <si>
    <t>Columna9965</t>
  </si>
  <si>
    <t>Columna9966</t>
  </si>
  <si>
    <t>Columna9967</t>
  </si>
  <si>
    <t>Columna9968</t>
  </si>
  <si>
    <t>Columna9969</t>
  </si>
  <si>
    <t>Columna9970</t>
  </si>
  <si>
    <t>Columna9971</t>
  </si>
  <si>
    <t>Columna9972</t>
  </si>
  <si>
    <t>Columna9973</t>
  </si>
  <si>
    <t>Columna9974</t>
  </si>
  <si>
    <t>Columna9975</t>
  </si>
  <si>
    <t>Columna9976</t>
  </si>
  <si>
    <t>Columna9977</t>
  </si>
  <si>
    <t>Columna9978</t>
  </si>
  <si>
    <t>Columna9979</t>
  </si>
  <si>
    <t>Columna9980</t>
  </si>
  <si>
    <t>Columna9981</t>
  </si>
  <si>
    <t>Columna9982</t>
  </si>
  <si>
    <t>Columna9983</t>
  </si>
  <si>
    <t>Columna9984</t>
  </si>
  <si>
    <t>Columna9985</t>
  </si>
  <si>
    <t>Columna9986</t>
  </si>
  <si>
    <t>Columna9987</t>
  </si>
  <si>
    <t>Columna9988</t>
  </si>
  <si>
    <t>Columna9989</t>
  </si>
  <si>
    <t>Columna9990</t>
  </si>
  <si>
    <t>Columna9991</t>
  </si>
  <si>
    <t>Columna9992</t>
  </si>
  <si>
    <t>Columna9993</t>
  </si>
  <si>
    <t>Columna9994</t>
  </si>
  <si>
    <t>Columna9995</t>
  </si>
  <si>
    <t>Columna9996</t>
  </si>
  <si>
    <t>Columna9997</t>
  </si>
  <si>
    <t>Columna9998</t>
  </si>
  <si>
    <t>Columna9999</t>
  </si>
  <si>
    <t>Columna10000</t>
  </si>
  <si>
    <t>Columna10001</t>
  </si>
  <si>
    <t>Columna10002</t>
  </si>
  <si>
    <t>Columna10003</t>
  </si>
  <si>
    <t>Columna10004</t>
  </si>
  <si>
    <t>Columna10005</t>
  </si>
  <si>
    <t>Columna10006</t>
  </si>
  <si>
    <t>Columna10007</t>
  </si>
  <si>
    <t>Columna10008</t>
  </si>
  <si>
    <t>Columna10009</t>
  </si>
  <si>
    <t>Columna10010</t>
  </si>
  <si>
    <t>Columna10011</t>
  </si>
  <si>
    <t>Columna10012</t>
  </si>
  <si>
    <t>Columna10013</t>
  </si>
  <si>
    <t>Columna10014</t>
  </si>
  <si>
    <t>Columna10015</t>
  </si>
  <si>
    <t>Columna10016</t>
  </si>
  <si>
    <t>Columna10017</t>
  </si>
  <si>
    <t>Columna10018</t>
  </si>
  <si>
    <t>Columna10019</t>
  </si>
  <si>
    <t>Columna10020</t>
  </si>
  <si>
    <t>Columna10021</t>
  </si>
  <si>
    <t>Columna10022</t>
  </si>
  <si>
    <t>Columna10023</t>
  </si>
  <si>
    <t>Columna10024</t>
  </si>
  <si>
    <t>Columna10025</t>
  </si>
  <si>
    <t>Columna10026</t>
  </si>
  <si>
    <t>Columna10027</t>
  </si>
  <si>
    <t>Columna10028</t>
  </si>
  <si>
    <t>Columna10029</t>
  </si>
  <si>
    <t>Columna10030</t>
  </si>
  <si>
    <t>Columna10031</t>
  </si>
  <si>
    <t>Columna10032</t>
  </si>
  <si>
    <t>Columna10033</t>
  </si>
  <si>
    <t>Columna10034</t>
  </si>
  <si>
    <t>Columna10035</t>
  </si>
  <si>
    <t>Columna10036</t>
  </si>
  <si>
    <t>Columna10037</t>
  </si>
  <si>
    <t>Columna10038</t>
  </si>
  <si>
    <t>Columna10039</t>
  </si>
  <si>
    <t>Columna10040</t>
  </si>
  <si>
    <t>Columna10041</t>
  </si>
  <si>
    <t>Columna10042</t>
  </si>
  <si>
    <t>Columna10043</t>
  </si>
  <si>
    <t>Columna10044</t>
  </si>
  <si>
    <t>Columna10045</t>
  </si>
  <si>
    <t>Columna10046</t>
  </si>
  <si>
    <t>Columna10047</t>
  </si>
  <si>
    <t>Columna10048</t>
  </si>
  <si>
    <t>Columna10049</t>
  </si>
  <si>
    <t>Columna10050</t>
  </si>
  <si>
    <t>Columna10051</t>
  </si>
  <si>
    <t>Columna10052</t>
  </si>
  <si>
    <t>Columna10053</t>
  </si>
  <si>
    <t>Columna10054</t>
  </si>
  <si>
    <t>Columna10055</t>
  </si>
  <si>
    <t>Columna10056</t>
  </si>
  <si>
    <t>Columna10057</t>
  </si>
  <si>
    <t>Columna10058</t>
  </si>
  <si>
    <t>Columna10059</t>
  </si>
  <si>
    <t>Columna10060</t>
  </si>
  <si>
    <t>Columna10061</t>
  </si>
  <si>
    <t>Columna10062</t>
  </si>
  <si>
    <t>Columna10063</t>
  </si>
  <si>
    <t>Columna10064</t>
  </si>
  <si>
    <t>Columna10065</t>
  </si>
  <si>
    <t>Columna10066</t>
  </si>
  <si>
    <t>Columna10067</t>
  </si>
  <si>
    <t>Columna10068</t>
  </si>
  <si>
    <t>Columna10069</t>
  </si>
  <si>
    <t>Columna10070</t>
  </si>
  <si>
    <t>Columna10071</t>
  </si>
  <si>
    <t>Columna10072</t>
  </si>
  <si>
    <t>Columna10073</t>
  </si>
  <si>
    <t>Columna10074</t>
  </si>
  <si>
    <t>Columna10075</t>
  </si>
  <si>
    <t>Columna10076</t>
  </si>
  <si>
    <t>Columna10077</t>
  </si>
  <si>
    <t>Columna10078</t>
  </si>
  <si>
    <t>Columna10079</t>
  </si>
  <si>
    <t>Columna10080</t>
  </si>
  <si>
    <t>Columna10081</t>
  </si>
  <si>
    <t>Columna10082</t>
  </si>
  <si>
    <t>Columna10083</t>
  </si>
  <si>
    <t>Columna10084</t>
  </si>
  <si>
    <t>Columna10085</t>
  </si>
  <si>
    <t>Columna10086</t>
  </si>
  <si>
    <t>Columna10087</t>
  </si>
  <si>
    <t>Columna10088</t>
  </si>
  <si>
    <t>Columna10089</t>
  </si>
  <si>
    <t>Columna10090</t>
  </si>
  <si>
    <t>Columna10091</t>
  </si>
  <si>
    <t>Columna10092</t>
  </si>
  <si>
    <t>Columna10093</t>
  </si>
  <si>
    <t>Columna10094</t>
  </si>
  <si>
    <t>Columna10095</t>
  </si>
  <si>
    <t>Columna10096</t>
  </si>
  <si>
    <t>Columna10097</t>
  </si>
  <si>
    <t>Columna10098</t>
  </si>
  <si>
    <t>Columna10099</t>
  </si>
  <si>
    <t>Columna10100</t>
  </si>
  <si>
    <t>Columna10101</t>
  </si>
  <si>
    <t>Columna10102</t>
  </si>
  <si>
    <t>Columna10103</t>
  </si>
  <si>
    <t>Columna10104</t>
  </si>
  <si>
    <t>Columna10105</t>
  </si>
  <si>
    <t>Columna10106</t>
  </si>
  <si>
    <t>Columna10107</t>
  </si>
  <si>
    <t>Columna10108</t>
  </si>
  <si>
    <t>Columna10109</t>
  </si>
  <si>
    <t>Columna10110</t>
  </si>
  <si>
    <t>Columna10111</t>
  </si>
  <si>
    <t>Columna10112</t>
  </si>
  <si>
    <t>Columna10113</t>
  </si>
  <si>
    <t>Columna10114</t>
  </si>
  <si>
    <t>Columna10115</t>
  </si>
  <si>
    <t>Columna10116</t>
  </si>
  <si>
    <t>Columna10117</t>
  </si>
  <si>
    <t>Columna10118</t>
  </si>
  <si>
    <t>Columna10119</t>
  </si>
  <si>
    <t>Columna10120</t>
  </si>
  <si>
    <t>Columna10121</t>
  </si>
  <si>
    <t>Columna10122</t>
  </si>
  <si>
    <t>Columna10123</t>
  </si>
  <si>
    <t>Columna10124</t>
  </si>
  <si>
    <t>Columna10125</t>
  </si>
  <si>
    <t>Columna10126</t>
  </si>
  <si>
    <t>Columna10127</t>
  </si>
  <si>
    <t>Columna10128</t>
  </si>
  <si>
    <t>Columna10129</t>
  </si>
  <si>
    <t>Columna10130</t>
  </si>
  <si>
    <t>Columna10131</t>
  </si>
  <si>
    <t>Columna10132</t>
  </si>
  <si>
    <t>Columna10133</t>
  </si>
  <si>
    <t>Columna10134</t>
  </si>
  <si>
    <t>Columna10135</t>
  </si>
  <si>
    <t>Columna10136</t>
  </si>
  <si>
    <t>Columna10137</t>
  </si>
  <si>
    <t>Columna10138</t>
  </si>
  <si>
    <t>Columna10139</t>
  </si>
  <si>
    <t>Columna10140</t>
  </si>
  <si>
    <t>Columna10141</t>
  </si>
  <si>
    <t>Columna10142</t>
  </si>
  <si>
    <t>Columna10143</t>
  </si>
  <si>
    <t>Columna10144</t>
  </si>
  <si>
    <t>Columna10145</t>
  </si>
  <si>
    <t>Columna10146</t>
  </si>
  <si>
    <t>Columna10147</t>
  </si>
  <si>
    <t>Columna10148</t>
  </si>
  <si>
    <t>Columna10149</t>
  </si>
  <si>
    <t>Columna10150</t>
  </si>
  <si>
    <t>Columna10151</t>
  </si>
  <si>
    <t>Columna10152</t>
  </si>
  <si>
    <t>Columna10153</t>
  </si>
  <si>
    <t>Columna10154</t>
  </si>
  <si>
    <t>Columna10155</t>
  </si>
  <si>
    <t>Columna10156</t>
  </si>
  <si>
    <t>Columna10157</t>
  </si>
  <si>
    <t>Columna10158</t>
  </si>
  <si>
    <t>Columna10159</t>
  </si>
  <si>
    <t>Columna10160</t>
  </si>
  <si>
    <t>Columna10161</t>
  </si>
  <si>
    <t>Columna10162</t>
  </si>
  <si>
    <t>Columna10163</t>
  </si>
  <si>
    <t>Columna10164</t>
  </si>
  <si>
    <t>Columna10165</t>
  </si>
  <si>
    <t>Columna10166</t>
  </si>
  <si>
    <t>Columna10167</t>
  </si>
  <si>
    <t>Columna10168</t>
  </si>
  <si>
    <t>Columna10169</t>
  </si>
  <si>
    <t>Columna10170</t>
  </si>
  <si>
    <t>Columna10171</t>
  </si>
  <si>
    <t>Columna10172</t>
  </si>
  <si>
    <t>Columna10173</t>
  </si>
  <si>
    <t>Columna10174</t>
  </si>
  <si>
    <t>Columna10175</t>
  </si>
  <si>
    <t>Columna10176</t>
  </si>
  <si>
    <t>Columna10177</t>
  </si>
  <si>
    <t>Columna10178</t>
  </si>
  <si>
    <t>Columna10179</t>
  </si>
  <si>
    <t>Columna10180</t>
  </si>
  <si>
    <t>Columna10181</t>
  </si>
  <si>
    <t>Columna10182</t>
  </si>
  <si>
    <t>Columna10183</t>
  </si>
  <si>
    <t>Columna10184</t>
  </si>
  <si>
    <t>Columna10185</t>
  </si>
  <si>
    <t>Columna10186</t>
  </si>
  <si>
    <t>Columna10187</t>
  </si>
  <si>
    <t>Columna10188</t>
  </si>
  <si>
    <t>Columna10189</t>
  </si>
  <si>
    <t>Columna10190</t>
  </si>
  <si>
    <t>Columna10191</t>
  </si>
  <si>
    <t>Columna10192</t>
  </si>
  <si>
    <t>Columna10193</t>
  </si>
  <si>
    <t>Columna10194</t>
  </si>
  <si>
    <t>Columna10195</t>
  </si>
  <si>
    <t>Columna10196</t>
  </si>
  <si>
    <t>Columna10197</t>
  </si>
  <si>
    <t>Columna10198</t>
  </si>
  <si>
    <t>Columna10199</t>
  </si>
  <si>
    <t>Columna10200</t>
  </si>
  <si>
    <t>Columna10201</t>
  </si>
  <si>
    <t>Columna10202</t>
  </si>
  <si>
    <t>Columna10203</t>
  </si>
  <si>
    <t>Columna10204</t>
  </si>
  <si>
    <t>Columna10205</t>
  </si>
  <si>
    <t>Columna10206</t>
  </si>
  <si>
    <t>Columna10207</t>
  </si>
  <si>
    <t>Columna10208</t>
  </si>
  <si>
    <t>Columna10209</t>
  </si>
  <si>
    <t>Columna10210</t>
  </si>
  <si>
    <t>Columna10211</t>
  </si>
  <si>
    <t>Columna10212</t>
  </si>
  <si>
    <t>Columna10213</t>
  </si>
  <si>
    <t>Columna10214</t>
  </si>
  <si>
    <t>Columna10215</t>
  </si>
  <si>
    <t>Columna10216</t>
  </si>
  <si>
    <t>Columna10217</t>
  </si>
  <si>
    <t>Columna10218</t>
  </si>
  <si>
    <t>Columna10219</t>
  </si>
  <si>
    <t>Columna10220</t>
  </si>
  <si>
    <t>Columna10221</t>
  </si>
  <si>
    <t>Columna10222</t>
  </si>
  <si>
    <t>Columna10223</t>
  </si>
  <si>
    <t>Columna10224</t>
  </si>
  <si>
    <t>Columna10225</t>
  </si>
  <si>
    <t>Columna10226</t>
  </si>
  <si>
    <t>Columna10227</t>
  </si>
  <si>
    <t>Columna10228</t>
  </si>
  <si>
    <t>Columna10229</t>
  </si>
  <si>
    <t>Columna10230</t>
  </si>
  <si>
    <t>Columna10231</t>
  </si>
  <si>
    <t>Columna10232</t>
  </si>
  <si>
    <t>Columna10233</t>
  </si>
  <si>
    <t>Columna10234</t>
  </si>
  <si>
    <t>Columna10235</t>
  </si>
  <si>
    <t>Columna10236</t>
  </si>
  <si>
    <t>Columna10237</t>
  </si>
  <si>
    <t>Columna10238</t>
  </si>
  <si>
    <t>Columna10239</t>
  </si>
  <si>
    <t>Columna10240</t>
  </si>
  <si>
    <t>Columna10241</t>
  </si>
  <si>
    <t>Columna10242</t>
  </si>
  <si>
    <t>Columna10243</t>
  </si>
  <si>
    <t>Columna10244</t>
  </si>
  <si>
    <t>Columna10245</t>
  </si>
  <si>
    <t>Columna10246</t>
  </si>
  <si>
    <t>Columna10247</t>
  </si>
  <si>
    <t>Columna10248</t>
  </si>
  <si>
    <t>Columna10249</t>
  </si>
  <si>
    <t>Columna10250</t>
  </si>
  <si>
    <t>Columna10251</t>
  </si>
  <si>
    <t>Columna10252</t>
  </si>
  <si>
    <t>Columna10253</t>
  </si>
  <si>
    <t>Columna10254</t>
  </si>
  <si>
    <t>Columna10255</t>
  </si>
  <si>
    <t>Columna10256</t>
  </si>
  <si>
    <t>Columna10257</t>
  </si>
  <si>
    <t>Columna10258</t>
  </si>
  <si>
    <t>Columna10259</t>
  </si>
  <si>
    <t>Columna10260</t>
  </si>
  <si>
    <t>Columna10261</t>
  </si>
  <si>
    <t>Columna10262</t>
  </si>
  <si>
    <t>Columna10263</t>
  </si>
  <si>
    <t>Columna10264</t>
  </si>
  <si>
    <t>Columna10265</t>
  </si>
  <si>
    <t>Columna10266</t>
  </si>
  <si>
    <t>Columna10267</t>
  </si>
  <si>
    <t>Columna10268</t>
  </si>
  <si>
    <t>Columna10269</t>
  </si>
  <si>
    <t>Columna10270</t>
  </si>
  <si>
    <t>Columna10271</t>
  </si>
  <si>
    <t>Columna10272</t>
  </si>
  <si>
    <t>Columna10273</t>
  </si>
  <si>
    <t>Columna10274</t>
  </si>
  <si>
    <t>Columna10275</t>
  </si>
  <si>
    <t>Columna10276</t>
  </si>
  <si>
    <t>Columna10277</t>
  </si>
  <si>
    <t>Columna10278</t>
  </si>
  <si>
    <t>Columna10279</t>
  </si>
  <si>
    <t>Columna10280</t>
  </si>
  <si>
    <t>Columna10281</t>
  </si>
  <si>
    <t>Columna10282</t>
  </si>
  <si>
    <t>Columna10283</t>
  </si>
  <si>
    <t>Columna10284</t>
  </si>
  <si>
    <t>Columna10285</t>
  </si>
  <si>
    <t>Columna10286</t>
  </si>
  <si>
    <t>Columna10287</t>
  </si>
  <si>
    <t>Columna10288</t>
  </si>
  <si>
    <t>Columna10289</t>
  </si>
  <si>
    <t>Columna10290</t>
  </si>
  <si>
    <t>Columna10291</t>
  </si>
  <si>
    <t>Columna10292</t>
  </si>
  <si>
    <t>Columna10293</t>
  </si>
  <si>
    <t>Columna10294</t>
  </si>
  <si>
    <t>Columna10295</t>
  </si>
  <si>
    <t>Columna10296</t>
  </si>
  <si>
    <t>Columna10297</t>
  </si>
  <si>
    <t>Columna10298</t>
  </si>
  <si>
    <t>Columna10299</t>
  </si>
  <si>
    <t>Columna10300</t>
  </si>
  <si>
    <t>Columna10301</t>
  </si>
  <si>
    <t>Columna10302</t>
  </si>
  <si>
    <t>Columna10303</t>
  </si>
  <si>
    <t>Columna10304</t>
  </si>
  <si>
    <t>Columna10305</t>
  </si>
  <si>
    <t>Columna10306</t>
  </si>
  <si>
    <t>Columna10307</t>
  </si>
  <si>
    <t>Columna10308</t>
  </si>
  <si>
    <t>Columna10309</t>
  </si>
  <si>
    <t>Columna10310</t>
  </si>
  <si>
    <t>Columna10311</t>
  </si>
  <si>
    <t>Columna10312</t>
  </si>
  <si>
    <t>Columna10313</t>
  </si>
  <si>
    <t>Columna10314</t>
  </si>
  <si>
    <t>Columna10315</t>
  </si>
  <si>
    <t>Columna10316</t>
  </si>
  <si>
    <t>Columna10317</t>
  </si>
  <si>
    <t>Columna10318</t>
  </si>
  <si>
    <t>Columna10319</t>
  </si>
  <si>
    <t>Columna10320</t>
  </si>
  <si>
    <t>Columna10321</t>
  </si>
  <si>
    <t>Columna10322</t>
  </si>
  <si>
    <t>Columna10323</t>
  </si>
  <si>
    <t>Columna10324</t>
  </si>
  <si>
    <t>Columna10325</t>
  </si>
  <si>
    <t>Columna10326</t>
  </si>
  <si>
    <t>Columna10327</t>
  </si>
  <si>
    <t>Columna10328</t>
  </si>
  <si>
    <t>Columna10329</t>
  </si>
  <si>
    <t>Columna10330</t>
  </si>
  <si>
    <t>Columna10331</t>
  </si>
  <si>
    <t>Columna10332</t>
  </si>
  <si>
    <t>Columna10333</t>
  </si>
  <si>
    <t>Columna10334</t>
  </si>
  <si>
    <t>Columna10335</t>
  </si>
  <si>
    <t>Columna10336</t>
  </si>
  <si>
    <t>Columna10337</t>
  </si>
  <si>
    <t>Columna10338</t>
  </si>
  <si>
    <t>Columna10339</t>
  </si>
  <si>
    <t>Columna10340</t>
  </si>
  <si>
    <t>Columna10341</t>
  </si>
  <si>
    <t>Columna10342</t>
  </si>
  <si>
    <t>Columna10343</t>
  </si>
  <si>
    <t>Columna10344</t>
  </si>
  <si>
    <t>Columna10345</t>
  </si>
  <si>
    <t>Columna10346</t>
  </si>
  <si>
    <t>Columna10347</t>
  </si>
  <si>
    <t>Columna10348</t>
  </si>
  <si>
    <t>Columna10349</t>
  </si>
  <si>
    <t>Columna10350</t>
  </si>
  <si>
    <t>Columna10351</t>
  </si>
  <si>
    <t>Columna10352</t>
  </si>
  <si>
    <t>Columna10353</t>
  </si>
  <si>
    <t>Columna10354</t>
  </si>
  <si>
    <t>Columna10355</t>
  </si>
  <si>
    <t>Columna10356</t>
  </si>
  <si>
    <t>Columna10357</t>
  </si>
  <si>
    <t>Columna10358</t>
  </si>
  <si>
    <t>Columna10359</t>
  </si>
  <si>
    <t>Columna10360</t>
  </si>
  <si>
    <t>Columna10361</t>
  </si>
  <si>
    <t>Columna10362</t>
  </si>
  <si>
    <t>Columna10363</t>
  </si>
  <si>
    <t>Columna10364</t>
  </si>
  <si>
    <t>Columna10365</t>
  </si>
  <si>
    <t>Columna10366</t>
  </si>
  <si>
    <t>Columna10367</t>
  </si>
  <si>
    <t>Columna10368</t>
  </si>
  <si>
    <t>Columna10369</t>
  </si>
  <si>
    <t>Columna10370</t>
  </si>
  <si>
    <t>Columna10371</t>
  </si>
  <si>
    <t>Columna10372</t>
  </si>
  <si>
    <t>Columna10373</t>
  </si>
  <si>
    <t>Columna10374</t>
  </si>
  <si>
    <t>Columna10375</t>
  </si>
  <si>
    <t>Columna10376</t>
  </si>
  <si>
    <t>Columna10377</t>
  </si>
  <si>
    <t>Columna10378</t>
  </si>
  <si>
    <t>Columna10379</t>
  </si>
  <si>
    <t>Columna10380</t>
  </si>
  <si>
    <t>Columna10381</t>
  </si>
  <si>
    <t>Columna10382</t>
  </si>
  <si>
    <t>Columna10383</t>
  </si>
  <si>
    <t>Columna10384</t>
  </si>
  <si>
    <t>Columna10385</t>
  </si>
  <si>
    <t>Columna10386</t>
  </si>
  <si>
    <t>Columna10387</t>
  </si>
  <si>
    <t>Columna10388</t>
  </si>
  <si>
    <t>Columna10389</t>
  </si>
  <si>
    <t>Columna10390</t>
  </si>
  <si>
    <t>Columna10391</t>
  </si>
  <si>
    <t>Columna10392</t>
  </si>
  <si>
    <t>Columna10393</t>
  </si>
  <si>
    <t>Columna10394</t>
  </si>
  <si>
    <t>Columna10395</t>
  </si>
  <si>
    <t>Columna10396</t>
  </si>
  <si>
    <t>Columna10397</t>
  </si>
  <si>
    <t>Columna10398</t>
  </si>
  <si>
    <t>Columna10399</t>
  </si>
  <si>
    <t>Columna10400</t>
  </si>
  <si>
    <t>Columna10401</t>
  </si>
  <si>
    <t>Columna10402</t>
  </si>
  <si>
    <t>Columna10403</t>
  </si>
  <si>
    <t>Columna10404</t>
  </si>
  <si>
    <t>Columna10405</t>
  </si>
  <si>
    <t>Columna10406</t>
  </si>
  <si>
    <t>Columna10407</t>
  </si>
  <si>
    <t>Columna10408</t>
  </si>
  <si>
    <t>Columna10409</t>
  </si>
  <si>
    <t>Columna10410</t>
  </si>
  <si>
    <t>Columna10411</t>
  </si>
  <si>
    <t>Columna10412</t>
  </si>
  <si>
    <t>Columna10413</t>
  </si>
  <si>
    <t>Columna10414</t>
  </si>
  <si>
    <t>Columna10415</t>
  </si>
  <si>
    <t>Columna10416</t>
  </si>
  <si>
    <t>Columna10417</t>
  </si>
  <si>
    <t>Columna10418</t>
  </si>
  <si>
    <t>Columna10419</t>
  </si>
  <si>
    <t>Columna10420</t>
  </si>
  <si>
    <t>Columna10421</t>
  </si>
  <si>
    <t>Columna10422</t>
  </si>
  <si>
    <t>Columna10423</t>
  </si>
  <si>
    <t>Columna10424</t>
  </si>
  <si>
    <t>Columna10425</t>
  </si>
  <si>
    <t>Columna10426</t>
  </si>
  <si>
    <t>Columna10427</t>
  </si>
  <si>
    <t>Columna10428</t>
  </si>
  <si>
    <t>Columna10429</t>
  </si>
  <si>
    <t>Columna10430</t>
  </si>
  <si>
    <t>Columna10431</t>
  </si>
  <si>
    <t>Columna10432</t>
  </si>
  <si>
    <t>Columna10433</t>
  </si>
  <si>
    <t>Columna10434</t>
  </si>
  <si>
    <t>Columna10435</t>
  </si>
  <si>
    <t>Columna10436</t>
  </si>
  <si>
    <t>Columna10437</t>
  </si>
  <si>
    <t>Columna10438</t>
  </si>
  <si>
    <t>Columna10439</t>
  </si>
  <si>
    <t>Columna10440</t>
  </si>
  <si>
    <t>Columna10441</t>
  </si>
  <si>
    <t>Columna10442</t>
  </si>
  <si>
    <t>Columna10443</t>
  </si>
  <si>
    <t>Columna10444</t>
  </si>
  <si>
    <t>Columna10445</t>
  </si>
  <si>
    <t>Columna10446</t>
  </si>
  <si>
    <t>Columna10447</t>
  </si>
  <si>
    <t>Columna10448</t>
  </si>
  <si>
    <t>Columna10449</t>
  </si>
  <si>
    <t>Columna10450</t>
  </si>
  <si>
    <t>Columna10451</t>
  </si>
  <si>
    <t>Columna10452</t>
  </si>
  <si>
    <t>Columna10453</t>
  </si>
  <si>
    <t>Columna10454</t>
  </si>
  <si>
    <t>Columna10455</t>
  </si>
  <si>
    <t>Columna10456</t>
  </si>
  <si>
    <t>Columna10457</t>
  </si>
  <si>
    <t>Columna10458</t>
  </si>
  <si>
    <t>Columna10459</t>
  </si>
  <si>
    <t>Columna10460</t>
  </si>
  <si>
    <t>Columna10461</t>
  </si>
  <si>
    <t>Columna10462</t>
  </si>
  <si>
    <t>Columna10463</t>
  </si>
  <si>
    <t>Columna10464</t>
  </si>
  <si>
    <t>Columna10465</t>
  </si>
  <si>
    <t>Columna10466</t>
  </si>
  <si>
    <t>Columna10467</t>
  </si>
  <si>
    <t>Columna10468</t>
  </si>
  <si>
    <t>Columna10469</t>
  </si>
  <si>
    <t>Columna10470</t>
  </si>
  <si>
    <t>Columna10471</t>
  </si>
  <si>
    <t>Columna10472</t>
  </si>
  <si>
    <t>Columna10473</t>
  </si>
  <si>
    <t>Columna10474</t>
  </si>
  <si>
    <t>Columna10475</t>
  </si>
  <si>
    <t>Columna10476</t>
  </si>
  <si>
    <t>Columna10477</t>
  </si>
  <si>
    <t>Columna10478</t>
  </si>
  <si>
    <t>Columna10479</t>
  </si>
  <si>
    <t>Columna10480</t>
  </si>
  <si>
    <t>Columna10481</t>
  </si>
  <si>
    <t>Columna10482</t>
  </si>
  <si>
    <t>Columna10483</t>
  </si>
  <si>
    <t>Columna10484</t>
  </si>
  <si>
    <t>Columna10485</t>
  </si>
  <si>
    <t>Columna10486</t>
  </si>
  <si>
    <t>Columna10487</t>
  </si>
  <si>
    <t>Columna10488</t>
  </si>
  <si>
    <t>Columna10489</t>
  </si>
  <si>
    <t>Columna10490</t>
  </si>
  <si>
    <t>Columna10491</t>
  </si>
  <si>
    <t>Columna10492</t>
  </si>
  <si>
    <t>Columna10493</t>
  </si>
  <si>
    <t>Columna10494</t>
  </si>
  <si>
    <t>Columna10495</t>
  </si>
  <si>
    <t>Columna10496</t>
  </si>
  <si>
    <t>Columna10497</t>
  </si>
  <si>
    <t>Columna10498</t>
  </si>
  <si>
    <t>Columna10499</t>
  </si>
  <si>
    <t>Columna10500</t>
  </si>
  <si>
    <t>Columna10501</t>
  </si>
  <si>
    <t>Columna10502</t>
  </si>
  <si>
    <t>Columna10503</t>
  </si>
  <si>
    <t>Columna10504</t>
  </si>
  <si>
    <t>Columna10505</t>
  </si>
  <si>
    <t>Columna10506</t>
  </si>
  <si>
    <t>Columna10507</t>
  </si>
  <si>
    <t>Columna10508</t>
  </si>
  <si>
    <t>Columna10509</t>
  </si>
  <si>
    <t>Columna10510</t>
  </si>
  <si>
    <t>Columna10511</t>
  </si>
  <si>
    <t>Columna10512</t>
  </si>
  <si>
    <t>Columna10513</t>
  </si>
  <si>
    <t>Columna10514</t>
  </si>
  <si>
    <t>Columna10515</t>
  </si>
  <si>
    <t>Columna10516</t>
  </si>
  <si>
    <t>Columna10517</t>
  </si>
  <si>
    <t>Columna10518</t>
  </si>
  <si>
    <t>Columna10519</t>
  </si>
  <si>
    <t>Columna10520</t>
  </si>
  <si>
    <t>Columna10521</t>
  </si>
  <si>
    <t>Columna10522</t>
  </si>
  <si>
    <t>Columna10523</t>
  </si>
  <si>
    <t>Columna10524</t>
  </si>
  <si>
    <t>Columna10525</t>
  </si>
  <si>
    <t>Columna10526</t>
  </si>
  <si>
    <t>Columna10527</t>
  </si>
  <si>
    <t>Columna10528</t>
  </si>
  <si>
    <t>Columna10529</t>
  </si>
  <si>
    <t>Columna10530</t>
  </si>
  <si>
    <t>Columna10531</t>
  </si>
  <si>
    <t>Columna10532</t>
  </si>
  <si>
    <t>Columna10533</t>
  </si>
  <si>
    <t>Columna10534</t>
  </si>
  <si>
    <t>Columna10535</t>
  </si>
  <si>
    <t>Columna10536</t>
  </si>
  <si>
    <t>Columna10537</t>
  </si>
  <si>
    <t>Columna10538</t>
  </si>
  <si>
    <t>Columna10539</t>
  </si>
  <si>
    <t>Columna10540</t>
  </si>
  <si>
    <t>Columna10541</t>
  </si>
  <si>
    <t>Columna10542</t>
  </si>
  <si>
    <t>Columna10543</t>
  </si>
  <si>
    <t>Columna10544</t>
  </si>
  <si>
    <t>Columna10545</t>
  </si>
  <si>
    <t>Columna10546</t>
  </si>
  <si>
    <t>Columna10547</t>
  </si>
  <si>
    <t>Columna10548</t>
  </si>
  <si>
    <t>Columna10549</t>
  </si>
  <si>
    <t>Columna10550</t>
  </si>
  <si>
    <t>Columna10551</t>
  </si>
  <si>
    <t>Columna10552</t>
  </si>
  <si>
    <t>Columna10553</t>
  </si>
  <si>
    <t>Columna10554</t>
  </si>
  <si>
    <t>Columna10555</t>
  </si>
  <si>
    <t>Columna10556</t>
  </si>
  <si>
    <t>Columna10557</t>
  </si>
  <si>
    <t>Columna10558</t>
  </si>
  <si>
    <t>Columna10559</t>
  </si>
  <si>
    <t>Columna10560</t>
  </si>
  <si>
    <t>Columna10561</t>
  </si>
  <si>
    <t>Columna10562</t>
  </si>
  <si>
    <t>Columna10563</t>
  </si>
  <si>
    <t>Columna10564</t>
  </si>
  <si>
    <t>Columna10565</t>
  </si>
  <si>
    <t>Columna10566</t>
  </si>
  <si>
    <t>Columna10567</t>
  </si>
  <si>
    <t>Columna10568</t>
  </si>
  <si>
    <t>Columna10569</t>
  </si>
  <si>
    <t>Columna10570</t>
  </si>
  <si>
    <t>Columna10571</t>
  </si>
  <si>
    <t>Columna10572</t>
  </si>
  <si>
    <t>Columna10573</t>
  </si>
  <si>
    <t>Columna10574</t>
  </si>
  <si>
    <t>Columna10575</t>
  </si>
  <si>
    <t>Columna10576</t>
  </si>
  <si>
    <t>Columna10577</t>
  </si>
  <si>
    <t>Columna10578</t>
  </si>
  <si>
    <t>Columna10579</t>
  </si>
  <si>
    <t>Columna10580</t>
  </si>
  <si>
    <t>Columna10581</t>
  </si>
  <si>
    <t>Columna10582</t>
  </si>
  <si>
    <t>Columna10583</t>
  </si>
  <si>
    <t>Columna10584</t>
  </si>
  <si>
    <t>Columna10585</t>
  </si>
  <si>
    <t>Columna10586</t>
  </si>
  <si>
    <t>Columna10587</t>
  </si>
  <si>
    <t>Columna10588</t>
  </si>
  <si>
    <t>Columna10589</t>
  </si>
  <si>
    <t>Columna10590</t>
  </si>
  <si>
    <t>Columna10591</t>
  </si>
  <si>
    <t>Columna10592</t>
  </si>
  <si>
    <t>Columna10593</t>
  </si>
  <si>
    <t>Columna10594</t>
  </si>
  <si>
    <t>Columna10595</t>
  </si>
  <si>
    <t>Columna10596</t>
  </si>
  <si>
    <t>Columna10597</t>
  </si>
  <si>
    <t>Columna10598</t>
  </si>
  <si>
    <t>Columna10599</t>
  </si>
  <si>
    <t>Columna10600</t>
  </si>
  <si>
    <t>Columna10601</t>
  </si>
  <si>
    <t>Columna10602</t>
  </si>
  <si>
    <t>Columna10603</t>
  </si>
  <si>
    <t>Columna10604</t>
  </si>
  <si>
    <t>Columna10605</t>
  </si>
  <si>
    <t>Columna10606</t>
  </si>
  <si>
    <t>Columna10607</t>
  </si>
  <si>
    <t>Columna10608</t>
  </si>
  <si>
    <t>Columna10609</t>
  </si>
  <si>
    <t>Columna10610</t>
  </si>
  <si>
    <t>Columna10611</t>
  </si>
  <si>
    <t>Columna10612</t>
  </si>
  <si>
    <t>Columna10613</t>
  </si>
  <si>
    <t>Columna10614</t>
  </si>
  <si>
    <t>Columna10615</t>
  </si>
  <si>
    <t>Columna10616</t>
  </si>
  <si>
    <t>Columna10617</t>
  </si>
  <si>
    <t>Columna10618</t>
  </si>
  <si>
    <t>Columna10619</t>
  </si>
  <si>
    <t>Columna10620</t>
  </si>
  <si>
    <t>Columna10621</t>
  </si>
  <si>
    <t>Columna10622</t>
  </si>
  <si>
    <t>Columna10623</t>
  </si>
  <si>
    <t>Columna10624</t>
  </si>
  <si>
    <t>Columna10625</t>
  </si>
  <si>
    <t>Columna10626</t>
  </si>
  <si>
    <t>Columna10627</t>
  </si>
  <si>
    <t>Columna10628</t>
  </si>
  <si>
    <t>Columna10629</t>
  </si>
  <si>
    <t>Columna10630</t>
  </si>
  <si>
    <t>Columna10631</t>
  </si>
  <si>
    <t>Columna10632</t>
  </si>
  <si>
    <t>Columna10633</t>
  </si>
  <si>
    <t>Columna10634</t>
  </si>
  <si>
    <t>Columna10635</t>
  </si>
  <si>
    <t>Columna10636</t>
  </si>
  <si>
    <t>Columna10637</t>
  </si>
  <si>
    <t>Columna10638</t>
  </si>
  <si>
    <t>Columna10639</t>
  </si>
  <si>
    <t>Columna10640</t>
  </si>
  <si>
    <t>Columna10641</t>
  </si>
  <si>
    <t>Columna10642</t>
  </si>
  <si>
    <t>Columna10643</t>
  </si>
  <si>
    <t>Columna10644</t>
  </si>
  <si>
    <t>Columna10645</t>
  </si>
  <si>
    <t>Columna10646</t>
  </si>
  <si>
    <t>Columna10647</t>
  </si>
  <si>
    <t>Columna10648</t>
  </si>
  <si>
    <t>Columna10649</t>
  </si>
  <si>
    <t>Columna10650</t>
  </si>
  <si>
    <t>Columna10651</t>
  </si>
  <si>
    <t>Columna10652</t>
  </si>
  <si>
    <t>Columna10653</t>
  </si>
  <si>
    <t>Columna10654</t>
  </si>
  <si>
    <t>Columna10655</t>
  </si>
  <si>
    <t>Columna10656</t>
  </si>
  <si>
    <t>Columna10657</t>
  </si>
  <si>
    <t>Columna10658</t>
  </si>
  <si>
    <t>Columna10659</t>
  </si>
  <si>
    <t>Columna10660</t>
  </si>
  <si>
    <t>Columna10661</t>
  </si>
  <si>
    <t>Columna10662</t>
  </si>
  <si>
    <t>Columna10663</t>
  </si>
  <si>
    <t>Columna10664</t>
  </si>
  <si>
    <t>Columna10665</t>
  </si>
  <si>
    <t>Columna10666</t>
  </si>
  <si>
    <t>Columna10667</t>
  </si>
  <si>
    <t>Columna10668</t>
  </si>
  <si>
    <t>Columna10669</t>
  </si>
  <si>
    <t>Columna10670</t>
  </si>
  <si>
    <t>Columna10671</t>
  </si>
  <si>
    <t>Columna10672</t>
  </si>
  <si>
    <t>Columna10673</t>
  </si>
  <si>
    <t>Columna10674</t>
  </si>
  <si>
    <t>Columna10675</t>
  </si>
  <si>
    <t>Columna10676</t>
  </si>
  <si>
    <t>Columna10677</t>
  </si>
  <si>
    <t>Columna10678</t>
  </si>
  <si>
    <t>Columna10679</t>
  </si>
  <si>
    <t>Columna10680</t>
  </si>
  <si>
    <t>Columna10681</t>
  </si>
  <si>
    <t>Columna10682</t>
  </si>
  <si>
    <t>Columna10683</t>
  </si>
  <si>
    <t>Columna10684</t>
  </si>
  <si>
    <t>Columna10685</t>
  </si>
  <si>
    <t>Columna10686</t>
  </si>
  <si>
    <t>Columna10687</t>
  </si>
  <si>
    <t>Columna10688</t>
  </si>
  <si>
    <t>Columna10689</t>
  </si>
  <si>
    <t>Columna10690</t>
  </si>
  <si>
    <t>Columna10691</t>
  </si>
  <si>
    <t>Columna10692</t>
  </si>
  <si>
    <t>Columna10693</t>
  </si>
  <si>
    <t>Columna10694</t>
  </si>
  <si>
    <t>Columna10695</t>
  </si>
  <si>
    <t>Columna10696</t>
  </si>
  <si>
    <t>Columna10697</t>
  </si>
  <si>
    <t>Columna10698</t>
  </si>
  <si>
    <t>Columna10699</t>
  </si>
  <si>
    <t>Columna10700</t>
  </si>
  <si>
    <t>Columna10701</t>
  </si>
  <si>
    <t>Columna10702</t>
  </si>
  <si>
    <t>Columna10703</t>
  </si>
  <si>
    <t>Columna10704</t>
  </si>
  <si>
    <t>Columna10705</t>
  </si>
  <si>
    <t>Columna10706</t>
  </si>
  <si>
    <t>Columna10707</t>
  </si>
  <si>
    <t>Columna10708</t>
  </si>
  <si>
    <t>Columna10709</t>
  </si>
  <si>
    <t>Columna10710</t>
  </si>
  <si>
    <t>Columna10711</t>
  </si>
  <si>
    <t>Columna10712</t>
  </si>
  <si>
    <t>Columna10713</t>
  </si>
  <si>
    <t>Columna10714</t>
  </si>
  <si>
    <t>Columna10715</t>
  </si>
  <si>
    <t>Columna10716</t>
  </si>
  <si>
    <t>Columna10717</t>
  </si>
  <si>
    <t>Columna10718</t>
  </si>
  <si>
    <t>Columna10719</t>
  </si>
  <si>
    <t>Columna10720</t>
  </si>
  <si>
    <t>Columna10721</t>
  </si>
  <si>
    <t>Columna10722</t>
  </si>
  <si>
    <t>Columna10723</t>
  </si>
  <si>
    <t>Columna10724</t>
  </si>
  <si>
    <t>Columna10725</t>
  </si>
  <si>
    <t>Columna10726</t>
  </si>
  <si>
    <t>Columna10727</t>
  </si>
  <si>
    <t>Columna10728</t>
  </si>
  <si>
    <t>Columna10729</t>
  </si>
  <si>
    <t>Columna10730</t>
  </si>
  <si>
    <t>Columna10731</t>
  </si>
  <si>
    <t>Columna10732</t>
  </si>
  <si>
    <t>Columna10733</t>
  </si>
  <si>
    <t>Columna10734</t>
  </si>
  <si>
    <t>Columna10735</t>
  </si>
  <si>
    <t>Columna10736</t>
  </si>
  <si>
    <t>Columna10737</t>
  </si>
  <si>
    <t>Columna10738</t>
  </si>
  <si>
    <t>Columna10739</t>
  </si>
  <si>
    <t>Columna10740</t>
  </si>
  <si>
    <t>Columna10741</t>
  </si>
  <si>
    <t>Columna10742</t>
  </si>
  <si>
    <t>Columna10743</t>
  </si>
  <si>
    <t>Columna10744</t>
  </si>
  <si>
    <t>Columna10745</t>
  </si>
  <si>
    <t>Columna10746</t>
  </si>
  <si>
    <t>Columna10747</t>
  </si>
  <si>
    <t>Columna10748</t>
  </si>
  <si>
    <t>Columna10749</t>
  </si>
  <si>
    <t>Columna10750</t>
  </si>
  <si>
    <t>Columna10751</t>
  </si>
  <si>
    <t>Columna10752</t>
  </si>
  <si>
    <t>Columna10753</t>
  </si>
  <si>
    <t>Columna10754</t>
  </si>
  <si>
    <t>Columna10755</t>
  </si>
  <si>
    <t>Columna10756</t>
  </si>
  <si>
    <t>Columna10757</t>
  </si>
  <si>
    <t>Columna10758</t>
  </si>
  <si>
    <t>Columna10759</t>
  </si>
  <si>
    <t>Columna10760</t>
  </si>
  <si>
    <t>Columna10761</t>
  </si>
  <si>
    <t>Columna10762</t>
  </si>
  <si>
    <t>Columna10763</t>
  </si>
  <si>
    <t>Columna10764</t>
  </si>
  <si>
    <t>Columna10765</t>
  </si>
  <si>
    <t>Columna10766</t>
  </si>
  <si>
    <t>Columna10767</t>
  </si>
  <si>
    <t>Columna10768</t>
  </si>
  <si>
    <t>Columna10769</t>
  </si>
  <si>
    <t>Columna10770</t>
  </si>
  <si>
    <t>Columna10771</t>
  </si>
  <si>
    <t>Columna10772</t>
  </si>
  <si>
    <t>Columna10773</t>
  </si>
  <si>
    <t>Columna10774</t>
  </si>
  <si>
    <t>Columna10775</t>
  </si>
  <si>
    <t>Columna10776</t>
  </si>
  <si>
    <t>Columna10777</t>
  </si>
  <si>
    <t>Columna10778</t>
  </si>
  <si>
    <t>Columna10779</t>
  </si>
  <si>
    <t>Columna10780</t>
  </si>
  <si>
    <t>Columna10781</t>
  </si>
  <si>
    <t>Columna10782</t>
  </si>
  <si>
    <t>Columna10783</t>
  </si>
  <si>
    <t>Columna10784</t>
  </si>
  <si>
    <t>Columna10785</t>
  </si>
  <si>
    <t>Columna10786</t>
  </si>
  <si>
    <t>Columna10787</t>
  </si>
  <si>
    <t>Columna10788</t>
  </si>
  <si>
    <t>Columna10789</t>
  </si>
  <si>
    <t>Columna10790</t>
  </si>
  <si>
    <t>Columna10791</t>
  </si>
  <si>
    <t>Columna10792</t>
  </si>
  <si>
    <t>Columna10793</t>
  </si>
  <si>
    <t>Columna10794</t>
  </si>
  <si>
    <t>Columna10795</t>
  </si>
  <si>
    <t>Columna10796</t>
  </si>
  <si>
    <t>Columna10797</t>
  </si>
  <si>
    <t>Columna10798</t>
  </si>
  <si>
    <t>Columna10799</t>
  </si>
  <si>
    <t>Columna10800</t>
  </si>
  <si>
    <t>Columna10801</t>
  </si>
  <si>
    <t>Columna10802</t>
  </si>
  <si>
    <t>Columna10803</t>
  </si>
  <si>
    <t>Columna10804</t>
  </si>
  <si>
    <t>Columna10805</t>
  </si>
  <si>
    <t>Columna10806</t>
  </si>
  <si>
    <t>Columna10807</t>
  </si>
  <si>
    <t>Columna10808</t>
  </si>
  <si>
    <t>Columna10809</t>
  </si>
  <si>
    <t>Columna10810</t>
  </si>
  <si>
    <t>Columna10811</t>
  </si>
  <si>
    <t>Columna10812</t>
  </si>
  <si>
    <t>Columna10813</t>
  </si>
  <si>
    <t>Columna10814</t>
  </si>
  <si>
    <t>Columna10815</t>
  </si>
  <si>
    <t>Columna10816</t>
  </si>
  <si>
    <t>Columna10817</t>
  </si>
  <si>
    <t>Columna10818</t>
  </si>
  <si>
    <t>Columna10819</t>
  </si>
  <si>
    <t>Columna10820</t>
  </si>
  <si>
    <t>Columna10821</t>
  </si>
  <si>
    <t>Columna10822</t>
  </si>
  <si>
    <t>Columna10823</t>
  </si>
  <si>
    <t>Columna10824</t>
  </si>
  <si>
    <t>Columna10825</t>
  </si>
  <si>
    <t>Columna10826</t>
  </si>
  <si>
    <t>Columna10827</t>
  </si>
  <si>
    <t>Columna10828</t>
  </si>
  <si>
    <t>Columna10829</t>
  </si>
  <si>
    <t>Columna10830</t>
  </si>
  <si>
    <t>Columna10831</t>
  </si>
  <si>
    <t>Columna10832</t>
  </si>
  <si>
    <t>Columna10833</t>
  </si>
  <si>
    <t>Columna10834</t>
  </si>
  <si>
    <t>Columna10835</t>
  </si>
  <si>
    <t>Columna10836</t>
  </si>
  <si>
    <t>Columna10837</t>
  </si>
  <si>
    <t>Columna10838</t>
  </si>
  <si>
    <t>Columna10839</t>
  </si>
  <si>
    <t>Columna10840</t>
  </si>
  <si>
    <t>Columna10841</t>
  </si>
  <si>
    <t>Columna10842</t>
  </si>
  <si>
    <t>Columna10843</t>
  </si>
  <si>
    <t>Columna10844</t>
  </si>
  <si>
    <t>Columna10845</t>
  </si>
  <si>
    <t>Columna10846</t>
  </si>
  <si>
    <t>Columna10847</t>
  </si>
  <si>
    <t>Columna10848</t>
  </si>
  <si>
    <t>Columna10849</t>
  </si>
  <si>
    <t>Columna10850</t>
  </si>
  <si>
    <t>Columna10851</t>
  </si>
  <si>
    <t>Columna10852</t>
  </si>
  <si>
    <t>Columna10853</t>
  </si>
  <si>
    <t>Columna10854</t>
  </si>
  <si>
    <t>Columna10855</t>
  </si>
  <si>
    <t>Columna10856</t>
  </si>
  <si>
    <t>Columna10857</t>
  </si>
  <si>
    <t>Columna10858</t>
  </si>
  <si>
    <t>Columna10859</t>
  </si>
  <si>
    <t>Columna10860</t>
  </si>
  <si>
    <t>Columna10861</t>
  </si>
  <si>
    <t>Columna10862</t>
  </si>
  <si>
    <t>Columna10863</t>
  </si>
  <si>
    <t>Columna10864</t>
  </si>
  <si>
    <t>Columna10865</t>
  </si>
  <si>
    <t>Columna10866</t>
  </si>
  <si>
    <t>Columna10867</t>
  </si>
  <si>
    <t>Columna10868</t>
  </si>
  <si>
    <t>Columna10869</t>
  </si>
  <si>
    <t>Columna10870</t>
  </si>
  <si>
    <t>Columna10871</t>
  </si>
  <si>
    <t>Columna10872</t>
  </si>
  <si>
    <t>Columna10873</t>
  </si>
  <si>
    <t>Columna10874</t>
  </si>
  <si>
    <t>Columna10875</t>
  </si>
  <si>
    <t>Columna10876</t>
  </si>
  <si>
    <t>Columna10877</t>
  </si>
  <si>
    <t>Columna10878</t>
  </si>
  <si>
    <t>Columna10879</t>
  </si>
  <si>
    <t>Columna10880</t>
  </si>
  <si>
    <t>Columna10881</t>
  </si>
  <si>
    <t>Columna10882</t>
  </si>
  <si>
    <t>Columna10883</t>
  </si>
  <si>
    <t>Columna10884</t>
  </si>
  <si>
    <t>Columna10885</t>
  </si>
  <si>
    <t>Columna10886</t>
  </si>
  <si>
    <t>Columna10887</t>
  </si>
  <si>
    <t>Columna10888</t>
  </si>
  <si>
    <t>Columna10889</t>
  </si>
  <si>
    <t>Columna10890</t>
  </si>
  <si>
    <t>Columna10891</t>
  </si>
  <si>
    <t>Columna10892</t>
  </si>
  <si>
    <t>Columna10893</t>
  </si>
  <si>
    <t>Columna10894</t>
  </si>
  <si>
    <t>Columna10895</t>
  </si>
  <si>
    <t>Columna10896</t>
  </si>
  <si>
    <t>Columna10897</t>
  </si>
  <si>
    <t>Columna10898</t>
  </si>
  <si>
    <t>Columna10899</t>
  </si>
  <si>
    <t>Columna10900</t>
  </si>
  <si>
    <t>Columna10901</t>
  </si>
  <si>
    <t>Columna10902</t>
  </si>
  <si>
    <t>Columna10903</t>
  </si>
  <si>
    <t>Columna10904</t>
  </si>
  <si>
    <t>Columna10905</t>
  </si>
  <si>
    <t>Columna10906</t>
  </si>
  <si>
    <t>Columna10907</t>
  </si>
  <si>
    <t>Columna10908</t>
  </si>
  <si>
    <t>Columna10909</t>
  </si>
  <si>
    <t>Columna10910</t>
  </si>
  <si>
    <t>Columna10911</t>
  </si>
  <si>
    <t>Columna10912</t>
  </si>
  <si>
    <t>Columna10913</t>
  </si>
  <si>
    <t>Columna10914</t>
  </si>
  <si>
    <t>Columna10915</t>
  </si>
  <si>
    <t>Columna10916</t>
  </si>
  <si>
    <t>Columna10917</t>
  </si>
  <si>
    <t>Columna10918</t>
  </si>
  <si>
    <t>Columna10919</t>
  </si>
  <si>
    <t>Columna10920</t>
  </si>
  <si>
    <t>Columna10921</t>
  </si>
  <si>
    <t>Columna10922</t>
  </si>
  <si>
    <t>Columna10923</t>
  </si>
  <si>
    <t>Columna10924</t>
  </si>
  <si>
    <t>Columna10925</t>
  </si>
  <si>
    <t>Columna10926</t>
  </si>
  <si>
    <t>Columna10927</t>
  </si>
  <si>
    <t>Columna10928</t>
  </si>
  <si>
    <t>Columna10929</t>
  </si>
  <si>
    <t>Columna10930</t>
  </si>
  <si>
    <t>Columna10931</t>
  </si>
  <si>
    <t>Columna10932</t>
  </si>
  <si>
    <t>Columna10933</t>
  </si>
  <si>
    <t>Columna10934</t>
  </si>
  <si>
    <t>Columna10935</t>
  </si>
  <si>
    <t>Columna10936</t>
  </si>
  <si>
    <t>Columna10937</t>
  </si>
  <si>
    <t>Columna10938</t>
  </si>
  <si>
    <t>Columna10939</t>
  </si>
  <si>
    <t>Columna10940</t>
  </si>
  <si>
    <t>Columna10941</t>
  </si>
  <si>
    <t>Columna10942</t>
  </si>
  <si>
    <t>Columna10943</t>
  </si>
  <si>
    <t>Columna10944</t>
  </si>
  <si>
    <t>Columna10945</t>
  </si>
  <si>
    <t>Columna10946</t>
  </si>
  <si>
    <t>Columna10947</t>
  </si>
  <si>
    <t>Columna10948</t>
  </si>
  <si>
    <t>Columna10949</t>
  </si>
  <si>
    <t>Columna10950</t>
  </si>
  <si>
    <t>Columna10951</t>
  </si>
  <si>
    <t>Columna10952</t>
  </si>
  <si>
    <t>Columna10953</t>
  </si>
  <si>
    <t>Columna10954</t>
  </si>
  <si>
    <t>Columna10955</t>
  </si>
  <si>
    <t>Columna10956</t>
  </si>
  <si>
    <t>Columna10957</t>
  </si>
  <si>
    <t>Columna10958</t>
  </si>
  <si>
    <t>Columna10959</t>
  </si>
  <si>
    <t>Columna10960</t>
  </si>
  <si>
    <t>Columna10961</t>
  </si>
  <si>
    <t>Columna10962</t>
  </si>
  <si>
    <t>Columna10963</t>
  </si>
  <si>
    <t>Columna10964</t>
  </si>
  <si>
    <t>Columna10965</t>
  </si>
  <si>
    <t>Columna10966</t>
  </si>
  <si>
    <t>Columna10967</t>
  </si>
  <si>
    <t>Columna10968</t>
  </si>
  <si>
    <t>Columna10969</t>
  </si>
  <si>
    <t>Columna10970</t>
  </si>
  <si>
    <t>Columna10971</t>
  </si>
  <si>
    <t>Columna10972</t>
  </si>
  <si>
    <t>Columna10973</t>
  </si>
  <si>
    <t>Columna10974</t>
  </si>
  <si>
    <t>Columna10975</t>
  </si>
  <si>
    <t>Columna10976</t>
  </si>
  <si>
    <t>Columna10977</t>
  </si>
  <si>
    <t>Columna10978</t>
  </si>
  <si>
    <t>Columna10979</t>
  </si>
  <si>
    <t>Columna10980</t>
  </si>
  <si>
    <t>Columna10981</t>
  </si>
  <si>
    <t>Columna10982</t>
  </si>
  <si>
    <t>Columna10983</t>
  </si>
  <si>
    <t>Columna10984</t>
  </si>
  <si>
    <t>Columna10985</t>
  </si>
  <si>
    <t>Columna10986</t>
  </si>
  <si>
    <t>Columna10987</t>
  </si>
  <si>
    <t>Columna10988</t>
  </si>
  <si>
    <t>Columna10989</t>
  </si>
  <si>
    <t>Columna10990</t>
  </si>
  <si>
    <t>Columna10991</t>
  </si>
  <si>
    <t>Columna10992</t>
  </si>
  <si>
    <t>Columna10993</t>
  </si>
  <si>
    <t>Columna10994</t>
  </si>
  <si>
    <t>Columna10995</t>
  </si>
  <si>
    <t>Columna10996</t>
  </si>
  <si>
    <t>Columna10997</t>
  </si>
  <si>
    <t>Columna10998</t>
  </si>
  <si>
    <t>Columna10999</t>
  </si>
  <si>
    <t>Columna11000</t>
  </si>
  <si>
    <t>Columna11001</t>
  </si>
  <si>
    <t>Columna11002</t>
  </si>
  <si>
    <t>Columna11003</t>
  </si>
  <si>
    <t>Columna11004</t>
  </si>
  <si>
    <t>Columna11005</t>
  </si>
  <si>
    <t>Columna11006</t>
  </si>
  <si>
    <t>Columna11007</t>
  </si>
  <si>
    <t>Columna11008</t>
  </si>
  <si>
    <t>Columna11009</t>
  </si>
  <si>
    <t>Columna11010</t>
  </si>
  <si>
    <t>Columna11011</t>
  </si>
  <si>
    <t>Columna11012</t>
  </si>
  <si>
    <t>Columna11013</t>
  </si>
  <si>
    <t>Columna11014</t>
  </si>
  <si>
    <t>Columna11015</t>
  </si>
  <si>
    <t>Columna11016</t>
  </si>
  <si>
    <t>Columna11017</t>
  </si>
  <si>
    <t>Columna11018</t>
  </si>
  <si>
    <t>Columna11019</t>
  </si>
  <si>
    <t>Columna11020</t>
  </si>
  <si>
    <t>Columna11021</t>
  </si>
  <si>
    <t>Columna11022</t>
  </si>
  <si>
    <t>Columna11023</t>
  </si>
  <si>
    <t>Columna11024</t>
  </si>
  <si>
    <t>Columna11025</t>
  </si>
  <si>
    <t>Columna11026</t>
  </si>
  <si>
    <t>Columna11027</t>
  </si>
  <si>
    <t>Columna11028</t>
  </si>
  <si>
    <t>Columna11029</t>
  </si>
  <si>
    <t>Columna11030</t>
  </si>
  <si>
    <t>Columna11031</t>
  </si>
  <si>
    <t>Columna11032</t>
  </si>
  <si>
    <t>Columna11033</t>
  </si>
  <si>
    <t>Columna11034</t>
  </si>
  <si>
    <t>Columna11035</t>
  </si>
  <si>
    <t>Columna11036</t>
  </si>
  <si>
    <t>Columna11037</t>
  </si>
  <si>
    <t>Columna11038</t>
  </si>
  <si>
    <t>Columna11039</t>
  </si>
  <si>
    <t>Columna11040</t>
  </si>
  <si>
    <t>Columna11041</t>
  </si>
  <si>
    <t>Columna11042</t>
  </si>
  <si>
    <t>Columna11043</t>
  </si>
  <si>
    <t>Columna11044</t>
  </si>
  <si>
    <t>Columna11045</t>
  </si>
  <si>
    <t>Columna11046</t>
  </si>
  <si>
    <t>Columna11047</t>
  </si>
  <si>
    <t>Columna11048</t>
  </si>
  <si>
    <t>Columna11049</t>
  </si>
  <si>
    <t>Columna11050</t>
  </si>
  <si>
    <t>Columna11051</t>
  </si>
  <si>
    <t>Columna11052</t>
  </si>
  <si>
    <t>Columna11053</t>
  </si>
  <si>
    <t>Columna11054</t>
  </si>
  <si>
    <t>Columna11055</t>
  </si>
  <si>
    <t>Columna11056</t>
  </si>
  <si>
    <t>Columna11057</t>
  </si>
  <si>
    <t>Columna11058</t>
  </si>
  <si>
    <t>Columna11059</t>
  </si>
  <si>
    <t>Columna11060</t>
  </si>
  <si>
    <t>Columna11061</t>
  </si>
  <si>
    <t>Columna11062</t>
  </si>
  <si>
    <t>Columna11063</t>
  </si>
  <si>
    <t>Columna11064</t>
  </si>
  <si>
    <t>Columna11065</t>
  </si>
  <si>
    <t>Columna11066</t>
  </si>
  <si>
    <t>Columna11067</t>
  </si>
  <si>
    <t>Columna11068</t>
  </si>
  <si>
    <t>Columna11069</t>
  </si>
  <si>
    <t>Columna11070</t>
  </si>
  <si>
    <t>Columna11071</t>
  </si>
  <si>
    <t>Columna11072</t>
  </si>
  <si>
    <t>Columna11073</t>
  </si>
  <si>
    <t>Columna11074</t>
  </si>
  <si>
    <t>Columna11075</t>
  </si>
  <si>
    <t>Columna11076</t>
  </si>
  <si>
    <t>Columna11077</t>
  </si>
  <si>
    <t>Columna11078</t>
  </si>
  <si>
    <t>Columna11079</t>
  </si>
  <si>
    <t>Columna11080</t>
  </si>
  <si>
    <t>Columna11081</t>
  </si>
  <si>
    <t>Columna11082</t>
  </si>
  <si>
    <t>Columna11083</t>
  </si>
  <si>
    <t>Columna11084</t>
  </si>
  <si>
    <t>Columna11085</t>
  </si>
  <si>
    <t>Columna11086</t>
  </si>
  <si>
    <t>Columna11087</t>
  </si>
  <si>
    <t>Columna11088</t>
  </si>
  <si>
    <t>Columna11089</t>
  </si>
  <si>
    <t>Columna11090</t>
  </si>
  <si>
    <t>Columna11091</t>
  </si>
  <si>
    <t>Columna11092</t>
  </si>
  <si>
    <t>Columna11093</t>
  </si>
  <si>
    <t>Columna11094</t>
  </si>
  <si>
    <t>Columna11095</t>
  </si>
  <si>
    <t>Columna11096</t>
  </si>
  <si>
    <t>Columna11097</t>
  </si>
  <si>
    <t>Columna11098</t>
  </si>
  <si>
    <t>Columna11099</t>
  </si>
  <si>
    <t>Columna11100</t>
  </si>
  <si>
    <t>Columna11101</t>
  </si>
  <si>
    <t>Columna11102</t>
  </si>
  <si>
    <t>Columna11103</t>
  </si>
  <si>
    <t>Columna11104</t>
  </si>
  <si>
    <t>Columna11105</t>
  </si>
  <si>
    <t>Columna11106</t>
  </si>
  <si>
    <t>Columna11107</t>
  </si>
  <si>
    <t>Columna11108</t>
  </si>
  <si>
    <t>Columna11109</t>
  </si>
  <si>
    <t>Columna11110</t>
  </si>
  <si>
    <t>Columna11111</t>
  </si>
  <si>
    <t>Columna11112</t>
  </si>
  <si>
    <t>Columna11113</t>
  </si>
  <si>
    <t>Columna11114</t>
  </si>
  <si>
    <t>Columna11115</t>
  </si>
  <si>
    <t>Columna11116</t>
  </si>
  <si>
    <t>Columna11117</t>
  </si>
  <si>
    <t>Columna11118</t>
  </si>
  <si>
    <t>Columna11119</t>
  </si>
  <si>
    <t>Columna11120</t>
  </si>
  <si>
    <t>Columna11121</t>
  </si>
  <si>
    <t>Columna11122</t>
  </si>
  <si>
    <t>Columna11123</t>
  </si>
  <si>
    <t>Columna11124</t>
  </si>
  <si>
    <t>Columna11125</t>
  </si>
  <si>
    <t>Columna11126</t>
  </si>
  <si>
    <t>Columna11127</t>
  </si>
  <si>
    <t>Columna11128</t>
  </si>
  <si>
    <t>Columna11129</t>
  </si>
  <si>
    <t>Columna11130</t>
  </si>
  <si>
    <t>Columna11131</t>
  </si>
  <si>
    <t>Columna11132</t>
  </si>
  <si>
    <t>Columna11133</t>
  </si>
  <si>
    <t>Columna11134</t>
  </si>
  <si>
    <t>Columna11135</t>
  </si>
  <si>
    <t>Columna11136</t>
  </si>
  <si>
    <t>Columna11137</t>
  </si>
  <si>
    <t>Columna11138</t>
  </si>
  <si>
    <t>Columna11139</t>
  </si>
  <si>
    <t>Columna11140</t>
  </si>
  <si>
    <t>Columna11141</t>
  </si>
  <si>
    <t>Columna11142</t>
  </si>
  <si>
    <t>Columna11143</t>
  </si>
  <si>
    <t>Columna11144</t>
  </si>
  <si>
    <t>Columna11145</t>
  </si>
  <si>
    <t>Columna11146</t>
  </si>
  <si>
    <t>Columna11147</t>
  </si>
  <si>
    <t>Columna11148</t>
  </si>
  <si>
    <t>Columna11149</t>
  </si>
  <si>
    <t>Columna11150</t>
  </si>
  <si>
    <t>Columna11151</t>
  </si>
  <si>
    <t>Columna11152</t>
  </si>
  <si>
    <t>Columna11153</t>
  </si>
  <si>
    <t>Columna11154</t>
  </si>
  <si>
    <t>Columna11155</t>
  </si>
  <si>
    <t>Columna11156</t>
  </si>
  <si>
    <t>Columna11157</t>
  </si>
  <si>
    <t>Columna11158</t>
  </si>
  <si>
    <t>Columna11159</t>
  </si>
  <si>
    <t>Columna11160</t>
  </si>
  <si>
    <t>Columna11161</t>
  </si>
  <si>
    <t>Columna11162</t>
  </si>
  <si>
    <t>Columna11163</t>
  </si>
  <si>
    <t>Columna11164</t>
  </si>
  <si>
    <t>Columna11165</t>
  </si>
  <si>
    <t>Columna11166</t>
  </si>
  <si>
    <t>Columna11167</t>
  </si>
  <si>
    <t>Columna11168</t>
  </si>
  <si>
    <t>Columna11169</t>
  </si>
  <si>
    <t>Columna11170</t>
  </si>
  <si>
    <t>Columna11171</t>
  </si>
  <si>
    <t>Columna11172</t>
  </si>
  <si>
    <t>Columna11173</t>
  </si>
  <si>
    <t>Columna11174</t>
  </si>
  <si>
    <t>Columna11175</t>
  </si>
  <si>
    <t>Columna11176</t>
  </si>
  <si>
    <t>Columna11177</t>
  </si>
  <si>
    <t>Columna11178</t>
  </si>
  <si>
    <t>Columna11179</t>
  </si>
  <si>
    <t>Columna11180</t>
  </si>
  <si>
    <t>Columna11181</t>
  </si>
  <si>
    <t>Columna11182</t>
  </si>
  <si>
    <t>Columna11183</t>
  </si>
  <si>
    <t>Columna11184</t>
  </si>
  <si>
    <t>Columna11185</t>
  </si>
  <si>
    <t>Columna11186</t>
  </si>
  <si>
    <t>Columna11187</t>
  </si>
  <si>
    <t>Columna11188</t>
  </si>
  <si>
    <t>Columna11189</t>
  </si>
  <si>
    <t>Columna11190</t>
  </si>
  <si>
    <t>Columna11191</t>
  </si>
  <si>
    <t>Columna11192</t>
  </si>
  <si>
    <t>Columna11193</t>
  </si>
  <si>
    <t>Columna11194</t>
  </si>
  <si>
    <t>Columna11195</t>
  </si>
  <si>
    <t>Columna11196</t>
  </si>
  <si>
    <t>Columna11197</t>
  </si>
  <si>
    <t>Columna11198</t>
  </si>
  <si>
    <t>Columna11199</t>
  </si>
  <si>
    <t>Columna11200</t>
  </si>
  <si>
    <t>Columna11201</t>
  </si>
  <si>
    <t>Columna11202</t>
  </si>
  <si>
    <t>Columna11203</t>
  </si>
  <si>
    <t>Columna11204</t>
  </si>
  <si>
    <t>Columna11205</t>
  </si>
  <si>
    <t>Columna11206</t>
  </si>
  <si>
    <t>Columna11207</t>
  </si>
  <si>
    <t>Columna11208</t>
  </si>
  <si>
    <t>Columna11209</t>
  </si>
  <si>
    <t>Columna11210</t>
  </si>
  <si>
    <t>Columna11211</t>
  </si>
  <si>
    <t>Columna11212</t>
  </si>
  <si>
    <t>Columna11213</t>
  </si>
  <si>
    <t>Columna11214</t>
  </si>
  <si>
    <t>Columna11215</t>
  </si>
  <si>
    <t>Columna11216</t>
  </si>
  <si>
    <t>Columna11217</t>
  </si>
  <si>
    <t>Columna11218</t>
  </si>
  <si>
    <t>Columna11219</t>
  </si>
  <si>
    <t>Columna11220</t>
  </si>
  <si>
    <t>Columna11221</t>
  </si>
  <si>
    <t>Columna11222</t>
  </si>
  <si>
    <t>Columna11223</t>
  </si>
  <si>
    <t>Columna11224</t>
  </si>
  <si>
    <t>Columna11225</t>
  </si>
  <si>
    <t>Columna11226</t>
  </si>
  <si>
    <t>Columna11227</t>
  </si>
  <si>
    <t>Columna11228</t>
  </si>
  <si>
    <t>Columna11229</t>
  </si>
  <si>
    <t>Columna11230</t>
  </si>
  <si>
    <t>Columna11231</t>
  </si>
  <si>
    <t>Columna11232</t>
  </si>
  <si>
    <t>Columna11233</t>
  </si>
  <si>
    <t>Columna11234</t>
  </si>
  <si>
    <t>Columna11235</t>
  </si>
  <si>
    <t>Columna11236</t>
  </si>
  <si>
    <t>Columna11237</t>
  </si>
  <si>
    <t>Columna11238</t>
  </si>
  <si>
    <t>Columna11239</t>
  </si>
  <si>
    <t>Columna11240</t>
  </si>
  <si>
    <t>Columna11241</t>
  </si>
  <si>
    <t>Columna11242</t>
  </si>
  <si>
    <t>Columna11243</t>
  </si>
  <si>
    <t>Columna11244</t>
  </si>
  <si>
    <t>Columna11245</t>
  </si>
  <si>
    <t>Columna11246</t>
  </si>
  <si>
    <t>Columna11247</t>
  </si>
  <si>
    <t>Columna11248</t>
  </si>
  <si>
    <t>Columna11249</t>
  </si>
  <si>
    <t>Columna11250</t>
  </si>
  <si>
    <t>Columna11251</t>
  </si>
  <si>
    <t>Columna11252</t>
  </si>
  <si>
    <t>Columna11253</t>
  </si>
  <si>
    <t>Columna11254</t>
  </si>
  <si>
    <t>Columna11255</t>
  </si>
  <si>
    <t>Columna11256</t>
  </si>
  <si>
    <t>Columna11257</t>
  </si>
  <si>
    <t>Columna11258</t>
  </si>
  <si>
    <t>Columna11259</t>
  </si>
  <si>
    <t>Columna11260</t>
  </si>
  <si>
    <t>Columna11261</t>
  </si>
  <si>
    <t>Columna11262</t>
  </si>
  <si>
    <t>Columna11263</t>
  </si>
  <si>
    <t>Columna11264</t>
  </si>
  <si>
    <t>Columna11265</t>
  </si>
  <si>
    <t>Columna11266</t>
  </si>
  <si>
    <t>Columna11267</t>
  </si>
  <si>
    <t>Columna11268</t>
  </si>
  <si>
    <t>Columna11269</t>
  </si>
  <si>
    <t>Columna11270</t>
  </si>
  <si>
    <t>Columna11271</t>
  </si>
  <si>
    <t>Columna11272</t>
  </si>
  <si>
    <t>Columna11273</t>
  </si>
  <si>
    <t>Columna11274</t>
  </si>
  <si>
    <t>Columna11275</t>
  </si>
  <si>
    <t>Columna11276</t>
  </si>
  <si>
    <t>Columna11277</t>
  </si>
  <si>
    <t>Columna11278</t>
  </si>
  <si>
    <t>Columna11279</t>
  </si>
  <si>
    <t>Columna11280</t>
  </si>
  <si>
    <t>Columna11281</t>
  </si>
  <si>
    <t>Columna11282</t>
  </si>
  <si>
    <t>Columna11283</t>
  </si>
  <si>
    <t>Columna11284</t>
  </si>
  <si>
    <t>Columna11285</t>
  </si>
  <si>
    <t>Columna11286</t>
  </si>
  <si>
    <t>Columna11287</t>
  </si>
  <si>
    <t>Columna11288</t>
  </si>
  <si>
    <t>Columna11289</t>
  </si>
  <si>
    <t>Columna11290</t>
  </si>
  <si>
    <t>Columna11291</t>
  </si>
  <si>
    <t>Columna11292</t>
  </si>
  <si>
    <t>Columna11293</t>
  </si>
  <si>
    <t>Columna11294</t>
  </si>
  <si>
    <t>Columna11295</t>
  </si>
  <si>
    <t>Columna11296</t>
  </si>
  <si>
    <t>Columna11297</t>
  </si>
  <si>
    <t>Columna11298</t>
  </si>
  <si>
    <t>Columna11299</t>
  </si>
  <si>
    <t>Columna11300</t>
  </si>
  <si>
    <t>Columna11301</t>
  </si>
  <si>
    <t>Columna11302</t>
  </si>
  <si>
    <t>Columna11303</t>
  </si>
  <si>
    <t>Columna11304</t>
  </si>
  <si>
    <t>Columna11305</t>
  </si>
  <si>
    <t>Columna11306</t>
  </si>
  <si>
    <t>Columna11307</t>
  </si>
  <si>
    <t>Columna11308</t>
  </si>
  <si>
    <t>Columna11309</t>
  </si>
  <si>
    <t>Columna11310</t>
  </si>
  <si>
    <t>Columna11311</t>
  </si>
  <si>
    <t>Columna11312</t>
  </si>
  <si>
    <t>Columna11313</t>
  </si>
  <si>
    <t>Columna11314</t>
  </si>
  <si>
    <t>Columna11315</t>
  </si>
  <si>
    <t>Columna11316</t>
  </si>
  <si>
    <t>Columna11317</t>
  </si>
  <si>
    <t>Columna11318</t>
  </si>
  <si>
    <t>Columna11319</t>
  </si>
  <si>
    <t>Columna11320</t>
  </si>
  <si>
    <t>Columna11321</t>
  </si>
  <si>
    <t>Columna11322</t>
  </si>
  <si>
    <t>Columna11323</t>
  </si>
  <si>
    <t>Columna11324</t>
  </si>
  <si>
    <t>Columna11325</t>
  </si>
  <si>
    <t>Columna11326</t>
  </si>
  <si>
    <t>Columna11327</t>
  </si>
  <si>
    <t>Columna11328</t>
  </si>
  <si>
    <t>Columna11329</t>
  </si>
  <si>
    <t>Columna11330</t>
  </si>
  <si>
    <t>Columna11331</t>
  </si>
  <si>
    <t>Columna11332</t>
  </si>
  <si>
    <t>Columna11333</t>
  </si>
  <si>
    <t>Columna11334</t>
  </si>
  <si>
    <t>Columna11335</t>
  </si>
  <si>
    <t>Columna11336</t>
  </si>
  <si>
    <t>Columna11337</t>
  </si>
  <si>
    <t>Columna11338</t>
  </si>
  <si>
    <t>Columna11339</t>
  </si>
  <si>
    <t>Columna11340</t>
  </si>
  <si>
    <t>Columna11341</t>
  </si>
  <si>
    <t>Columna11342</t>
  </si>
  <si>
    <t>Columna11343</t>
  </si>
  <si>
    <t>Columna11344</t>
  </si>
  <si>
    <t>Columna11345</t>
  </si>
  <si>
    <t>Columna11346</t>
  </si>
  <si>
    <t>Columna11347</t>
  </si>
  <si>
    <t>Columna11348</t>
  </si>
  <si>
    <t>Columna11349</t>
  </si>
  <si>
    <t>Columna11350</t>
  </si>
  <si>
    <t>Columna11351</t>
  </si>
  <si>
    <t>Columna11352</t>
  </si>
  <si>
    <t>Columna11353</t>
  </si>
  <si>
    <t>Columna11354</t>
  </si>
  <si>
    <t>Columna11355</t>
  </si>
  <si>
    <t>Columna11356</t>
  </si>
  <si>
    <t>Columna11357</t>
  </si>
  <si>
    <t>Columna11358</t>
  </si>
  <si>
    <t>Columna11359</t>
  </si>
  <si>
    <t>Columna11360</t>
  </si>
  <si>
    <t>Columna11361</t>
  </si>
  <si>
    <t>Columna11362</t>
  </si>
  <si>
    <t>Columna11363</t>
  </si>
  <si>
    <t>Columna11364</t>
  </si>
  <si>
    <t>Columna11365</t>
  </si>
  <si>
    <t>Columna11366</t>
  </si>
  <si>
    <t>Columna11367</t>
  </si>
  <si>
    <t>Columna11368</t>
  </si>
  <si>
    <t>Columna11369</t>
  </si>
  <si>
    <t>Columna11370</t>
  </si>
  <si>
    <t>Columna11371</t>
  </si>
  <si>
    <t>Columna11372</t>
  </si>
  <si>
    <t>Columna11373</t>
  </si>
  <si>
    <t>Columna11374</t>
  </si>
  <si>
    <t>Columna11375</t>
  </si>
  <si>
    <t>Columna11376</t>
  </si>
  <si>
    <t>Columna11377</t>
  </si>
  <si>
    <t>Columna11378</t>
  </si>
  <si>
    <t>Columna11379</t>
  </si>
  <si>
    <t>Columna11380</t>
  </si>
  <si>
    <t>Columna11381</t>
  </si>
  <si>
    <t>Columna11382</t>
  </si>
  <si>
    <t>Columna11383</t>
  </si>
  <si>
    <t>Columna11384</t>
  </si>
  <si>
    <t>Columna11385</t>
  </si>
  <si>
    <t>Columna11386</t>
  </si>
  <si>
    <t>Columna11387</t>
  </si>
  <si>
    <t>Columna11388</t>
  </si>
  <si>
    <t>Columna11389</t>
  </si>
  <si>
    <t>Columna11390</t>
  </si>
  <si>
    <t>Columna11391</t>
  </si>
  <si>
    <t>Columna11392</t>
  </si>
  <si>
    <t>Columna11393</t>
  </si>
  <si>
    <t>Columna11394</t>
  </si>
  <si>
    <t>Columna11395</t>
  </si>
  <si>
    <t>Columna11396</t>
  </si>
  <si>
    <t>Columna11397</t>
  </si>
  <si>
    <t>Columna11398</t>
  </si>
  <si>
    <t>Columna11399</t>
  </si>
  <si>
    <t>Columna11400</t>
  </si>
  <si>
    <t>Columna11401</t>
  </si>
  <si>
    <t>Columna11402</t>
  </si>
  <si>
    <t>Columna11403</t>
  </si>
  <si>
    <t>Columna11404</t>
  </si>
  <si>
    <t>Columna11405</t>
  </si>
  <si>
    <t>Columna11406</t>
  </si>
  <si>
    <t>Columna11407</t>
  </si>
  <si>
    <t>Columna11408</t>
  </si>
  <si>
    <t>Columna11409</t>
  </si>
  <si>
    <t>Columna11410</t>
  </si>
  <si>
    <t>Columna11411</t>
  </si>
  <si>
    <t>Columna11412</t>
  </si>
  <si>
    <t>Columna11413</t>
  </si>
  <si>
    <t>Columna11414</t>
  </si>
  <si>
    <t>Columna11415</t>
  </si>
  <si>
    <t>Columna11416</t>
  </si>
  <si>
    <t>Columna11417</t>
  </si>
  <si>
    <t>Columna11418</t>
  </si>
  <si>
    <t>Columna11419</t>
  </si>
  <si>
    <t>Columna11420</t>
  </si>
  <si>
    <t>Columna11421</t>
  </si>
  <si>
    <t>Columna11422</t>
  </si>
  <si>
    <t>Columna11423</t>
  </si>
  <si>
    <t>Columna11424</t>
  </si>
  <si>
    <t>Columna11425</t>
  </si>
  <si>
    <t>Columna11426</t>
  </si>
  <si>
    <t>Columna11427</t>
  </si>
  <si>
    <t>Columna11428</t>
  </si>
  <si>
    <t>Columna11429</t>
  </si>
  <si>
    <t>Columna11430</t>
  </si>
  <si>
    <t>Columna11431</t>
  </si>
  <si>
    <t>Columna11432</t>
  </si>
  <si>
    <t>Columna11433</t>
  </si>
  <si>
    <t>Columna11434</t>
  </si>
  <si>
    <t>Columna11435</t>
  </si>
  <si>
    <t>Columna11436</t>
  </si>
  <si>
    <t>Columna11437</t>
  </si>
  <si>
    <t>Columna11438</t>
  </si>
  <si>
    <t>Columna11439</t>
  </si>
  <si>
    <t>Columna11440</t>
  </si>
  <si>
    <t>Columna11441</t>
  </si>
  <si>
    <t>Columna11442</t>
  </si>
  <si>
    <t>Columna11443</t>
  </si>
  <si>
    <t>Columna11444</t>
  </si>
  <si>
    <t>Columna11445</t>
  </si>
  <si>
    <t>Columna11446</t>
  </si>
  <si>
    <t>Columna11447</t>
  </si>
  <si>
    <t>Columna11448</t>
  </si>
  <si>
    <t>Columna11449</t>
  </si>
  <si>
    <t>Columna11450</t>
  </si>
  <si>
    <t>Columna11451</t>
  </si>
  <si>
    <t>Columna11452</t>
  </si>
  <si>
    <t>Columna11453</t>
  </si>
  <si>
    <t>Columna11454</t>
  </si>
  <si>
    <t>Columna11455</t>
  </si>
  <si>
    <t>Columna11456</t>
  </si>
  <si>
    <t>Columna11457</t>
  </si>
  <si>
    <t>Columna11458</t>
  </si>
  <si>
    <t>Columna11459</t>
  </si>
  <si>
    <t>Columna11460</t>
  </si>
  <si>
    <t>Columna11461</t>
  </si>
  <si>
    <t>Columna11462</t>
  </si>
  <si>
    <t>Columna11463</t>
  </si>
  <si>
    <t>Columna11464</t>
  </si>
  <si>
    <t>Columna11465</t>
  </si>
  <si>
    <t>Columna11466</t>
  </si>
  <si>
    <t>Columna11467</t>
  </si>
  <si>
    <t>Columna11468</t>
  </si>
  <si>
    <t>Columna11469</t>
  </si>
  <si>
    <t>Columna11470</t>
  </si>
  <si>
    <t>Columna11471</t>
  </si>
  <si>
    <t>Columna11472</t>
  </si>
  <si>
    <t>Columna11473</t>
  </si>
  <si>
    <t>Columna11474</t>
  </si>
  <si>
    <t>Columna11475</t>
  </si>
  <si>
    <t>Columna11476</t>
  </si>
  <si>
    <t>Columna11477</t>
  </si>
  <si>
    <t>Columna11478</t>
  </si>
  <si>
    <t>Columna11479</t>
  </si>
  <si>
    <t>Columna11480</t>
  </si>
  <si>
    <t>Columna11481</t>
  </si>
  <si>
    <t>Columna11482</t>
  </si>
  <si>
    <t>Columna11483</t>
  </si>
  <si>
    <t>Columna11484</t>
  </si>
  <si>
    <t>Columna11485</t>
  </si>
  <si>
    <t>Columna11486</t>
  </si>
  <si>
    <t>Columna11487</t>
  </si>
  <si>
    <t>Columna11488</t>
  </si>
  <si>
    <t>Columna11489</t>
  </si>
  <si>
    <t>Columna11490</t>
  </si>
  <si>
    <t>Columna11491</t>
  </si>
  <si>
    <t>Columna11492</t>
  </si>
  <si>
    <t>Columna11493</t>
  </si>
  <si>
    <t>Columna11494</t>
  </si>
  <si>
    <t>Columna11495</t>
  </si>
  <si>
    <t>Columna11496</t>
  </si>
  <si>
    <t>Columna11497</t>
  </si>
  <si>
    <t>Columna11498</t>
  </si>
  <si>
    <t>Columna11499</t>
  </si>
  <si>
    <t>Columna11500</t>
  </si>
  <si>
    <t>Columna11501</t>
  </si>
  <si>
    <t>Columna11502</t>
  </si>
  <si>
    <t>Columna11503</t>
  </si>
  <si>
    <t>Columna11504</t>
  </si>
  <si>
    <t>Columna11505</t>
  </si>
  <si>
    <t>Columna11506</t>
  </si>
  <si>
    <t>Columna11507</t>
  </si>
  <si>
    <t>Columna11508</t>
  </si>
  <si>
    <t>Columna11509</t>
  </si>
  <si>
    <t>Columna11510</t>
  </si>
  <si>
    <t>Columna11511</t>
  </si>
  <si>
    <t>Columna11512</t>
  </si>
  <si>
    <t>Columna11513</t>
  </si>
  <si>
    <t>Columna11514</t>
  </si>
  <si>
    <t>Columna11515</t>
  </si>
  <si>
    <t>Columna11516</t>
  </si>
  <si>
    <t>Columna11517</t>
  </si>
  <si>
    <t>Columna11518</t>
  </si>
  <si>
    <t>Columna11519</t>
  </si>
  <si>
    <t>Columna11520</t>
  </si>
  <si>
    <t>Columna11521</t>
  </si>
  <si>
    <t>Columna11522</t>
  </si>
  <si>
    <t>Columna11523</t>
  </si>
  <si>
    <t>Columna11524</t>
  </si>
  <si>
    <t>Columna11525</t>
  </si>
  <si>
    <t>Columna11526</t>
  </si>
  <si>
    <t>Columna11527</t>
  </si>
  <si>
    <t>Columna11528</t>
  </si>
  <si>
    <t>Columna11529</t>
  </si>
  <si>
    <t>Columna11530</t>
  </si>
  <si>
    <t>Columna11531</t>
  </si>
  <si>
    <t>Columna11532</t>
  </si>
  <si>
    <t>Columna11533</t>
  </si>
  <si>
    <t>Columna11534</t>
  </si>
  <si>
    <t>Columna11535</t>
  </si>
  <si>
    <t>Columna11536</t>
  </si>
  <si>
    <t>Columna11537</t>
  </si>
  <si>
    <t>Columna11538</t>
  </si>
  <si>
    <t>Columna11539</t>
  </si>
  <si>
    <t>Columna11540</t>
  </si>
  <si>
    <t>Columna11541</t>
  </si>
  <si>
    <t>Columna11542</t>
  </si>
  <si>
    <t>Columna11543</t>
  </si>
  <si>
    <t>Columna11544</t>
  </si>
  <si>
    <t>Columna11545</t>
  </si>
  <si>
    <t>Columna11546</t>
  </si>
  <si>
    <t>Columna11547</t>
  </si>
  <si>
    <t>Columna11548</t>
  </si>
  <si>
    <t>Columna11549</t>
  </si>
  <si>
    <t>Columna11550</t>
  </si>
  <si>
    <t>Columna11551</t>
  </si>
  <si>
    <t>Columna11552</t>
  </si>
  <si>
    <t>Columna11553</t>
  </si>
  <si>
    <t>Columna11554</t>
  </si>
  <si>
    <t>Columna11555</t>
  </si>
  <si>
    <t>Columna11556</t>
  </si>
  <si>
    <t>Columna11557</t>
  </si>
  <si>
    <t>Columna11558</t>
  </si>
  <si>
    <t>Columna11559</t>
  </si>
  <si>
    <t>Columna11560</t>
  </si>
  <si>
    <t>Columna11561</t>
  </si>
  <si>
    <t>Columna11562</t>
  </si>
  <si>
    <t>Columna11563</t>
  </si>
  <si>
    <t>Columna11564</t>
  </si>
  <si>
    <t>Columna11565</t>
  </si>
  <si>
    <t>Columna11566</t>
  </si>
  <si>
    <t>Columna11567</t>
  </si>
  <si>
    <t>Columna11568</t>
  </si>
  <si>
    <t>Columna11569</t>
  </si>
  <si>
    <t>Columna11570</t>
  </si>
  <si>
    <t>Columna11571</t>
  </si>
  <si>
    <t>Columna11572</t>
  </si>
  <si>
    <t>Columna11573</t>
  </si>
  <si>
    <t>Columna11574</t>
  </si>
  <si>
    <t>Columna11575</t>
  </si>
  <si>
    <t>Columna11576</t>
  </si>
  <si>
    <t>Columna11577</t>
  </si>
  <si>
    <t>Columna11578</t>
  </si>
  <si>
    <t>Columna11579</t>
  </si>
  <si>
    <t>Columna11580</t>
  </si>
  <si>
    <t>Columna11581</t>
  </si>
  <si>
    <t>Columna11582</t>
  </si>
  <si>
    <t>Columna11583</t>
  </si>
  <si>
    <t>Columna11584</t>
  </si>
  <si>
    <t>Columna11585</t>
  </si>
  <si>
    <t>Columna11586</t>
  </si>
  <si>
    <t>Columna11587</t>
  </si>
  <si>
    <t>Columna11588</t>
  </si>
  <si>
    <t>Columna11589</t>
  </si>
  <si>
    <t>Columna11590</t>
  </si>
  <si>
    <t>Columna11591</t>
  </si>
  <si>
    <t>Columna11592</t>
  </si>
  <si>
    <t>Columna11593</t>
  </si>
  <si>
    <t>Columna11594</t>
  </si>
  <si>
    <t>Columna11595</t>
  </si>
  <si>
    <t>Columna11596</t>
  </si>
  <si>
    <t>Columna11597</t>
  </si>
  <si>
    <t>Columna11598</t>
  </si>
  <si>
    <t>Columna11599</t>
  </si>
  <si>
    <t>Columna11600</t>
  </si>
  <si>
    <t>Columna11601</t>
  </si>
  <si>
    <t>Columna11602</t>
  </si>
  <si>
    <t>Columna11603</t>
  </si>
  <si>
    <t>Columna11604</t>
  </si>
  <si>
    <t>Columna11605</t>
  </si>
  <si>
    <t>Columna11606</t>
  </si>
  <si>
    <t>Columna11607</t>
  </si>
  <si>
    <t>Columna11608</t>
  </si>
  <si>
    <t>Columna11609</t>
  </si>
  <si>
    <t>Columna11610</t>
  </si>
  <si>
    <t>Columna11611</t>
  </si>
  <si>
    <t>Columna11612</t>
  </si>
  <si>
    <t>Columna11613</t>
  </si>
  <si>
    <t>Columna11614</t>
  </si>
  <si>
    <t>Columna11615</t>
  </si>
  <si>
    <t>Columna11616</t>
  </si>
  <si>
    <t>Columna11617</t>
  </si>
  <si>
    <t>Columna11618</t>
  </si>
  <si>
    <t>Columna11619</t>
  </si>
  <si>
    <t>Columna11620</t>
  </si>
  <si>
    <t>Columna11621</t>
  </si>
  <si>
    <t>Columna11622</t>
  </si>
  <si>
    <t>Columna11623</t>
  </si>
  <si>
    <t>Columna11624</t>
  </si>
  <si>
    <t>Columna11625</t>
  </si>
  <si>
    <t>Columna11626</t>
  </si>
  <si>
    <t>Columna11627</t>
  </si>
  <si>
    <t>Columna11628</t>
  </si>
  <si>
    <t>Columna11629</t>
  </si>
  <si>
    <t>Columna11630</t>
  </si>
  <si>
    <t>Columna11631</t>
  </si>
  <si>
    <t>Columna11632</t>
  </si>
  <si>
    <t>Columna11633</t>
  </si>
  <si>
    <t>Columna11634</t>
  </si>
  <si>
    <t>Columna11635</t>
  </si>
  <si>
    <t>Columna11636</t>
  </si>
  <si>
    <t>Columna11637</t>
  </si>
  <si>
    <t>Columna11638</t>
  </si>
  <si>
    <t>Columna11639</t>
  </si>
  <si>
    <t>Columna11640</t>
  </si>
  <si>
    <t>Columna11641</t>
  </si>
  <si>
    <t>Columna11642</t>
  </si>
  <si>
    <t>Columna11643</t>
  </si>
  <si>
    <t>Columna11644</t>
  </si>
  <si>
    <t>Columna11645</t>
  </si>
  <si>
    <t>Columna11646</t>
  </si>
  <si>
    <t>Columna11647</t>
  </si>
  <si>
    <t>Columna11648</t>
  </si>
  <si>
    <t>Columna11649</t>
  </si>
  <si>
    <t>Columna11650</t>
  </si>
  <si>
    <t>Columna11651</t>
  </si>
  <si>
    <t>Columna11652</t>
  </si>
  <si>
    <t>Columna11653</t>
  </si>
  <si>
    <t>Columna11654</t>
  </si>
  <si>
    <t>Columna11655</t>
  </si>
  <si>
    <t>Columna11656</t>
  </si>
  <si>
    <t>Columna11657</t>
  </si>
  <si>
    <t>Columna11658</t>
  </si>
  <si>
    <t>Columna11659</t>
  </si>
  <si>
    <t>Columna11660</t>
  </si>
  <si>
    <t>Columna11661</t>
  </si>
  <si>
    <t>Columna11662</t>
  </si>
  <si>
    <t>Columna11663</t>
  </si>
  <si>
    <t>Columna11664</t>
  </si>
  <si>
    <t>Columna11665</t>
  </si>
  <si>
    <t>Columna11666</t>
  </si>
  <si>
    <t>Columna11667</t>
  </si>
  <si>
    <t>Columna11668</t>
  </si>
  <si>
    <t>Columna11669</t>
  </si>
  <si>
    <t>Columna11670</t>
  </si>
  <si>
    <t>Columna11671</t>
  </si>
  <si>
    <t>Columna11672</t>
  </si>
  <si>
    <t>Columna11673</t>
  </si>
  <si>
    <t>Columna11674</t>
  </si>
  <si>
    <t>Columna11675</t>
  </si>
  <si>
    <t>Columna11676</t>
  </si>
  <si>
    <t>Columna11677</t>
  </si>
  <si>
    <t>Columna11678</t>
  </si>
  <si>
    <t>Columna11679</t>
  </si>
  <si>
    <t>Columna11680</t>
  </si>
  <si>
    <t>Columna11681</t>
  </si>
  <si>
    <t>Columna11682</t>
  </si>
  <si>
    <t>Columna11683</t>
  </si>
  <si>
    <t>Columna11684</t>
  </si>
  <si>
    <t>Columna11685</t>
  </si>
  <si>
    <t>Columna11686</t>
  </si>
  <si>
    <t>Columna11687</t>
  </si>
  <si>
    <t>Columna11688</t>
  </si>
  <si>
    <t>Columna11689</t>
  </si>
  <si>
    <t>Columna11690</t>
  </si>
  <si>
    <t>Columna11691</t>
  </si>
  <si>
    <t>Columna11692</t>
  </si>
  <si>
    <t>Columna11693</t>
  </si>
  <si>
    <t>Columna11694</t>
  </si>
  <si>
    <t>Columna11695</t>
  </si>
  <si>
    <t>Columna11696</t>
  </si>
  <si>
    <t>Columna11697</t>
  </si>
  <si>
    <t>Columna11698</t>
  </si>
  <si>
    <t>Columna11699</t>
  </si>
  <si>
    <t>Columna11700</t>
  </si>
  <si>
    <t>Columna11701</t>
  </si>
  <si>
    <t>Columna11702</t>
  </si>
  <si>
    <t>Columna11703</t>
  </si>
  <si>
    <t>Columna11704</t>
  </si>
  <si>
    <t>Columna11705</t>
  </si>
  <si>
    <t>Columna11706</t>
  </si>
  <si>
    <t>Columna11707</t>
  </si>
  <si>
    <t>Columna11708</t>
  </si>
  <si>
    <t>Columna11709</t>
  </si>
  <si>
    <t>Columna11710</t>
  </si>
  <si>
    <t>Columna11711</t>
  </si>
  <si>
    <t>Columna11712</t>
  </si>
  <si>
    <t>Columna11713</t>
  </si>
  <si>
    <t>Columna11714</t>
  </si>
  <si>
    <t>Columna11715</t>
  </si>
  <si>
    <t>Columna11716</t>
  </si>
  <si>
    <t>Columna11717</t>
  </si>
  <si>
    <t>Columna11718</t>
  </si>
  <si>
    <t>Columna11719</t>
  </si>
  <si>
    <t>Columna11720</t>
  </si>
  <si>
    <t>Columna11721</t>
  </si>
  <si>
    <t>Columna11722</t>
  </si>
  <si>
    <t>Columna11723</t>
  </si>
  <si>
    <t>Columna11724</t>
  </si>
  <si>
    <t>Columna11725</t>
  </si>
  <si>
    <t>Columna11726</t>
  </si>
  <si>
    <t>Columna11727</t>
  </si>
  <si>
    <t>Columna11728</t>
  </si>
  <si>
    <t>Columna11729</t>
  </si>
  <si>
    <t>Columna11730</t>
  </si>
  <si>
    <t>Columna11731</t>
  </si>
  <si>
    <t>Columna11732</t>
  </si>
  <si>
    <t>Columna11733</t>
  </si>
  <si>
    <t>Columna11734</t>
  </si>
  <si>
    <t>Columna11735</t>
  </si>
  <si>
    <t>Columna11736</t>
  </si>
  <si>
    <t>Columna11737</t>
  </si>
  <si>
    <t>Columna11738</t>
  </si>
  <si>
    <t>Columna11739</t>
  </si>
  <si>
    <t>Columna11740</t>
  </si>
  <si>
    <t>Columna11741</t>
  </si>
  <si>
    <t>Columna11742</t>
  </si>
  <si>
    <t>Columna11743</t>
  </si>
  <si>
    <t>Columna11744</t>
  </si>
  <si>
    <t>Columna11745</t>
  </si>
  <si>
    <t>Columna11746</t>
  </si>
  <si>
    <t>Columna11747</t>
  </si>
  <si>
    <t>Columna11748</t>
  </si>
  <si>
    <t>Columna11749</t>
  </si>
  <si>
    <t>Columna11750</t>
  </si>
  <si>
    <t>Columna11751</t>
  </si>
  <si>
    <t>Columna11752</t>
  </si>
  <si>
    <t>Columna11753</t>
  </si>
  <si>
    <t>Columna11754</t>
  </si>
  <si>
    <t>Columna11755</t>
  </si>
  <si>
    <t>Columna11756</t>
  </si>
  <si>
    <t>Columna11757</t>
  </si>
  <si>
    <t>Columna11758</t>
  </si>
  <si>
    <t>Columna11759</t>
  </si>
  <si>
    <t>Columna11760</t>
  </si>
  <si>
    <t>Columna11761</t>
  </si>
  <si>
    <t>Columna11762</t>
  </si>
  <si>
    <t>Columna11763</t>
  </si>
  <si>
    <t>Columna11764</t>
  </si>
  <si>
    <t>Columna11765</t>
  </si>
  <si>
    <t>Columna11766</t>
  </si>
  <si>
    <t>Columna11767</t>
  </si>
  <si>
    <t>Columna11768</t>
  </si>
  <si>
    <t>Columna11769</t>
  </si>
  <si>
    <t>Columna11770</t>
  </si>
  <si>
    <t>Columna11771</t>
  </si>
  <si>
    <t>Columna11772</t>
  </si>
  <si>
    <t>Columna11773</t>
  </si>
  <si>
    <t>Columna11774</t>
  </si>
  <si>
    <t>Columna11775</t>
  </si>
  <si>
    <t>Columna11776</t>
  </si>
  <si>
    <t>Columna11777</t>
  </si>
  <si>
    <t>Columna11778</t>
  </si>
  <si>
    <t>Columna11779</t>
  </si>
  <si>
    <t>Columna11780</t>
  </si>
  <si>
    <t>Columna11781</t>
  </si>
  <si>
    <t>Columna11782</t>
  </si>
  <si>
    <t>Columna11783</t>
  </si>
  <si>
    <t>Columna11784</t>
  </si>
  <si>
    <t>Columna11785</t>
  </si>
  <si>
    <t>Columna11786</t>
  </si>
  <si>
    <t>Columna11787</t>
  </si>
  <si>
    <t>Columna11788</t>
  </si>
  <si>
    <t>Columna11789</t>
  </si>
  <si>
    <t>Columna11790</t>
  </si>
  <si>
    <t>Columna11791</t>
  </si>
  <si>
    <t>Columna11792</t>
  </si>
  <si>
    <t>Columna11793</t>
  </si>
  <si>
    <t>Columna11794</t>
  </si>
  <si>
    <t>Columna11795</t>
  </si>
  <si>
    <t>Columna11796</t>
  </si>
  <si>
    <t>Columna11797</t>
  </si>
  <si>
    <t>Columna11798</t>
  </si>
  <si>
    <t>Columna11799</t>
  </si>
  <si>
    <t>Columna11800</t>
  </si>
  <si>
    <t>Columna11801</t>
  </si>
  <si>
    <t>Columna11802</t>
  </si>
  <si>
    <t>Columna11803</t>
  </si>
  <si>
    <t>Columna11804</t>
  </si>
  <si>
    <t>Columna11805</t>
  </si>
  <si>
    <t>Columna11806</t>
  </si>
  <si>
    <t>Columna11807</t>
  </si>
  <si>
    <t>Columna11808</t>
  </si>
  <si>
    <t>Columna11809</t>
  </si>
  <si>
    <t>Columna11810</t>
  </si>
  <si>
    <t>Columna11811</t>
  </si>
  <si>
    <t>Columna11812</t>
  </si>
  <si>
    <t>Columna11813</t>
  </si>
  <si>
    <t>Columna11814</t>
  </si>
  <si>
    <t>Columna11815</t>
  </si>
  <si>
    <t>Columna11816</t>
  </si>
  <si>
    <t>Columna11817</t>
  </si>
  <si>
    <t>Columna11818</t>
  </si>
  <si>
    <t>Columna11819</t>
  </si>
  <si>
    <t>Columna11820</t>
  </si>
  <si>
    <t>Columna11821</t>
  </si>
  <si>
    <t>Columna11822</t>
  </si>
  <si>
    <t>Columna11823</t>
  </si>
  <si>
    <t>Columna11824</t>
  </si>
  <si>
    <t>Columna11825</t>
  </si>
  <si>
    <t>Columna11826</t>
  </si>
  <si>
    <t>Columna11827</t>
  </si>
  <si>
    <t>Columna11828</t>
  </si>
  <si>
    <t>Columna11829</t>
  </si>
  <si>
    <t>Columna11830</t>
  </si>
  <si>
    <t>Columna11831</t>
  </si>
  <si>
    <t>Columna11832</t>
  </si>
  <si>
    <t>Columna11833</t>
  </si>
  <si>
    <t>Columna11834</t>
  </si>
  <si>
    <t>Columna11835</t>
  </si>
  <si>
    <t>Columna11836</t>
  </si>
  <si>
    <t>Columna11837</t>
  </si>
  <si>
    <t>Columna11838</t>
  </si>
  <si>
    <t>Columna11839</t>
  </si>
  <si>
    <t>Columna11840</t>
  </si>
  <si>
    <t>Columna11841</t>
  </si>
  <si>
    <t>Columna11842</t>
  </si>
  <si>
    <t>Columna11843</t>
  </si>
  <si>
    <t>Columna11844</t>
  </si>
  <si>
    <t>Columna11845</t>
  </si>
  <si>
    <t>Columna11846</t>
  </si>
  <si>
    <t>Columna11847</t>
  </si>
  <si>
    <t>Columna11848</t>
  </si>
  <si>
    <t>Columna11849</t>
  </si>
  <si>
    <t>Columna11850</t>
  </si>
  <si>
    <t>Columna11851</t>
  </si>
  <si>
    <t>Columna11852</t>
  </si>
  <si>
    <t>Columna11853</t>
  </si>
  <si>
    <t>Columna11854</t>
  </si>
  <si>
    <t>Columna11855</t>
  </si>
  <si>
    <t>Columna11856</t>
  </si>
  <si>
    <t>Columna11857</t>
  </si>
  <si>
    <t>Columna11858</t>
  </si>
  <si>
    <t>Columna11859</t>
  </si>
  <si>
    <t>Columna11860</t>
  </si>
  <si>
    <t>Columna11861</t>
  </si>
  <si>
    <t>Columna11862</t>
  </si>
  <si>
    <t>Columna11863</t>
  </si>
  <si>
    <t>Columna11864</t>
  </si>
  <si>
    <t>Columna11865</t>
  </si>
  <si>
    <t>Columna11866</t>
  </si>
  <si>
    <t>Columna11867</t>
  </si>
  <si>
    <t>Columna11868</t>
  </si>
  <si>
    <t>Columna11869</t>
  </si>
  <si>
    <t>Columna11870</t>
  </si>
  <si>
    <t>Columna11871</t>
  </si>
  <si>
    <t>Columna11872</t>
  </si>
  <si>
    <t>Columna11873</t>
  </si>
  <si>
    <t>Columna11874</t>
  </si>
  <si>
    <t>Columna11875</t>
  </si>
  <si>
    <t>Columna11876</t>
  </si>
  <si>
    <t>Columna11877</t>
  </si>
  <si>
    <t>Columna11878</t>
  </si>
  <si>
    <t>Columna11879</t>
  </si>
  <si>
    <t>Columna11880</t>
  </si>
  <si>
    <t>Columna11881</t>
  </si>
  <si>
    <t>Columna11882</t>
  </si>
  <si>
    <t>Columna11883</t>
  </si>
  <si>
    <t>Columna11884</t>
  </si>
  <si>
    <t>Columna11885</t>
  </si>
  <si>
    <t>Columna11886</t>
  </si>
  <si>
    <t>Columna11887</t>
  </si>
  <si>
    <t>Columna11888</t>
  </si>
  <si>
    <t>Columna11889</t>
  </si>
  <si>
    <t>Columna11890</t>
  </si>
  <si>
    <t>Columna11891</t>
  </si>
  <si>
    <t>Columna11892</t>
  </si>
  <si>
    <t>Columna11893</t>
  </si>
  <si>
    <t>Columna11894</t>
  </si>
  <si>
    <t>Columna11895</t>
  </si>
  <si>
    <t>Columna11896</t>
  </si>
  <si>
    <t>Columna11897</t>
  </si>
  <si>
    <t>Columna11898</t>
  </si>
  <si>
    <t>Columna11899</t>
  </si>
  <si>
    <t>Columna11900</t>
  </si>
  <si>
    <t>Columna11901</t>
  </si>
  <si>
    <t>Columna11902</t>
  </si>
  <si>
    <t>Columna11903</t>
  </si>
  <si>
    <t>Columna11904</t>
  </si>
  <si>
    <t>Columna11905</t>
  </si>
  <si>
    <t>Columna11906</t>
  </si>
  <si>
    <t>Columna11907</t>
  </si>
  <si>
    <t>Columna11908</t>
  </si>
  <si>
    <t>Columna11909</t>
  </si>
  <si>
    <t>Columna11910</t>
  </si>
  <si>
    <t>Columna11911</t>
  </si>
  <si>
    <t>Columna11912</t>
  </si>
  <si>
    <t>Columna11913</t>
  </si>
  <si>
    <t>Columna11914</t>
  </si>
  <si>
    <t>Columna11915</t>
  </si>
  <si>
    <t>Columna11916</t>
  </si>
  <si>
    <t>Columna11917</t>
  </si>
  <si>
    <t>Columna11918</t>
  </si>
  <si>
    <t>Columna11919</t>
  </si>
  <si>
    <t>Columna11920</t>
  </si>
  <si>
    <t>Columna11921</t>
  </si>
  <si>
    <t>Columna11922</t>
  </si>
  <si>
    <t>Columna11923</t>
  </si>
  <si>
    <t>Columna11924</t>
  </si>
  <si>
    <t>Columna11925</t>
  </si>
  <si>
    <t>Columna11926</t>
  </si>
  <si>
    <t>Columna11927</t>
  </si>
  <si>
    <t>Columna11928</t>
  </si>
  <si>
    <t>Columna11929</t>
  </si>
  <si>
    <t>Columna11930</t>
  </si>
  <si>
    <t>Columna11931</t>
  </si>
  <si>
    <t>Columna11932</t>
  </si>
  <si>
    <t>Columna11933</t>
  </si>
  <si>
    <t>Columna11934</t>
  </si>
  <si>
    <t>Columna11935</t>
  </si>
  <si>
    <t>Columna11936</t>
  </si>
  <si>
    <t>Columna11937</t>
  </si>
  <si>
    <t>Columna11938</t>
  </si>
  <si>
    <t>Columna11939</t>
  </si>
  <si>
    <t>Columna11940</t>
  </si>
  <si>
    <t>Columna11941</t>
  </si>
  <si>
    <t>Columna11942</t>
  </si>
  <si>
    <t>Columna11943</t>
  </si>
  <si>
    <t>Columna11944</t>
  </si>
  <si>
    <t>Columna11945</t>
  </si>
  <si>
    <t>Columna11946</t>
  </si>
  <si>
    <t>Columna11947</t>
  </si>
  <si>
    <t>Columna11948</t>
  </si>
  <si>
    <t>Columna11949</t>
  </si>
  <si>
    <t>Columna11950</t>
  </si>
  <si>
    <t>Columna11951</t>
  </si>
  <si>
    <t>Columna11952</t>
  </si>
  <si>
    <t>Columna11953</t>
  </si>
  <si>
    <t>Columna11954</t>
  </si>
  <si>
    <t>Columna11955</t>
  </si>
  <si>
    <t>Columna11956</t>
  </si>
  <si>
    <t>Columna11957</t>
  </si>
  <si>
    <t>Columna11958</t>
  </si>
  <si>
    <t>Columna11959</t>
  </si>
  <si>
    <t>Columna11960</t>
  </si>
  <si>
    <t>Columna11961</t>
  </si>
  <si>
    <t>Columna11962</t>
  </si>
  <si>
    <t>Columna11963</t>
  </si>
  <si>
    <t>Columna11964</t>
  </si>
  <si>
    <t>Columna11965</t>
  </si>
  <si>
    <t>Columna11966</t>
  </si>
  <si>
    <t>Columna11967</t>
  </si>
  <si>
    <t>Columna11968</t>
  </si>
  <si>
    <t>Columna11969</t>
  </si>
  <si>
    <t>Columna11970</t>
  </si>
  <si>
    <t>Columna11971</t>
  </si>
  <si>
    <t>Columna11972</t>
  </si>
  <si>
    <t>Columna11973</t>
  </si>
  <si>
    <t>Columna11974</t>
  </si>
  <si>
    <t>Columna11975</t>
  </si>
  <si>
    <t>Columna11976</t>
  </si>
  <si>
    <t>Columna11977</t>
  </si>
  <si>
    <t>Columna11978</t>
  </si>
  <si>
    <t>Columna11979</t>
  </si>
  <si>
    <t>Columna11980</t>
  </si>
  <si>
    <t>Columna11981</t>
  </si>
  <si>
    <t>Columna11982</t>
  </si>
  <si>
    <t>Columna11983</t>
  </si>
  <si>
    <t>Columna11984</t>
  </si>
  <si>
    <t>Columna11985</t>
  </si>
  <si>
    <t>Columna11986</t>
  </si>
  <si>
    <t>Columna11987</t>
  </si>
  <si>
    <t>Columna11988</t>
  </si>
  <si>
    <t>Columna11989</t>
  </si>
  <si>
    <t>Columna11990</t>
  </si>
  <si>
    <t>Columna11991</t>
  </si>
  <si>
    <t>Columna11992</t>
  </si>
  <si>
    <t>Columna11993</t>
  </si>
  <si>
    <t>Columna11994</t>
  </si>
  <si>
    <t>Columna11995</t>
  </si>
  <si>
    <t>Columna11996</t>
  </si>
  <si>
    <t>Columna11997</t>
  </si>
  <si>
    <t>Columna11998</t>
  </si>
  <si>
    <t>Columna11999</t>
  </si>
  <si>
    <t>Columna12000</t>
  </si>
  <si>
    <t>Columna12001</t>
  </si>
  <si>
    <t>Columna12002</t>
  </si>
  <si>
    <t>Columna12003</t>
  </si>
  <si>
    <t>Columna12004</t>
  </si>
  <si>
    <t>Columna12005</t>
  </si>
  <si>
    <t>Columna12006</t>
  </si>
  <si>
    <t>Columna12007</t>
  </si>
  <si>
    <t>Columna12008</t>
  </si>
  <si>
    <t>Columna12009</t>
  </si>
  <si>
    <t>Columna12010</t>
  </si>
  <si>
    <t>Columna12011</t>
  </si>
  <si>
    <t>Columna12012</t>
  </si>
  <si>
    <t>Columna12013</t>
  </si>
  <si>
    <t>Columna12014</t>
  </si>
  <si>
    <t>Columna12015</t>
  </si>
  <si>
    <t>Columna12016</t>
  </si>
  <si>
    <t>Columna12017</t>
  </si>
  <si>
    <t>Columna12018</t>
  </si>
  <si>
    <t>Columna12019</t>
  </si>
  <si>
    <t>Columna12020</t>
  </si>
  <si>
    <t>Columna12021</t>
  </si>
  <si>
    <t>Columna12022</t>
  </si>
  <si>
    <t>Columna12023</t>
  </si>
  <si>
    <t>Columna12024</t>
  </si>
  <si>
    <t>Columna12025</t>
  </si>
  <si>
    <t>Columna12026</t>
  </si>
  <si>
    <t>Columna12027</t>
  </si>
  <si>
    <t>Columna12028</t>
  </si>
  <si>
    <t>Columna12029</t>
  </si>
  <si>
    <t>Columna12030</t>
  </si>
  <si>
    <t>Columna12031</t>
  </si>
  <si>
    <t>Columna12032</t>
  </si>
  <si>
    <t>Columna12033</t>
  </si>
  <si>
    <t>Columna12034</t>
  </si>
  <si>
    <t>Columna12035</t>
  </si>
  <si>
    <t>Columna12036</t>
  </si>
  <si>
    <t>Columna12037</t>
  </si>
  <si>
    <t>Columna12038</t>
  </si>
  <si>
    <t>Columna12039</t>
  </si>
  <si>
    <t>Columna12040</t>
  </si>
  <si>
    <t>Columna12041</t>
  </si>
  <si>
    <t>Columna12042</t>
  </si>
  <si>
    <t>Columna12043</t>
  </si>
  <si>
    <t>Columna12044</t>
  </si>
  <si>
    <t>Columna12045</t>
  </si>
  <si>
    <t>Columna12046</t>
  </si>
  <si>
    <t>Columna12047</t>
  </si>
  <si>
    <t>Columna12048</t>
  </si>
  <si>
    <t>Columna12049</t>
  </si>
  <si>
    <t>Columna12050</t>
  </si>
  <si>
    <t>Columna12051</t>
  </si>
  <si>
    <t>Columna12052</t>
  </si>
  <si>
    <t>Columna12053</t>
  </si>
  <si>
    <t>Columna12054</t>
  </si>
  <si>
    <t>Columna12055</t>
  </si>
  <si>
    <t>Columna12056</t>
  </si>
  <si>
    <t>Columna12057</t>
  </si>
  <si>
    <t>Columna12058</t>
  </si>
  <si>
    <t>Columna12059</t>
  </si>
  <si>
    <t>Columna12060</t>
  </si>
  <si>
    <t>Columna12061</t>
  </si>
  <si>
    <t>Columna12062</t>
  </si>
  <si>
    <t>Columna12063</t>
  </si>
  <si>
    <t>Columna12064</t>
  </si>
  <si>
    <t>Columna12065</t>
  </si>
  <si>
    <t>Columna12066</t>
  </si>
  <si>
    <t>Columna12067</t>
  </si>
  <si>
    <t>Columna12068</t>
  </si>
  <si>
    <t>Columna12069</t>
  </si>
  <si>
    <t>Columna12070</t>
  </si>
  <si>
    <t>Columna12071</t>
  </si>
  <si>
    <t>Columna12072</t>
  </si>
  <si>
    <t>Columna12073</t>
  </si>
  <si>
    <t>Columna12074</t>
  </si>
  <si>
    <t>Columna12075</t>
  </si>
  <si>
    <t>Columna12076</t>
  </si>
  <si>
    <t>Columna12077</t>
  </si>
  <si>
    <t>Columna12078</t>
  </si>
  <si>
    <t>Columna12079</t>
  </si>
  <si>
    <t>Columna12080</t>
  </si>
  <si>
    <t>Columna12081</t>
  </si>
  <si>
    <t>Columna12082</t>
  </si>
  <si>
    <t>Columna12083</t>
  </si>
  <si>
    <t>Columna12084</t>
  </si>
  <si>
    <t>Columna12085</t>
  </si>
  <si>
    <t>Columna12086</t>
  </si>
  <si>
    <t>Columna12087</t>
  </si>
  <si>
    <t>Columna12088</t>
  </si>
  <si>
    <t>Columna12089</t>
  </si>
  <si>
    <t>Columna12090</t>
  </si>
  <si>
    <t>Columna12091</t>
  </si>
  <si>
    <t>Columna12092</t>
  </si>
  <si>
    <t>Columna12093</t>
  </si>
  <si>
    <t>Columna12094</t>
  </si>
  <si>
    <t>Columna12095</t>
  </si>
  <si>
    <t>Columna12096</t>
  </si>
  <si>
    <t>Columna12097</t>
  </si>
  <si>
    <t>Columna12098</t>
  </si>
  <si>
    <t>Columna12099</t>
  </si>
  <si>
    <t>Columna12100</t>
  </si>
  <si>
    <t>Columna12101</t>
  </si>
  <si>
    <t>Columna12102</t>
  </si>
  <si>
    <t>Columna12103</t>
  </si>
  <si>
    <t>Columna12104</t>
  </si>
  <si>
    <t>Columna12105</t>
  </si>
  <si>
    <t>Columna12106</t>
  </si>
  <si>
    <t>Columna12107</t>
  </si>
  <si>
    <t>Columna12108</t>
  </si>
  <si>
    <t>Columna12109</t>
  </si>
  <si>
    <t>Columna12110</t>
  </si>
  <si>
    <t>Columna12111</t>
  </si>
  <si>
    <t>Columna12112</t>
  </si>
  <si>
    <t>Columna12113</t>
  </si>
  <si>
    <t>Columna12114</t>
  </si>
  <si>
    <t>Columna12115</t>
  </si>
  <si>
    <t>Columna12116</t>
  </si>
  <si>
    <t>Columna12117</t>
  </si>
  <si>
    <t>Columna12118</t>
  </si>
  <si>
    <t>Columna12119</t>
  </si>
  <si>
    <t>Columna12120</t>
  </si>
  <si>
    <t>Columna12121</t>
  </si>
  <si>
    <t>Columna12122</t>
  </si>
  <si>
    <t>Columna12123</t>
  </si>
  <si>
    <t>Columna12124</t>
  </si>
  <si>
    <t>Columna12125</t>
  </si>
  <si>
    <t>Columna12126</t>
  </si>
  <si>
    <t>Columna12127</t>
  </si>
  <si>
    <t>Columna12128</t>
  </si>
  <si>
    <t>Columna12129</t>
  </si>
  <si>
    <t>Columna12130</t>
  </si>
  <si>
    <t>Columna12131</t>
  </si>
  <si>
    <t>Columna12132</t>
  </si>
  <si>
    <t>Columna12133</t>
  </si>
  <si>
    <t>Columna12134</t>
  </si>
  <si>
    <t>Columna12135</t>
  </si>
  <si>
    <t>Columna12136</t>
  </si>
  <si>
    <t>Columna12137</t>
  </si>
  <si>
    <t>Columna12138</t>
  </si>
  <si>
    <t>Columna12139</t>
  </si>
  <si>
    <t>Columna12140</t>
  </si>
  <si>
    <t>Columna12141</t>
  </si>
  <si>
    <t>Columna12142</t>
  </si>
  <si>
    <t>Columna12143</t>
  </si>
  <si>
    <t>Columna12144</t>
  </si>
  <si>
    <t>Columna12145</t>
  </si>
  <si>
    <t>Columna12146</t>
  </si>
  <si>
    <t>Columna12147</t>
  </si>
  <si>
    <t>Columna12148</t>
  </si>
  <si>
    <t>Columna12149</t>
  </si>
  <si>
    <t>Columna12150</t>
  </si>
  <si>
    <t>Columna12151</t>
  </si>
  <si>
    <t>Columna12152</t>
  </si>
  <si>
    <t>Columna12153</t>
  </si>
  <si>
    <t>Columna12154</t>
  </si>
  <si>
    <t>Columna12155</t>
  </si>
  <si>
    <t>Columna12156</t>
  </si>
  <si>
    <t>Columna12157</t>
  </si>
  <si>
    <t>Columna12158</t>
  </si>
  <si>
    <t>Columna12159</t>
  </si>
  <si>
    <t>Columna12160</t>
  </si>
  <si>
    <t>Columna12161</t>
  </si>
  <si>
    <t>Columna12162</t>
  </si>
  <si>
    <t>Columna12163</t>
  </si>
  <si>
    <t>Columna12164</t>
  </si>
  <si>
    <t>Columna12165</t>
  </si>
  <si>
    <t>Columna12166</t>
  </si>
  <si>
    <t>Columna12167</t>
  </si>
  <si>
    <t>Columna12168</t>
  </si>
  <si>
    <t>Columna12169</t>
  </si>
  <si>
    <t>Columna12170</t>
  </si>
  <si>
    <t>Columna12171</t>
  </si>
  <si>
    <t>Columna12172</t>
  </si>
  <si>
    <t>Columna12173</t>
  </si>
  <si>
    <t>Columna12174</t>
  </si>
  <si>
    <t>Columna12175</t>
  </si>
  <si>
    <t>Columna12176</t>
  </si>
  <si>
    <t>Columna12177</t>
  </si>
  <si>
    <t>Columna12178</t>
  </si>
  <si>
    <t>Columna12179</t>
  </si>
  <si>
    <t>Columna12180</t>
  </si>
  <si>
    <t>Columna12181</t>
  </si>
  <si>
    <t>Columna12182</t>
  </si>
  <si>
    <t>Columna12183</t>
  </si>
  <si>
    <t>Columna12184</t>
  </si>
  <si>
    <t>Columna12185</t>
  </si>
  <si>
    <t>Columna12186</t>
  </si>
  <si>
    <t>Columna12187</t>
  </si>
  <si>
    <t>Columna12188</t>
  </si>
  <si>
    <t>Columna12189</t>
  </si>
  <si>
    <t>Columna12190</t>
  </si>
  <si>
    <t>Columna12191</t>
  </si>
  <si>
    <t>Columna12192</t>
  </si>
  <si>
    <t>Columna12193</t>
  </si>
  <si>
    <t>Columna12194</t>
  </si>
  <si>
    <t>Columna12195</t>
  </si>
  <si>
    <t>Columna12196</t>
  </si>
  <si>
    <t>Columna12197</t>
  </si>
  <si>
    <t>Columna12198</t>
  </si>
  <si>
    <t>Columna12199</t>
  </si>
  <si>
    <t>Columna12200</t>
  </si>
  <si>
    <t>Columna12201</t>
  </si>
  <si>
    <t>Columna12202</t>
  </si>
  <si>
    <t>Columna12203</t>
  </si>
  <si>
    <t>Columna12204</t>
  </si>
  <si>
    <t>Columna12205</t>
  </si>
  <si>
    <t>Columna12206</t>
  </si>
  <si>
    <t>Columna12207</t>
  </si>
  <si>
    <t>Columna12208</t>
  </si>
  <si>
    <t>Columna12209</t>
  </si>
  <si>
    <t>Columna12210</t>
  </si>
  <si>
    <t>Columna12211</t>
  </si>
  <si>
    <t>Columna12212</t>
  </si>
  <si>
    <t>Columna12213</t>
  </si>
  <si>
    <t>Columna12214</t>
  </si>
  <si>
    <t>Columna12215</t>
  </si>
  <si>
    <t>Columna12216</t>
  </si>
  <si>
    <t>Columna12217</t>
  </si>
  <si>
    <t>Columna12218</t>
  </si>
  <si>
    <t>Columna12219</t>
  </si>
  <si>
    <t>Columna12220</t>
  </si>
  <si>
    <t>Columna12221</t>
  </si>
  <si>
    <t>Columna12222</t>
  </si>
  <si>
    <t>Columna12223</t>
  </si>
  <si>
    <t>Columna12224</t>
  </si>
  <si>
    <t>Columna12225</t>
  </si>
  <si>
    <t>Columna12226</t>
  </si>
  <si>
    <t>Columna12227</t>
  </si>
  <si>
    <t>Columna12228</t>
  </si>
  <si>
    <t>Columna12229</t>
  </si>
  <si>
    <t>Columna12230</t>
  </si>
  <si>
    <t>Columna12231</t>
  </si>
  <si>
    <t>Columna12232</t>
  </si>
  <si>
    <t>Columna12233</t>
  </si>
  <si>
    <t>Columna12234</t>
  </si>
  <si>
    <t>Columna12235</t>
  </si>
  <si>
    <t>Columna12236</t>
  </si>
  <si>
    <t>Columna12237</t>
  </si>
  <si>
    <t>Columna12238</t>
  </si>
  <si>
    <t>Columna12239</t>
  </si>
  <si>
    <t>Columna12240</t>
  </si>
  <si>
    <t>Columna12241</t>
  </si>
  <si>
    <t>Columna12242</t>
  </si>
  <si>
    <t>Columna12243</t>
  </si>
  <si>
    <t>Columna12244</t>
  </si>
  <si>
    <t>Columna12245</t>
  </si>
  <si>
    <t>Columna12246</t>
  </si>
  <si>
    <t>Columna12247</t>
  </si>
  <si>
    <t>Columna12248</t>
  </si>
  <si>
    <t>Columna12249</t>
  </si>
  <si>
    <t>Columna12250</t>
  </si>
  <si>
    <t>Columna12251</t>
  </si>
  <si>
    <t>Columna12252</t>
  </si>
  <si>
    <t>Columna12253</t>
  </si>
  <si>
    <t>Columna12254</t>
  </si>
  <si>
    <t>Columna12255</t>
  </si>
  <si>
    <t>Columna12256</t>
  </si>
  <si>
    <t>Columna12257</t>
  </si>
  <si>
    <t>Columna12258</t>
  </si>
  <si>
    <t>Columna12259</t>
  </si>
  <si>
    <t>Columna12260</t>
  </si>
  <si>
    <t>Columna12261</t>
  </si>
  <si>
    <t>Columna12262</t>
  </si>
  <si>
    <t>Columna12263</t>
  </si>
  <si>
    <t>Columna12264</t>
  </si>
  <si>
    <t>Columna12265</t>
  </si>
  <si>
    <t>Columna12266</t>
  </si>
  <si>
    <t>Columna12267</t>
  </si>
  <si>
    <t>Columna12268</t>
  </si>
  <si>
    <t>Columna12269</t>
  </si>
  <si>
    <t>Columna12270</t>
  </si>
  <si>
    <t>Columna12271</t>
  </si>
  <si>
    <t>Columna12272</t>
  </si>
  <si>
    <t>Columna12273</t>
  </si>
  <si>
    <t>Columna12274</t>
  </si>
  <si>
    <t>Columna12275</t>
  </si>
  <si>
    <t>Columna12276</t>
  </si>
  <si>
    <t>Columna12277</t>
  </si>
  <si>
    <t>Columna12278</t>
  </si>
  <si>
    <t>Columna12279</t>
  </si>
  <si>
    <t>Columna12280</t>
  </si>
  <si>
    <t>Columna12281</t>
  </si>
  <si>
    <t>Columna12282</t>
  </si>
  <si>
    <t>Columna12283</t>
  </si>
  <si>
    <t>Columna12284</t>
  </si>
  <si>
    <t>Columna12285</t>
  </si>
  <si>
    <t>Columna12286</t>
  </si>
  <si>
    <t>Columna12287</t>
  </si>
  <si>
    <t>Columna12288</t>
  </si>
  <si>
    <t>Columna12289</t>
  </si>
  <si>
    <t>Columna12290</t>
  </si>
  <si>
    <t>Columna12291</t>
  </si>
  <si>
    <t>Columna12292</t>
  </si>
  <si>
    <t>Columna12293</t>
  </si>
  <si>
    <t>Columna12294</t>
  </si>
  <si>
    <t>Columna12295</t>
  </si>
  <si>
    <t>Columna12296</t>
  </si>
  <si>
    <t>Columna12297</t>
  </si>
  <si>
    <t>Columna12298</t>
  </si>
  <si>
    <t>Columna12299</t>
  </si>
  <si>
    <t>Columna12300</t>
  </si>
  <si>
    <t>Columna12301</t>
  </si>
  <si>
    <t>Columna12302</t>
  </si>
  <si>
    <t>Columna12303</t>
  </si>
  <si>
    <t>Columna12304</t>
  </si>
  <si>
    <t>Columna12305</t>
  </si>
  <si>
    <t>Columna12306</t>
  </si>
  <si>
    <t>Columna12307</t>
  </si>
  <si>
    <t>Columna12308</t>
  </si>
  <si>
    <t>Columna12309</t>
  </si>
  <si>
    <t>Columna12310</t>
  </si>
  <si>
    <t>Columna12311</t>
  </si>
  <si>
    <t>Columna12312</t>
  </si>
  <si>
    <t>Columna12313</t>
  </si>
  <si>
    <t>Columna12314</t>
  </si>
  <si>
    <t>Columna12315</t>
  </si>
  <si>
    <t>Columna12316</t>
  </si>
  <si>
    <t>Columna12317</t>
  </si>
  <si>
    <t>Columna12318</t>
  </si>
  <si>
    <t>Columna12319</t>
  </si>
  <si>
    <t>Columna12320</t>
  </si>
  <si>
    <t>Columna12321</t>
  </si>
  <si>
    <t>Columna12322</t>
  </si>
  <si>
    <t>Columna12323</t>
  </si>
  <si>
    <t>Columna12324</t>
  </si>
  <si>
    <t>Columna12325</t>
  </si>
  <si>
    <t>Columna12326</t>
  </si>
  <si>
    <t>Columna12327</t>
  </si>
  <si>
    <t>Columna12328</t>
  </si>
  <si>
    <t>Columna12329</t>
  </si>
  <si>
    <t>Columna12330</t>
  </si>
  <si>
    <t>Columna12331</t>
  </si>
  <si>
    <t>Columna12332</t>
  </si>
  <si>
    <t>Columna12333</t>
  </si>
  <si>
    <t>Columna12334</t>
  </si>
  <si>
    <t>Columna12335</t>
  </si>
  <si>
    <t>Columna12336</t>
  </si>
  <si>
    <t>Columna12337</t>
  </si>
  <si>
    <t>Columna12338</t>
  </si>
  <si>
    <t>Columna12339</t>
  </si>
  <si>
    <t>Columna12340</t>
  </si>
  <si>
    <t>Columna12341</t>
  </si>
  <si>
    <t>Columna12342</t>
  </si>
  <si>
    <t>Columna12343</t>
  </si>
  <si>
    <t>Columna12344</t>
  </si>
  <si>
    <t>Columna12345</t>
  </si>
  <si>
    <t>Columna12346</t>
  </si>
  <si>
    <t>Columna12347</t>
  </si>
  <si>
    <t>Columna12348</t>
  </si>
  <si>
    <t>Columna12349</t>
  </si>
  <si>
    <t>Columna12350</t>
  </si>
  <si>
    <t>Columna12351</t>
  </si>
  <si>
    <t>Columna12352</t>
  </si>
  <si>
    <t>Columna12353</t>
  </si>
  <si>
    <t>Columna12354</t>
  </si>
  <si>
    <t>Columna12355</t>
  </si>
  <si>
    <t>Columna12356</t>
  </si>
  <si>
    <t>Columna12357</t>
  </si>
  <si>
    <t>Columna12358</t>
  </si>
  <si>
    <t>Columna12359</t>
  </si>
  <si>
    <t>Columna12360</t>
  </si>
  <si>
    <t>Columna12361</t>
  </si>
  <si>
    <t>Columna12362</t>
  </si>
  <si>
    <t>Columna12363</t>
  </si>
  <si>
    <t>Columna12364</t>
  </si>
  <si>
    <t>Columna12365</t>
  </si>
  <si>
    <t>Columna12366</t>
  </si>
  <si>
    <t>Columna12367</t>
  </si>
  <si>
    <t>Columna12368</t>
  </si>
  <si>
    <t>Columna12369</t>
  </si>
  <si>
    <t>Columna12370</t>
  </si>
  <si>
    <t>Columna12371</t>
  </si>
  <si>
    <t>Columna12372</t>
  </si>
  <si>
    <t>Columna12373</t>
  </si>
  <si>
    <t>Columna12374</t>
  </si>
  <si>
    <t>Columna12375</t>
  </si>
  <si>
    <t>Columna12376</t>
  </si>
  <si>
    <t>Columna12377</t>
  </si>
  <si>
    <t>Columna12378</t>
  </si>
  <si>
    <t>Columna12379</t>
  </si>
  <si>
    <t>Columna12380</t>
  </si>
  <si>
    <t>Columna12381</t>
  </si>
  <si>
    <t>Columna12382</t>
  </si>
  <si>
    <t>Columna12383</t>
  </si>
  <si>
    <t>Columna12384</t>
  </si>
  <si>
    <t>Columna12385</t>
  </si>
  <si>
    <t>Columna12386</t>
  </si>
  <si>
    <t>Columna12387</t>
  </si>
  <si>
    <t>Columna12388</t>
  </si>
  <si>
    <t>Columna12389</t>
  </si>
  <si>
    <t>Columna12390</t>
  </si>
  <si>
    <t>Columna12391</t>
  </si>
  <si>
    <t>Columna12392</t>
  </si>
  <si>
    <t>Columna12393</t>
  </si>
  <si>
    <t>Columna12394</t>
  </si>
  <si>
    <t>Columna12395</t>
  </si>
  <si>
    <t>Columna12396</t>
  </si>
  <si>
    <t>Columna12397</t>
  </si>
  <si>
    <t>Columna12398</t>
  </si>
  <si>
    <t>Columna12399</t>
  </si>
  <si>
    <t>Columna12400</t>
  </si>
  <si>
    <t>Columna12401</t>
  </si>
  <si>
    <t>Columna12402</t>
  </si>
  <si>
    <t>Columna12403</t>
  </si>
  <si>
    <t>Columna12404</t>
  </si>
  <si>
    <t>Columna12405</t>
  </si>
  <si>
    <t>Columna12406</t>
  </si>
  <si>
    <t>Columna12407</t>
  </si>
  <si>
    <t>Columna12408</t>
  </si>
  <si>
    <t>Columna12409</t>
  </si>
  <si>
    <t>Columna12410</t>
  </si>
  <si>
    <t>Columna12411</t>
  </si>
  <si>
    <t>Columna12412</t>
  </si>
  <si>
    <t>Columna12413</t>
  </si>
  <si>
    <t>Columna12414</t>
  </si>
  <si>
    <t>Columna12415</t>
  </si>
  <si>
    <t>Columna12416</t>
  </si>
  <si>
    <t>Columna12417</t>
  </si>
  <si>
    <t>Columna12418</t>
  </si>
  <si>
    <t>Columna12419</t>
  </si>
  <si>
    <t>Columna12420</t>
  </si>
  <si>
    <t>Columna12421</t>
  </si>
  <si>
    <t>Columna12422</t>
  </si>
  <si>
    <t>Columna12423</t>
  </si>
  <si>
    <t>Columna12424</t>
  </si>
  <si>
    <t>Columna12425</t>
  </si>
  <si>
    <t>Columna12426</t>
  </si>
  <si>
    <t>Columna12427</t>
  </si>
  <si>
    <t>Columna12428</t>
  </si>
  <si>
    <t>Columna12429</t>
  </si>
  <si>
    <t>Columna12430</t>
  </si>
  <si>
    <t>Columna12431</t>
  </si>
  <si>
    <t>Columna12432</t>
  </si>
  <si>
    <t>Columna12433</t>
  </si>
  <si>
    <t>Columna12434</t>
  </si>
  <si>
    <t>Columna12435</t>
  </si>
  <si>
    <t>Columna12436</t>
  </si>
  <si>
    <t>Columna12437</t>
  </si>
  <si>
    <t>Columna12438</t>
  </si>
  <si>
    <t>Columna12439</t>
  </si>
  <si>
    <t>Columna12440</t>
  </si>
  <si>
    <t>Columna12441</t>
  </si>
  <si>
    <t>Columna12442</t>
  </si>
  <si>
    <t>Columna12443</t>
  </si>
  <si>
    <t>Columna12444</t>
  </si>
  <si>
    <t>Columna12445</t>
  </si>
  <si>
    <t>Columna12446</t>
  </si>
  <si>
    <t>Columna12447</t>
  </si>
  <si>
    <t>Columna12448</t>
  </si>
  <si>
    <t>Columna12449</t>
  </si>
  <si>
    <t>Columna12450</t>
  </si>
  <si>
    <t>Columna12451</t>
  </si>
  <si>
    <t>Columna12452</t>
  </si>
  <si>
    <t>Columna12453</t>
  </si>
  <si>
    <t>Columna12454</t>
  </si>
  <si>
    <t>Columna12455</t>
  </si>
  <si>
    <t>Columna12456</t>
  </si>
  <si>
    <t>Columna12457</t>
  </si>
  <si>
    <t>Columna12458</t>
  </si>
  <si>
    <t>Columna12459</t>
  </si>
  <si>
    <t>Columna12460</t>
  </si>
  <si>
    <t>Columna12461</t>
  </si>
  <si>
    <t>Columna12462</t>
  </si>
  <si>
    <t>Columna12463</t>
  </si>
  <si>
    <t>Columna12464</t>
  </si>
  <si>
    <t>Columna12465</t>
  </si>
  <si>
    <t>Columna12466</t>
  </si>
  <si>
    <t>Columna12467</t>
  </si>
  <si>
    <t>Columna12468</t>
  </si>
  <si>
    <t>Columna12469</t>
  </si>
  <si>
    <t>Columna12470</t>
  </si>
  <si>
    <t>Columna12471</t>
  </si>
  <si>
    <t>Columna12472</t>
  </si>
  <si>
    <t>Columna12473</t>
  </si>
  <si>
    <t>Columna12474</t>
  </si>
  <si>
    <t>Columna12475</t>
  </si>
  <si>
    <t>Columna12476</t>
  </si>
  <si>
    <t>Columna12477</t>
  </si>
  <si>
    <t>Columna12478</t>
  </si>
  <si>
    <t>Columna12479</t>
  </si>
  <si>
    <t>Columna12480</t>
  </si>
  <si>
    <t>Columna12481</t>
  </si>
  <si>
    <t>Columna12482</t>
  </si>
  <si>
    <t>Columna12483</t>
  </si>
  <si>
    <t>Columna12484</t>
  </si>
  <si>
    <t>Columna12485</t>
  </si>
  <si>
    <t>Columna12486</t>
  </si>
  <si>
    <t>Columna12487</t>
  </si>
  <si>
    <t>Columna12488</t>
  </si>
  <si>
    <t>Columna12489</t>
  </si>
  <si>
    <t>Columna12490</t>
  </si>
  <si>
    <t>Columna12491</t>
  </si>
  <si>
    <t>Columna12492</t>
  </si>
  <si>
    <t>Columna12493</t>
  </si>
  <si>
    <t>Columna12494</t>
  </si>
  <si>
    <t>Columna12495</t>
  </si>
  <si>
    <t>Columna12496</t>
  </si>
  <si>
    <t>Columna12497</t>
  </si>
  <si>
    <t>Columna12498</t>
  </si>
  <si>
    <t>Columna12499</t>
  </si>
  <si>
    <t>Columna12500</t>
  </si>
  <si>
    <t>Columna12501</t>
  </si>
  <si>
    <t>Columna12502</t>
  </si>
  <si>
    <t>Columna12503</t>
  </si>
  <si>
    <t>Columna12504</t>
  </si>
  <si>
    <t>Columna12505</t>
  </si>
  <si>
    <t>Columna12506</t>
  </si>
  <si>
    <t>Columna12507</t>
  </si>
  <si>
    <t>Columna12508</t>
  </si>
  <si>
    <t>Columna12509</t>
  </si>
  <si>
    <t>Columna12510</t>
  </si>
  <si>
    <t>Columna12511</t>
  </si>
  <si>
    <t>Columna12512</t>
  </si>
  <si>
    <t>Columna12513</t>
  </si>
  <si>
    <t>Columna12514</t>
  </si>
  <si>
    <t>Columna12515</t>
  </si>
  <si>
    <t>Columna12516</t>
  </si>
  <si>
    <t>Columna12517</t>
  </si>
  <si>
    <t>Columna12518</t>
  </si>
  <si>
    <t>Columna12519</t>
  </si>
  <si>
    <t>Columna12520</t>
  </si>
  <si>
    <t>Columna12521</t>
  </si>
  <si>
    <t>Columna12522</t>
  </si>
  <si>
    <t>Columna12523</t>
  </si>
  <si>
    <t>Columna12524</t>
  </si>
  <si>
    <t>Columna12525</t>
  </si>
  <si>
    <t>Columna12526</t>
  </si>
  <si>
    <t>Columna12527</t>
  </si>
  <si>
    <t>Columna12528</t>
  </si>
  <si>
    <t>Columna12529</t>
  </si>
  <si>
    <t>Columna12530</t>
  </si>
  <si>
    <t>Columna12531</t>
  </si>
  <si>
    <t>Columna12532</t>
  </si>
  <si>
    <t>Columna12533</t>
  </si>
  <si>
    <t>Columna12534</t>
  </si>
  <si>
    <t>Columna12535</t>
  </si>
  <si>
    <t>Columna12536</t>
  </si>
  <si>
    <t>Columna12537</t>
  </si>
  <si>
    <t>Columna12538</t>
  </si>
  <si>
    <t>Columna12539</t>
  </si>
  <si>
    <t>Columna12540</t>
  </si>
  <si>
    <t>Columna12541</t>
  </si>
  <si>
    <t>Columna12542</t>
  </si>
  <si>
    <t>Columna12543</t>
  </si>
  <si>
    <t>Columna12544</t>
  </si>
  <si>
    <t>Columna12545</t>
  </si>
  <si>
    <t>Columna12546</t>
  </si>
  <si>
    <t>Columna12547</t>
  </si>
  <si>
    <t>Columna12548</t>
  </si>
  <si>
    <t>Columna12549</t>
  </si>
  <si>
    <t>Columna12550</t>
  </si>
  <si>
    <t>Columna12551</t>
  </si>
  <si>
    <t>Columna12552</t>
  </si>
  <si>
    <t>Columna12553</t>
  </si>
  <si>
    <t>Columna12554</t>
  </si>
  <si>
    <t>Columna12555</t>
  </si>
  <si>
    <t>Columna12556</t>
  </si>
  <si>
    <t>Columna12557</t>
  </si>
  <si>
    <t>Columna12558</t>
  </si>
  <si>
    <t>Columna12559</t>
  </si>
  <si>
    <t>Columna12560</t>
  </si>
  <si>
    <t>Columna12561</t>
  </si>
  <si>
    <t>Columna12562</t>
  </si>
  <si>
    <t>Columna12563</t>
  </si>
  <si>
    <t>Columna12564</t>
  </si>
  <si>
    <t>Columna12565</t>
  </si>
  <si>
    <t>Columna12566</t>
  </si>
  <si>
    <t>Columna12567</t>
  </si>
  <si>
    <t>Columna12568</t>
  </si>
  <si>
    <t>Columna12569</t>
  </si>
  <si>
    <t>Columna12570</t>
  </si>
  <si>
    <t>Columna12571</t>
  </si>
  <si>
    <t>Columna12572</t>
  </si>
  <si>
    <t>Columna12573</t>
  </si>
  <si>
    <t>Columna12574</t>
  </si>
  <si>
    <t>Columna12575</t>
  </si>
  <si>
    <t>Columna12576</t>
  </si>
  <si>
    <t>Columna12577</t>
  </si>
  <si>
    <t>Columna12578</t>
  </si>
  <si>
    <t>Columna12579</t>
  </si>
  <si>
    <t>Columna12580</t>
  </si>
  <si>
    <t>Columna12581</t>
  </si>
  <si>
    <t>Columna12582</t>
  </si>
  <si>
    <t>Columna12583</t>
  </si>
  <si>
    <t>Columna12584</t>
  </si>
  <si>
    <t>Columna12585</t>
  </si>
  <si>
    <t>Columna12586</t>
  </si>
  <si>
    <t>Columna12587</t>
  </si>
  <si>
    <t>Columna12588</t>
  </si>
  <si>
    <t>Columna12589</t>
  </si>
  <si>
    <t>Columna12590</t>
  </si>
  <si>
    <t>Columna12591</t>
  </si>
  <si>
    <t>Columna12592</t>
  </si>
  <si>
    <t>Columna12593</t>
  </si>
  <si>
    <t>Columna12594</t>
  </si>
  <si>
    <t>Columna12595</t>
  </si>
  <si>
    <t>Columna12596</t>
  </si>
  <si>
    <t>Columna12597</t>
  </si>
  <si>
    <t>Columna12598</t>
  </si>
  <si>
    <t>Columna12599</t>
  </si>
  <si>
    <t>Columna12600</t>
  </si>
  <si>
    <t>Columna12601</t>
  </si>
  <si>
    <t>Columna12602</t>
  </si>
  <si>
    <t>Columna12603</t>
  </si>
  <si>
    <t>Columna12604</t>
  </si>
  <si>
    <t>Columna12605</t>
  </si>
  <si>
    <t>Columna12606</t>
  </si>
  <si>
    <t>Columna12607</t>
  </si>
  <si>
    <t>Columna12608</t>
  </si>
  <si>
    <t>Columna12609</t>
  </si>
  <si>
    <t>Columna12610</t>
  </si>
  <si>
    <t>Columna12611</t>
  </si>
  <si>
    <t>Columna12612</t>
  </si>
  <si>
    <t>Columna12613</t>
  </si>
  <si>
    <t>Columna12614</t>
  </si>
  <si>
    <t>Columna12615</t>
  </si>
  <si>
    <t>Columna12616</t>
  </si>
  <si>
    <t>Columna12617</t>
  </si>
  <si>
    <t>Columna12618</t>
  </si>
  <si>
    <t>Columna12619</t>
  </si>
  <si>
    <t>Columna12620</t>
  </si>
  <si>
    <t>Columna12621</t>
  </si>
  <si>
    <t>Columna12622</t>
  </si>
  <si>
    <t>Columna12623</t>
  </si>
  <si>
    <t>Columna12624</t>
  </si>
  <si>
    <t>Columna12625</t>
  </si>
  <si>
    <t>Columna12626</t>
  </si>
  <si>
    <t>Columna12627</t>
  </si>
  <si>
    <t>Columna12628</t>
  </si>
  <si>
    <t>Columna12629</t>
  </si>
  <si>
    <t>Columna12630</t>
  </si>
  <si>
    <t>Columna12631</t>
  </si>
  <si>
    <t>Columna12632</t>
  </si>
  <si>
    <t>Columna12633</t>
  </si>
  <si>
    <t>Columna12634</t>
  </si>
  <si>
    <t>Columna12635</t>
  </si>
  <si>
    <t>Columna12636</t>
  </si>
  <si>
    <t>Columna12637</t>
  </si>
  <si>
    <t>Columna12638</t>
  </si>
  <si>
    <t>Columna12639</t>
  </si>
  <si>
    <t>Columna12640</t>
  </si>
  <si>
    <t>Columna12641</t>
  </si>
  <si>
    <t>Columna12642</t>
  </si>
  <si>
    <t>Columna12643</t>
  </si>
  <si>
    <t>Columna12644</t>
  </si>
  <si>
    <t>Columna12645</t>
  </si>
  <si>
    <t>Columna12646</t>
  </si>
  <si>
    <t>Columna12647</t>
  </si>
  <si>
    <t>Columna12648</t>
  </si>
  <si>
    <t>Columna12649</t>
  </si>
  <si>
    <t>Columna12650</t>
  </si>
  <si>
    <t>Columna12651</t>
  </si>
  <si>
    <t>Columna12652</t>
  </si>
  <si>
    <t>Columna12653</t>
  </si>
  <si>
    <t>Columna12654</t>
  </si>
  <si>
    <t>Columna12655</t>
  </si>
  <si>
    <t>Columna12656</t>
  </si>
  <si>
    <t>Columna12657</t>
  </si>
  <si>
    <t>Columna12658</t>
  </si>
  <si>
    <t>Columna12659</t>
  </si>
  <si>
    <t>Columna12660</t>
  </si>
  <si>
    <t>Columna12661</t>
  </si>
  <si>
    <t>Columna12662</t>
  </si>
  <si>
    <t>Columna12663</t>
  </si>
  <si>
    <t>Columna12664</t>
  </si>
  <si>
    <t>Columna12665</t>
  </si>
  <si>
    <t>Columna12666</t>
  </si>
  <si>
    <t>Columna12667</t>
  </si>
  <si>
    <t>Columna12668</t>
  </si>
  <si>
    <t>Columna12669</t>
  </si>
  <si>
    <t>Columna12670</t>
  </si>
  <si>
    <t>Columna12671</t>
  </si>
  <si>
    <t>Columna12672</t>
  </si>
  <si>
    <t>Columna12673</t>
  </si>
  <si>
    <t>Columna12674</t>
  </si>
  <si>
    <t>Columna12675</t>
  </si>
  <si>
    <t>Columna12676</t>
  </si>
  <si>
    <t>Columna12677</t>
  </si>
  <si>
    <t>Columna12678</t>
  </si>
  <si>
    <t>Columna12679</t>
  </si>
  <si>
    <t>Columna12680</t>
  </si>
  <si>
    <t>Columna12681</t>
  </si>
  <si>
    <t>Columna12682</t>
  </si>
  <si>
    <t>Columna12683</t>
  </si>
  <si>
    <t>Columna12684</t>
  </si>
  <si>
    <t>Columna12685</t>
  </si>
  <si>
    <t>Columna12686</t>
  </si>
  <si>
    <t>Columna12687</t>
  </si>
  <si>
    <t>Columna12688</t>
  </si>
  <si>
    <t>Columna12689</t>
  </si>
  <si>
    <t>Columna12690</t>
  </si>
  <si>
    <t>Columna12691</t>
  </si>
  <si>
    <t>Columna12692</t>
  </si>
  <si>
    <t>Columna12693</t>
  </si>
  <si>
    <t>Columna12694</t>
  </si>
  <si>
    <t>Columna12695</t>
  </si>
  <si>
    <t>Columna12696</t>
  </si>
  <si>
    <t>Columna12697</t>
  </si>
  <si>
    <t>Columna12698</t>
  </si>
  <si>
    <t>Columna12699</t>
  </si>
  <si>
    <t>Columna12700</t>
  </si>
  <si>
    <t>Columna12701</t>
  </si>
  <si>
    <t>Columna12702</t>
  </si>
  <si>
    <t>Columna12703</t>
  </si>
  <si>
    <t>Columna12704</t>
  </si>
  <si>
    <t>Columna12705</t>
  </si>
  <si>
    <t>Columna12706</t>
  </si>
  <si>
    <t>Columna12707</t>
  </si>
  <si>
    <t>Columna12708</t>
  </si>
  <si>
    <t>Columna12709</t>
  </si>
  <si>
    <t>Columna12710</t>
  </si>
  <si>
    <t>Columna12711</t>
  </si>
  <si>
    <t>Columna12712</t>
  </si>
  <si>
    <t>Columna12713</t>
  </si>
  <si>
    <t>Columna12714</t>
  </si>
  <si>
    <t>Columna12715</t>
  </si>
  <si>
    <t>Columna12716</t>
  </si>
  <si>
    <t>Columna12717</t>
  </si>
  <si>
    <t>Columna12718</t>
  </si>
  <si>
    <t>Columna12719</t>
  </si>
  <si>
    <t>Columna12720</t>
  </si>
  <si>
    <t>Columna12721</t>
  </si>
  <si>
    <t>Columna12722</t>
  </si>
  <si>
    <t>Columna12723</t>
  </si>
  <si>
    <t>Columna12724</t>
  </si>
  <si>
    <t>Columna12725</t>
  </si>
  <si>
    <t>Columna12726</t>
  </si>
  <si>
    <t>Columna12727</t>
  </si>
  <si>
    <t>Columna12728</t>
  </si>
  <si>
    <t>Columna12729</t>
  </si>
  <si>
    <t>Columna12730</t>
  </si>
  <si>
    <t>Columna12731</t>
  </si>
  <si>
    <t>Columna12732</t>
  </si>
  <si>
    <t>Columna12733</t>
  </si>
  <si>
    <t>Columna12734</t>
  </si>
  <si>
    <t>Columna12735</t>
  </si>
  <si>
    <t>Columna12736</t>
  </si>
  <si>
    <t>Columna12737</t>
  </si>
  <si>
    <t>Columna12738</t>
  </si>
  <si>
    <t>Columna12739</t>
  </si>
  <si>
    <t>Columna12740</t>
  </si>
  <si>
    <t>Columna12741</t>
  </si>
  <si>
    <t>Columna12742</t>
  </si>
  <si>
    <t>Columna12743</t>
  </si>
  <si>
    <t>Columna12744</t>
  </si>
  <si>
    <t>Columna12745</t>
  </si>
  <si>
    <t>Columna12746</t>
  </si>
  <si>
    <t>Columna12747</t>
  </si>
  <si>
    <t>Columna12748</t>
  </si>
  <si>
    <t>Columna12749</t>
  </si>
  <si>
    <t>Columna12750</t>
  </si>
  <si>
    <t>Columna12751</t>
  </si>
  <si>
    <t>Columna12752</t>
  </si>
  <si>
    <t>Columna12753</t>
  </si>
  <si>
    <t>Columna12754</t>
  </si>
  <si>
    <t>Columna12755</t>
  </si>
  <si>
    <t>Columna12756</t>
  </si>
  <si>
    <t>Columna12757</t>
  </si>
  <si>
    <t>Columna12758</t>
  </si>
  <si>
    <t>Columna12759</t>
  </si>
  <si>
    <t>Columna12760</t>
  </si>
  <si>
    <t>Columna12761</t>
  </si>
  <si>
    <t>Columna12762</t>
  </si>
  <si>
    <t>Columna12763</t>
  </si>
  <si>
    <t>Columna12764</t>
  </si>
  <si>
    <t>Columna12765</t>
  </si>
  <si>
    <t>Columna12766</t>
  </si>
  <si>
    <t>Columna12767</t>
  </si>
  <si>
    <t>Columna12768</t>
  </si>
  <si>
    <t>Columna12769</t>
  </si>
  <si>
    <t>Columna12770</t>
  </si>
  <si>
    <t>Columna12771</t>
  </si>
  <si>
    <t>Columna12772</t>
  </si>
  <si>
    <t>Columna12773</t>
  </si>
  <si>
    <t>Columna12774</t>
  </si>
  <si>
    <t>Columna12775</t>
  </si>
  <si>
    <t>Columna12776</t>
  </si>
  <si>
    <t>Columna12777</t>
  </si>
  <si>
    <t>Columna12778</t>
  </si>
  <si>
    <t>Columna12779</t>
  </si>
  <si>
    <t>Columna12780</t>
  </si>
  <si>
    <t>Columna12781</t>
  </si>
  <si>
    <t>Columna12782</t>
  </si>
  <si>
    <t>Columna12783</t>
  </si>
  <si>
    <t>Columna12784</t>
  </si>
  <si>
    <t>Columna12785</t>
  </si>
  <si>
    <t>Columna12786</t>
  </si>
  <si>
    <t>Columna12787</t>
  </si>
  <si>
    <t>Columna12788</t>
  </si>
  <si>
    <t>Columna12789</t>
  </si>
  <si>
    <t>Columna12790</t>
  </si>
  <si>
    <t>Columna12791</t>
  </si>
  <si>
    <t>Columna12792</t>
  </si>
  <si>
    <t>Columna12793</t>
  </si>
  <si>
    <t>Columna12794</t>
  </si>
  <si>
    <t>Columna12795</t>
  </si>
  <si>
    <t>Columna12796</t>
  </si>
  <si>
    <t>Columna12797</t>
  </si>
  <si>
    <t>Columna12798</t>
  </si>
  <si>
    <t>Columna12799</t>
  </si>
  <si>
    <t>Columna12800</t>
  </si>
  <si>
    <t>Columna12801</t>
  </si>
  <si>
    <t>Columna12802</t>
  </si>
  <si>
    <t>Columna12803</t>
  </si>
  <si>
    <t>Columna12804</t>
  </si>
  <si>
    <t>Columna12805</t>
  </si>
  <si>
    <t>Columna12806</t>
  </si>
  <si>
    <t>Columna12807</t>
  </si>
  <si>
    <t>Columna12808</t>
  </si>
  <si>
    <t>Columna12809</t>
  </si>
  <si>
    <t>Columna12810</t>
  </si>
  <si>
    <t>Columna12811</t>
  </si>
  <si>
    <t>Columna12812</t>
  </si>
  <si>
    <t>Columna12813</t>
  </si>
  <si>
    <t>Columna12814</t>
  </si>
  <si>
    <t>Columna12815</t>
  </si>
  <si>
    <t>Columna12816</t>
  </si>
  <si>
    <t>Columna12817</t>
  </si>
  <si>
    <t>Columna12818</t>
  </si>
  <si>
    <t>Columna12819</t>
  </si>
  <si>
    <t>Columna12820</t>
  </si>
  <si>
    <t>Columna12821</t>
  </si>
  <si>
    <t>Columna12822</t>
  </si>
  <si>
    <t>Columna12823</t>
  </si>
  <si>
    <t>Columna12824</t>
  </si>
  <si>
    <t>Columna12825</t>
  </si>
  <si>
    <t>Columna12826</t>
  </si>
  <si>
    <t>Columna12827</t>
  </si>
  <si>
    <t>Columna12828</t>
  </si>
  <si>
    <t>Columna12829</t>
  </si>
  <si>
    <t>Columna12830</t>
  </si>
  <si>
    <t>Columna12831</t>
  </si>
  <si>
    <t>Columna12832</t>
  </si>
  <si>
    <t>Columna12833</t>
  </si>
  <si>
    <t>Columna12834</t>
  </si>
  <si>
    <t>Columna12835</t>
  </si>
  <si>
    <t>Columna12836</t>
  </si>
  <si>
    <t>Columna12837</t>
  </si>
  <si>
    <t>Columna12838</t>
  </si>
  <si>
    <t>Columna12839</t>
  </si>
  <si>
    <t>Columna12840</t>
  </si>
  <si>
    <t>Columna12841</t>
  </si>
  <si>
    <t>Columna12842</t>
  </si>
  <si>
    <t>Columna12843</t>
  </si>
  <si>
    <t>Columna12844</t>
  </si>
  <si>
    <t>Columna12845</t>
  </si>
  <si>
    <t>Columna12846</t>
  </si>
  <si>
    <t>Columna12847</t>
  </si>
  <si>
    <t>Columna12848</t>
  </si>
  <si>
    <t>Columna12849</t>
  </si>
  <si>
    <t>Columna12850</t>
  </si>
  <si>
    <t>Columna12851</t>
  </si>
  <si>
    <t>Columna12852</t>
  </si>
  <si>
    <t>Columna12853</t>
  </si>
  <si>
    <t>Columna12854</t>
  </si>
  <si>
    <t>Columna12855</t>
  </si>
  <si>
    <t>Columna12856</t>
  </si>
  <si>
    <t>Columna12857</t>
  </si>
  <si>
    <t>Columna12858</t>
  </si>
  <si>
    <t>Columna12859</t>
  </si>
  <si>
    <t>Columna12860</t>
  </si>
  <si>
    <t>Columna12861</t>
  </si>
  <si>
    <t>Columna12862</t>
  </si>
  <si>
    <t>Columna12863</t>
  </si>
  <si>
    <t>Columna12864</t>
  </si>
  <si>
    <t>Columna12865</t>
  </si>
  <si>
    <t>Columna12866</t>
  </si>
  <si>
    <t>Columna12867</t>
  </si>
  <si>
    <t>Columna12868</t>
  </si>
  <si>
    <t>Columna12869</t>
  </si>
  <si>
    <t>Columna12870</t>
  </si>
  <si>
    <t>Columna12871</t>
  </si>
  <si>
    <t>Columna12872</t>
  </si>
  <si>
    <t>Columna12873</t>
  </si>
  <si>
    <t>Columna12874</t>
  </si>
  <si>
    <t>Columna12875</t>
  </si>
  <si>
    <t>Columna12876</t>
  </si>
  <si>
    <t>Columna12877</t>
  </si>
  <si>
    <t>Columna12878</t>
  </si>
  <si>
    <t>Columna12879</t>
  </si>
  <si>
    <t>Columna12880</t>
  </si>
  <si>
    <t>Columna12881</t>
  </si>
  <si>
    <t>Columna12882</t>
  </si>
  <si>
    <t>Columna12883</t>
  </si>
  <si>
    <t>Columna12884</t>
  </si>
  <si>
    <t>Columna12885</t>
  </si>
  <si>
    <t>Columna12886</t>
  </si>
  <si>
    <t>Columna12887</t>
  </si>
  <si>
    <t>Columna12888</t>
  </si>
  <si>
    <t>Columna12889</t>
  </si>
  <si>
    <t>Columna12890</t>
  </si>
  <si>
    <t>Columna12891</t>
  </si>
  <si>
    <t>Columna12892</t>
  </si>
  <si>
    <t>Columna12893</t>
  </si>
  <si>
    <t>Columna12894</t>
  </si>
  <si>
    <t>Columna12895</t>
  </si>
  <si>
    <t>Columna12896</t>
  </si>
  <si>
    <t>Columna12897</t>
  </si>
  <si>
    <t>Columna12898</t>
  </si>
  <si>
    <t>Columna12899</t>
  </si>
  <si>
    <t>Columna12900</t>
  </si>
  <si>
    <t>Columna12901</t>
  </si>
  <si>
    <t>Columna12902</t>
  </si>
  <si>
    <t>Columna12903</t>
  </si>
  <si>
    <t>Columna12904</t>
  </si>
  <si>
    <t>Columna12905</t>
  </si>
  <si>
    <t>Columna12906</t>
  </si>
  <si>
    <t>Columna12907</t>
  </si>
  <si>
    <t>Columna12908</t>
  </si>
  <si>
    <t>Columna12909</t>
  </si>
  <si>
    <t>Columna12910</t>
  </si>
  <si>
    <t>Columna12911</t>
  </si>
  <si>
    <t>Columna12912</t>
  </si>
  <si>
    <t>Columna12913</t>
  </si>
  <si>
    <t>Columna12914</t>
  </si>
  <si>
    <t>Columna12915</t>
  </si>
  <si>
    <t>Columna12916</t>
  </si>
  <si>
    <t>Columna12917</t>
  </si>
  <si>
    <t>Columna12918</t>
  </si>
  <si>
    <t>Columna12919</t>
  </si>
  <si>
    <t>Columna12920</t>
  </si>
  <si>
    <t>Columna12921</t>
  </si>
  <si>
    <t>Columna12922</t>
  </si>
  <si>
    <t>Columna12923</t>
  </si>
  <si>
    <t>Columna12924</t>
  </si>
  <si>
    <t>Columna12925</t>
  </si>
  <si>
    <t>Columna12926</t>
  </si>
  <si>
    <t>Columna12927</t>
  </si>
  <si>
    <t>Columna12928</t>
  </si>
  <si>
    <t>Columna12929</t>
  </si>
  <si>
    <t>Columna12930</t>
  </si>
  <si>
    <t>Columna12931</t>
  </si>
  <si>
    <t>Columna12932</t>
  </si>
  <si>
    <t>Columna12933</t>
  </si>
  <si>
    <t>Columna12934</t>
  </si>
  <si>
    <t>Columna12935</t>
  </si>
  <si>
    <t>Columna12936</t>
  </si>
  <si>
    <t>Columna12937</t>
  </si>
  <si>
    <t>Columna12938</t>
  </si>
  <si>
    <t>Columna12939</t>
  </si>
  <si>
    <t>Columna12940</t>
  </si>
  <si>
    <t>Columna12941</t>
  </si>
  <si>
    <t>Columna12942</t>
  </si>
  <si>
    <t>Columna12943</t>
  </si>
  <si>
    <t>Columna12944</t>
  </si>
  <si>
    <t>Columna12945</t>
  </si>
  <si>
    <t>Columna12946</t>
  </si>
  <si>
    <t>Columna12947</t>
  </si>
  <si>
    <t>Columna12948</t>
  </si>
  <si>
    <t>Columna12949</t>
  </si>
  <si>
    <t>Columna12950</t>
  </si>
  <si>
    <t>Columna12951</t>
  </si>
  <si>
    <t>Columna12952</t>
  </si>
  <si>
    <t>Columna12953</t>
  </si>
  <si>
    <t>Columna12954</t>
  </si>
  <si>
    <t>Columna12955</t>
  </si>
  <si>
    <t>Columna12956</t>
  </si>
  <si>
    <t>Columna12957</t>
  </si>
  <si>
    <t>Columna12958</t>
  </si>
  <si>
    <t>Columna12959</t>
  </si>
  <si>
    <t>Columna12960</t>
  </si>
  <si>
    <t>Columna12961</t>
  </si>
  <si>
    <t>Columna12962</t>
  </si>
  <si>
    <t>Columna12963</t>
  </si>
  <si>
    <t>Columna12964</t>
  </si>
  <si>
    <t>Columna12965</t>
  </si>
  <si>
    <t>Columna12966</t>
  </si>
  <si>
    <t>Columna12967</t>
  </si>
  <si>
    <t>Columna12968</t>
  </si>
  <si>
    <t>Columna12969</t>
  </si>
  <si>
    <t>Columna12970</t>
  </si>
  <si>
    <t>Columna12971</t>
  </si>
  <si>
    <t>Columna12972</t>
  </si>
  <si>
    <t>Columna12973</t>
  </si>
  <si>
    <t>Columna12974</t>
  </si>
  <si>
    <t>Columna12975</t>
  </si>
  <si>
    <t>Columna12976</t>
  </si>
  <si>
    <t>Columna12977</t>
  </si>
  <si>
    <t>Columna12978</t>
  </si>
  <si>
    <t>Columna12979</t>
  </si>
  <si>
    <t>Columna12980</t>
  </si>
  <si>
    <t>Columna12981</t>
  </si>
  <si>
    <t>Columna12982</t>
  </si>
  <si>
    <t>Columna12983</t>
  </si>
  <si>
    <t>Columna12984</t>
  </si>
  <si>
    <t>Columna12985</t>
  </si>
  <si>
    <t>Columna12986</t>
  </si>
  <si>
    <t>Columna12987</t>
  </si>
  <si>
    <t>Columna12988</t>
  </si>
  <si>
    <t>Columna12989</t>
  </si>
  <si>
    <t>Columna12990</t>
  </si>
  <si>
    <t>Columna12991</t>
  </si>
  <si>
    <t>Columna12992</t>
  </si>
  <si>
    <t>Columna12993</t>
  </si>
  <si>
    <t>Columna12994</t>
  </si>
  <si>
    <t>Columna12995</t>
  </si>
  <si>
    <t>Columna12996</t>
  </si>
  <si>
    <t>Columna12997</t>
  </si>
  <si>
    <t>Columna12998</t>
  </si>
  <si>
    <t>Columna12999</t>
  </si>
  <si>
    <t>Columna13000</t>
  </si>
  <si>
    <t>Columna13001</t>
  </si>
  <si>
    <t>Columna13002</t>
  </si>
  <si>
    <t>Columna13003</t>
  </si>
  <si>
    <t>Columna13004</t>
  </si>
  <si>
    <t>Columna13005</t>
  </si>
  <si>
    <t>Columna13006</t>
  </si>
  <si>
    <t>Columna13007</t>
  </si>
  <si>
    <t>Columna13008</t>
  </si>
  <si>
    <t>Columna13009</t>
  </si>
  <si>
    <t>Columna13010</t>
  </si>
  <si>
    <t>Columna13011</t>
  </si>
  <si>
    <t>Columna13012</t>
  </si>
  <si>
    <t>Columna13013</t>
  </si>
  <si>
    <t>Columna13014</t>
  </si>
  <si>
    <t>Columna13015</t>
  </si>
  <si>
    <t>Columna13016</t>
  </si>
  <si>
    <t>Columna13017</t>
  </si>
  <si>
    <t>Columna13018</t>
  </si>
  <si>
    <t>Columna13019</t>
  </si>
  <si>
    <t>Columna13020</t>
  </si>
  <si>
    <t>Columna13021</t>
  </si>
  <si>
    <t>Columna13022</t>
  </si>
  <si>
    <t>Columna13023</t>
  </si>
  <si>
    <t>Columna13024</t>
  </si>
  <si>
    <t>Columna13025</t>
  </si>
  <si>
    <t>Columna13026</t>
  </si>
  <si>
    <t>Columna13027</t>
  </si>
  <si>
    <t>Columna13028</t>
  </si>
  <si>
    <t>Columna13029</t>
  </si>
  <si>
    <t>Columna13030</t>
  </si>
  <si>
    <t>Columna13031</t>
  </si>
  <si>
    <t>Columna13032</t>
  </si>
  <si>
    <t>Columna13033</t>
  </si>
  <si>
    <t>Columna13034</t>
  </si>
  <si>
    <t>Columna13035</t>
  </si>
  <si>
    <t>Columna13036</t>
  </si>
  <si>
    <t>Columna13037</t>
  </si>
  <si>
    <t>Columna13038</t>
  </si>
  <si>
    <t>Columna13039</t>
  </si>
  <si>
    <t>Columna13040</t>
  </si>
  <si>
    <t>Columna13041</t>
  </si>
  <si>
    <t>Columna13042</t>
  </si>
  <si>
    <t>Columna13043</t>
  </si>
  <si>
    <t>Columna13044</t>
  </si>
  <si>
    <t>Columna13045</t>
  </si>
  <si>
    <t>Columna13046</t>
  </si>
  <si>
    <t>Columna13047</t>
  </si>
  <si>
    <t>Columna13048</t>
  </si>
  <si>
    <t>Columna13049</t>
  </si>
  <si>
    <t>Columna13050</t>
  </si>
  <si>
    <t>Columna13051</t>
  </si>
  <si>
    <t>Columna13052</t>
  </si>
  <si>
    <t>Columna13053</t>
  </si>
  <si>
    <t>Columna13054</t>
  </si>
  <si>
    <t>Columna13055</t>
  </si>
  <si>
    <t>Columna13056</t>
  </si>
  <si>
    <t>Columna13057</t>
  </si>
  <si>
    <t>Columna13058</t>
  </si>
  <si>
    <t>Columna13059</t>
  </si>
  <si>
    <t>Columna13060</t>
  </si>
  <si>
    <t>Columna13061</t>
  </si>
  <si>
    <t>Columna13062</t>
  </si>
  <si>
    <t>Columna13063</t>
  </si>
  <si>
    <t>Columna13064</t>
  </si>
  <si>
    <t>Columna13065</t>
  </si>
  <si>
    <t>Columna13066</t>
  </si>
  <si>
    <t>Columna13067</t>
  </si>
  <si>
    <t>Columna13068</t>
  </si>
  <si>
    <t>Columna13069</t>
  </si>
  <si>
    <t>Columna13070</t>
  </si>
  <si>
    <t>Columna13071</t>
  </si>
  <si>
    <t>Columna13072</t>
  </si>
  <si>
    <t>Columna13073</t>
  </si>
  <si>
    <t>Columna13074</t>
  </si>
  <si>
    <t>Columna13075</t>
  </si>
  <si>
    <t>Columna13076</t>
  </si>
  <si>
    <t>Columna13077</t>
  </si>
  <si>
    <t>Columna13078</t>
  </si>
  <si>
    <t>Columna13079</t>
  </si>
  <si>
    <t>Columna13080</t>
  </si>
  <si>
    <t>Columna13081</t>
  </si>
  <si>
    <t>Columna13082</t>
  </si>
  <si>
    <t>Columna13083</t>
  </si>
  <si>
    <t>Columna13084</t>
  </si>
  <si>
    <t>Columna13085</t>
  </si>
  <si>
    <t>Columna13086</t>
  </si>
  <si>
    <t>Columna13087</t>
  </si>
  <si>
    <t>Columna13088</t>
  </si>
  <si>
    <t>Columna13089</t>
  </si>
  <si>
    <t>Columna13090</t>
  </si>
  <si>
    <t>Columna13091</t>
  </si>
  <si>
    <t>Columna13092</t>
  </si>
  <si>
    <t>Columna13093</t>
  </si>
  <si>
    <t>Columna13094</t>
  </si>
  <si>
    <t>Columna13095</t>
  </si>
  <si>
    <t>Columna13096</t>
  </si>
  <si>
    <t>Columna13097</t>
  </si>
  <si>
    <t>Columna13098</t>
  </si>
  <si>
    <t>Columna13099</t>
  </si>
  <si>
    <t>Columna13100</t>
  </si>
  <si>
    <t>Columna13101</t>
  </si>
  <si>
    <t>Columna13102</t>
  </si>
  <si>
    <t>Columna13103</t>
  </si>
  <si>
    <t>Columna13104</t>
  </si>
  <si>
    <t>Columna13105</t>
  </si>
  <si>
    <t>Columna13106</t>
  </si>
  <si>
    <t>Columna13107</t>
  </si>
  <si>
    <t>Columna13108</t>
  </si>
  <si>
    <t>Columna13109</t>
  </si>
  <si>
    <t>Columna13110</t>
  </si>
  <si>
    <t>Columna13111</t>
  </si>
  <si>
    <t>Columna13112</t>
  </si>
  <si>
    <t>Columna13113</t>
  </si>
  <si>
    <t>Columna13114</t>
  </si>
  <si>
    <t>Columna13115</t>
  </si>
  <si>
    <t>Columna13116</t>
  </si>
  <si>
    <t>Columna13117</t>
  </si>
  <si>
    <t>Columna13118</t>
  </si>
  <si>
    <t>Columna13119</t>
  </si>
  <si>
    <t>Columna13120</t>
  </si>
  <si>
    <t>Columna13121</t>
  </si>
  <si>
    <t>Columna13122</t>
  </si>
  <si>
    <t>Columna13123</t>
  </si>
  <si>
    <t>Columna13124</t>
  </si>
  <si>
    <t>Columna13125</t>
  </si>
  <si>
    <t>Columna13126</t>
  </si>
  <si>
    <t>Columna13127</t>
  </si>
  <si>
    <t>Columna13128</t>
  </si>
  <si>
    <t>Columna13129</t>
  </si>
  <si>
    <t>Columna13130</t>
  </si>
  <si>
    <t>Columna13131</t>
  </si>
  <si>
    <t>Columna13132</t>
  </si>
  <si>
    <t>Columna13133</t>
  </si>
  <si>
    <t>Columna13134</t>
  </si>
  <si>
    <t>Columna13135</t>
  </si>
  <si>
    <t>Columna13136</t>
  </si>
  <si>
    <t>Columna13137</t>
  </si>
  <si>
    <t>Columna13138</t>
  </si>
  <si>
    <t>Columna13139</t>
  </si>
  <si>
    <t>Columna13140</t>
  </si>
  <si>
    <t>Columna13141</t>
  </si>
  <si>
    <t>Columna13142</t>
  </si>
  <si>
    <t>Columna13143</t>
  </si>
  <si>
    <t>Columna13144</t>
  </si>
  <si>
    <t>Columna13145</t>
  </si>
  <si>
    <t>Columna13146</t>
  </si>
  <si>
    <t>Columna13147</t>
  </si>
  <si>
    <t>Columna13148</t>
  </si>
  <si>
    <t>Columna13149</t>
  </si>
  <si>
    <t>Columna13150</t>
  </si>
  <si>
    <t>Columna13151</t>
  </si>
  <si>
    <t>Columna13152</t>
  </si>
  <si>
    <t>Columna13153</t>
  </si>
  <si>
    <t>Columna13154</t>
  </si>
  <si>
    <t>Columna13155</t>
  </si>
  <si>
    <t>Columna13156</t>
  </si>
  <si>
    <t>Columna13157</t>
  </si>
  <si>
    <t>Columna13158</t>
  </si>
  <si>
    <t>Columna13159</t>
  </si>
  <si>
    <t>Columna13160</t>
  </si>
  <si>
    <t>Columna13161</t>
  </si>
  <si>
    <t>Columna13162</t>
  </si>
  <si>
    <t>Columna13163</t>
  </si>
  <si>
    <t>Columna13164</t>
  </si>
  <si>
    <t>Columna13165</t>
  </si>
  <si>
    <t>Columna13166</t>
  </si>
  <si>
    <t>Columna13167</t>
  </si>
  <si>
    <t>Columna13168</t>
  </si>
  <si>
    <t>Columna13169</t>
  </si>
  <si>
    <t>Columna13170</t>
  </si>
  <si>
    <t>Columna13171</t>
  </si>
  <si>
    <t>Columna13172</t>
  </si>
  <si>
    <t>Columna13173</t>
  </si>
  <si>
    <t>Columna13174</t>
  </si>
  <si>
    <t>Columna13175</t>
  </si>
  <si>
    <t>Columna13176</t>
  </si>
  <si>
    <t>Columna13177</t>
  </si>
  <si>
    <t>Columna13178</t>
  </si>
  <si>
    <t>Columna13179</t>
  </si>
  <si>
    <t>Columna13180</t>
  </si>
  <si>
    <t>Columna13181</t>
  </si>
  <si>
    <t>Columna13182</t>
  </si>
  <si>
    <t>Columna13183</t>
  </si>
  <si>
    <t>Columna13184</t>
  </si>
  <si>
    <t>Columna13185</t>
  </si>
  <si>
    <t>Columna13186</t>
  </si>
  <si>
    <t>Columna13187</t>
  </si>
  <si>
    <t>Columna13188</t>
  </si>
  <si>
    <t>Columna13189</t>
  </si>
  <si>
    <t>Columna13190</t>
  </si>
  <si>
    <t>Columna13191</t>
  </si>
  <si>
    <t>Columna13192</t>
  </si>
  <si>
    <t>Columna13193</t>
  </si>
  <si>
    <t>Columna13194</t>
  </si>
  <si>
    <t>Columna13195</t>
  </si>
  <si>
    <t>Columna13196</t>
  </si>
  <si>
    <t>Columna13197</t>
  </si>
  <si>
    <t>Columna13198</t>
  </si>
  <si>
    <t>Columna13199</t>
  </si>
  <si>
    <t>Columna13200</t>
  </si>
  <si>
    <t>Columna13201</t>
  </si>
  <si>
    <t>Columna13202</t>
  </si>
  <si>
    <t>Columna13203</t>
  </si>
  <si>
    <t>Columna13204</t>
  </si>
  <si>
    <t>Columna13205</t>
  </si>
  <si>
    <t>Columna13206</t>
  </si>
  <si>
    <t>Columna13207</t>
  </si>
  <si>
    <t>Columna13208</t>
  </si>
  <si>
    <t>Columna13209</t>
  </si>
  <si>
    <t>Columna13210</t>
  </si>
  <si>
    <t>Columna13211</t>
  </si>
  <si>
    <t>Columna13212</t>
  </si>
  <si>
    <t>Columna13213</t>
  </si>
  <si>
    <t>Columna13214</t>
  </si>
  <si>
    <t>Columna13215</t>
  </si>
  <si>
    <t>Columna13216</t>
  </si>
  <si>
    <t>Columna13217</t>
  </si>
  <si>
    <t>Columna13218</t>
  </si>
  <si>
    <t>Columna13219</t>
  </si>
  <si>
    <t>Columna13220</t>
  </si>
  <si>
    <t>Columna13221</t>
  </si>
  <si>
    <t>Columna13222</t>
  </si>
  <si>
    <t>Columna13223</t>
  </si>
  <si>
    <t>Columna13224</t>
  </si>
  <si>
    <t>Columna13225</t>
  </si>
  <si>
    <t>Columna13226</t>
  </si>
  <si>
    <t>Columna13227</t>
  </si>
  <si>
    <t>Columna13228</t>
  </si>
  <si>
    <t>Columna13229</t>
  </si>
  <si>
    <t>Columna13230</t>
  </si>
  <si>
    <t>Columna13231</t>
  </si>
  <si>
    <t>Columna13232</t>
  </si>
  <si>
    <t>Columna13233</t>
  </si>
  <si>
    <t>Columna13234</t>
  </si>
  <si>
    <t>Columna13235</t>
  </si>
  <si>
    <t>Columna13236</t>
  </si>
  <si>
    <t>Columna13237</t>
  </si>
  <si>
    <t>Columna13238</t>
  </si>
  <si>
    <t>Columna13239</t>
  </si>
  <si>
    <t>Columna13240</t>
  </si>
  <si>
    <t>Columna13241</t>
  </si>
  <si>
    <t>Columna13242</t>
  </si>
  <si>
    <t>Columna13243</t>
  </si>
  <si>
    <t>Columna13244</t>
  </si>
  <si>
    <t>Columna13245</t>
  </si>
  <si>
    <t>Columna13246</t>
  </si>
  <si>
    <t>Columna13247</t>
  </si>
  <si>
    <t>Columna13248</t>
  </si>
  <si>
    <t>Columna13249</t>
  </si>
  <si>
    <t>Columna13250</t>
  </si>
  <si>
    <t>Columna13251</t>
  </si>
  <si>
    <t>Columna13252</t>
  </si>
  <si>
    <t>Columna13253</t>
  </si>
  <si>
    <t>Columna13254</t>
  </si>
  <si>
    <t>Columna13255</t>
  </si>
  <si>
    <t>Columna13256</t>
  </si>
  <si>
    <t>Columna13257</t>
  </si>
  <si>
    <t>Columna13258</t>
  </si>
  <si>
    <t>Columna13259</t>
  </si>
  <si>
    <t>Columna13260</t>
  </si>
  <si>
    <t>Columna13261</t>
  </si>
  <si>
    <t>Columna13262</t>
  </si>
  <si>
    <t>Columna13263</t>
  </si>
  <si>
    <t>Columna13264</t>
  </si>
  <si>
    <t>Columna13265</t>
  </si>
  <si>
    <t>Columna13266</t>
  </si>
  <si>
    <t>Columna13267</t>
  </si>
  <si>
    <t>Columna13268</t>
  </si>
  <si>
    <t>Columna13269</t>
  </si>
  <si>
    <t>Columna13270</t>
  </si>
  <si>
    <t>Columna13271</t>
  </si>
  <si>
    <t>Columna13272</t>
  </si>
  <si>
    <t>Columna13273</t>
  </si>
  <si>
    <t>Columna13274</t>
  </si>
  <si>
    <t>Columna13275</t>
  </si>
  <si>
    <t>Columna13276</t>
  </si>
  <si>
    <t>Columna13277</t>
  </si>
  <si>
    <t>Columna13278</t>
  </si>
  <si>
    <t>Columna13279</t>
  </si>
  <si>
    <t>Columna13280</t>
  </si>
  <si>
    <t>Columna13281</t>
  </si>
  <si>
    <t>Columna13282</t>
  </si>
  <si>
    <t>Columna13283</t>
  </si>
  <si>
    <t>Columna13284</t>
  </si>
  <si>
    <t>Columna13285</t>
  </si>
  <si>
    <t>Columna13286</t>
  </si>
  <si>
    <t>Columna13287</t>
  </si>
  <si>
    <t>Columna13288</t>
  </si>
  <si>
    <t>Columna13289</t>
  </si>
  <si>
    <t>Columna13290</t>
  </si>
  <si>
    <t>Columna13291</t>
  </si>
  <si>
    <t>Columna13292</t>
  </si>
  <si>
    <t>Columna13293</t>
  </si>
  <si>
    <t>Columna13294</t>
  </si>
  <si>
    <t>Columna13295</t>
  </si>
  <si>
    <t>Columna13296</t>
  </si>
  <si>
    <t>Columna13297</t>
  </si>
  <si>
    <t>Columna13298</t>
  </si>
  <si>
    <t>Columna13299</t>
  </si>
  <si>
    <t>Columna13300</t>
  </si>
  <si>
    <t>Columna13301</t>
  </si>
  <si>
    <t>Columna13302</t>
  </si>
  <si>
    <t>Columna13303</t>
  </si>
  <si>
    <t>Columna13304</t>
  </si>
  <si>
    <t>Columna13305</t>
  </si>
  <si>
    <t>Columna13306</t>
  </si>
  <si>
    <t>Columna13307</t>
  </si>
  <si>
    <t>Columna13308</t>
  </si>
  <si>
    <t>Columna13309</t>
  </si>
  <si>
    <t>Columna13310</t>
  </si>
  <si>
    <t>Columna13311</t>
  </si>
  <si>
    <t>Columna13312</t>
  </si>
  <si>
    <t>Columna13313</t>
  </si>
  <si>
    <t>Columna13314</t>
  </si>
  <si>
    <t>Columna13315</t>
  </si>
  <si>
    <t>Columna13316</t>
  </si>
  <si>
    <t>Columna13317</t>
  </si>
  <si>
    <t>Columna13318</t>
  </si>
  <si>
    <t>Columna13319</t>
  </si>
  <si>
    <t>Columna13320</t>
  </si>
  <si>
    <t>Columna13321</t>
  </si>
  <si>
    <t>Columna13322</t>
  </si>
  <si>
    <t>Columna13323</t>
  </si>
  <si>
    <t>Columna13324</t>
  </si>
  <si>
    <t>Columna13325</t>
  </si>
  <si>
    <t>Columna13326</t>
  </si>
  <si>
    <t>Columna13327</t>
  </si>
  <si>
    <t>Columna13328</t>
  </si>
  <si>
    <t>Columna13329</t>
  </si>
  <si>
    <t>Columna13330</t>
  </si>
  <si>
    <t>Columna13331</t>
  </si>
  <si>
    <t>Columna13332</t>
  </si>
  <si>
    <t>Columna13333</t>
  </si>
  <si>
    <t>Columna13334</t>
  </si>
  <si>
    <t>Columna13335</t>
  </si>
  <si>
    <t>Columna13336</t>
  </si>
  <si>
    <t>Columna13337</t>
  </si>
  <si>
    <t>Columna13338</t>
  </si>
  <si>
    <t>Columna13339</t>
  </si>
  <si>
    <t>Columna13340</t>
  </si>
  <si>
    <t>Columna13341</t>
  </si>
  <si>
    <t>Columna13342</t>
  </si>
  <si>
    <t>Columna13343</t>
  </si>
  <si>
    <t>Columna13344</t>
  </si>
  <si>
    <t>Columna13345</t>
  </si>
  <si>
    <t>Columna13346</t>
  </si>
  <si>
    <t>Columna13347</t>
  </si>
  <si>
    <t>Columna13348</t>
  </si>
  <si>
    <t>Columna13349</t>
  </si>
  <si>
    <t>Columna13350</t>
  </si>
  <si>
    <t>Columna13351</t>
  </si>
  <si>
    <t>Columna13352</t>
  </si>
  <si>
    <t>Columna13353</t>
  </si>
  <si>
    <t>Columna13354</t>
  </si>
  <si>
    <t>Columna13355</t>
  </si>
  <si>
    <t>Columna13356</t>
  </si>
  <si>
    <t>Columna13357</t>
  </si>
  <si>
    <t>Columna13358</t>
  </si>
  <si>
    <t>Columna13359</t>
  </si>
  <si>
    <t>Columna13360</t>
  </si>
  <si>
    <t>Columna13361</t>
  </si>
  <si>
    <t>Columna13362</t>
  </si>
  <si>
    <t>Columna13363</t>
  </si>
  <si>
    <t>Columna13364</t>
  </si>
  <si>
    <t>Columna13365</t>
  </si>
  <si>
    <t>Columna13366</t>
  </si>
  <si>
    <t>Columna13367</t>
  </si>
  <si>
    <t>Columna13368</t>
  </si>
  <si>
    <t>Columna13369</t>
  </si>
  <si>
    <t>Columna13370</t>
  </si>
  <si>
    <t>Columna13371</t>
  </si>
  <si>
    <t>Columna13372</t>
  </si>
  <si>
    <t>Columna13373</t>
  </si>
  <si>
    <t>Columna13374</t>
  </si>
  <si>
    <t>Columna13375</t>
  </si>
  <si>
    <t>Columna13376</t>
  </si>
  <si>
    <t>Columna13377</t>
  </si>
  <si>
    <t>Columna13378</t>
  </si>
  <si>
    <t>Columna13379</t>
  </si>
  <si>
    <t>Columna13380</t>
  </si>
  <si>
    <t>Columna13381</t>
  </si>
  <si>
    <t>Columna13382</t>
  </si>
  <si>
    <t>Columna13383</t>
  </si>
  <si>
    <t>Columna13384</t>
  </si>
  <si>
    <t>Columna13385</t>
  </si>
  <si>
    <t>Columna13386</t>
  </si>
  <si>
    <t>Columna13387</t>
  </si>
  <si>
    <t>Columna13388</t>
  </si>
  <si>
    <t>Columna13389</t>
  </si>
  <si>
    <t>Columna13390</t>
  </si>
  <si>
    <t>Columna13391</t>
  </si>
  <si>
    <t>Columna13392</t>
  </si>
  <si>
    <t>Columna13393</t>
  </si>
  <si>
    <t>Columna13394</t>
  </si>
  <si>
    <t>Columna13395</t>
  </si>
  <si>
    <t>Columna13396</t>
  </si>
  <si>
    <t>Columna13397</t>
  </si>
  <si>
    <t>Columna13398</t>
  </si>
  <si>
    <t>Columna13399</t>
  </si>
  <si>
    <t>Columna13400</t>
  </si>
  <si>
    <t>Columna13401</t>
  </si>
  <si>
    <t>Columna13402</t>
  </si>
  <si>
    <t>Columna13403</t>
  </si>
  <si>
    <t>Columna13404</t>
  </si>
  <si>
    <t>Columna13405</t>
  </si>
  <si>
    <t>Columna13406</t>
  </si>
  <si>
    <t>Columna13407</t>
  </si>
  <si>
    <t>Columna13408</t>
  </si>
  <si>
    <t>Columna13409</t>
  </si>
  <si>
    <t>Columna13410</t>
  </si>
  <si>
    <t>Columna13411</t>
  </si>
  <si>
    <t>Columna13412</t>
  </si>
  <si>
    <t>Columna13413</t>
  </si>
  <si>
    <t>Columna13414</t>
  </si>
  <si>
    <t>Columna13415</t>
  </si>
  <si>
    <t>Columna13416</t>
  </si>
  <si>
    <t>Columna13417</t>
  </si>
  <si>
    <t>Columna13418</t>
  </si>
  <si>
    <t>Columna13419</t>
  </si>
  <si>
    <t>Columna13420</t>
  </si>
  <si>
    <t>Columna13421</t>
  </si>
  <si>
    <t>Columna13422</t>
  </si>
  <si>
    <t>Columna13423</t>
  </si>
  <si>
    <t>Columna13424</t>
  </si>
  <si>
    <t>Columna13425</t>
  </si>
  <si>
    <t>Columna13426</t>
  </si>
  <si>
    <t>Columna13427</t>
  </si>
  <si>
    <t>Columna13428</t>
  </si>
  <si>
    <t>Columna13429</t>
  </si>
  <si>
    <t>Columna13430</t>
  </si>
  <si>
    <t>Columna13431</t>
  </si>
  <si>
    <t>Columna13432</t>
  </si>
  <si>
    <t>Columna13433</t>
  </si>
  <si>
    <t>Columna13434</t>
  </si>
  <si>
    <t>Columna13435</t>
  </si>
  <si>
    <t>Columna13436</t>
  </si>
  <si>
    <t>Columna13437</t>
  </si>
  <si>
    <t>Columna13438</t>
  </si>
  <si>
    <t>Columna13439</t>
  </si>
  <si>
    <t>Columna13440</t>
  </si>
  <si>
    <t>Columna13441</t>
  </si>
  <si>
    <t>Columna13442</t>
  </si>
  <si>
    <t>Columna13443</t>
  </si>
  <si>
    <t>Columna13444</t>
  </si>
  <si>
    <t>Columna13445</t>
  </si>
  <si>
    <t>Columna13446</t>
  </si>
  <si>
    <t>Columna13447</t>
  </si>
  <si>
    <t>Columna13448</t>
  </si>
  <si>
    <t>Columna13449</t>
  </si>
  <si>
    <t>Columna13450</t>
  </si>
  <si>
    <t>Columna13451</t>
  </si>
  <si>
    <t>Columna13452</t>
  </si>
  <si>
    <t>Columna13453</t>
  </si>
  <si>
    <t>Columna13454</t>
  </si>
  <si>
    <t>Columna13455</t>
  </si>
  <si>
    <t>Columna13456</t>
  </si>
  <si>
    <t>Columna13457</t>
  </si>
  <si>
    <t>Columna13458</t>
  </si>
  <si>
    <t>Columna13459</t>
  </si>
  <si>
    <t>Columna13460</t>
  </si>
  <si>
    <t>Columna13461</t>
  </si>
  <si>
    <t>Columna13462</t>
  </si>
  <si>
    <t>Columna13463</t>
  </si>
  <si>
    <t>Columna13464</t>
  </si>
  <si>
    <t>Columna13465</t>
  </si>
  <si>
    <t>Columna13466</t>
  </si>
  <si>
    <t>Columna13467</t>
  </si>
  <si>
    <t>Columna13468</t>
  </si>
  <si>
    <t>Columna13469</t>
  </si>
  <si>
    <t>Columna13470</t>
  </si>
  <si>
    <t>Columna13471</t>
  </si>
  <si>
    <t>Columna13472</t>
  </si>
  <si>
    <t>Columna13473</t>
  </si>
  <si>
    <t>Columna13474</t>
  </si>
  <si>
    <t>Columna13475</t>
  </si>
  <si>
    <t>Columna13476</t>
  </si>
  <si>
    <t>Columna13477</t>
  </si>
  <si>
    <t>Columna13478</t>
  </si>
  <si>
    <t>Columna13479</t>
  </si>
  <si>
    <t>Columna13480</t>
  </si>
  <si>
    <t>Columna13481</t>
  </si>
  <si>
    <t>Columna13482</t>
  </si>
  <si>
    <t>Columna13483</t>
  </si>
  <si>
    <t>Columna13484</t>
  </si>
  <si>
    <t>Columna13485</t>
  </si>
  <si>
    <t>Columna13486</t>
  </si>
  <si>
    <t>Columna13487</t>
  </si>
  <si>
    <t>Columna13488</t>
  </si>
  <si>
    <t>Columna13489</t>
  </si>
  <si>
    <t>Columna13490</t>
  </si>
  <si>
    <t>Columna13491</t>
  </si>
  <si>
    <t>Columna13492</t>
  </si>
  <si>
    <t>Columna13493</t>
  </si>
  <si>
    <t>Columna13494</t>
  </si>
  <si>
    <t>Columna13495</t>
  </si>
  <si>
    <t>Columna13496</t>
  </si>
  <si>
    <t>Columna13497</t>
  </si>
  <si>
    <t>Columna13498</t>
  </si>
  <si>
    <t>Columna13499</t>
  </si>
  <si>
    <t>Columna13500</t>
  </si>
  <si>
    <t>Columna13501</t>
  </si>
  <si>
    <t>Columna13502</t>
  </si>
  <si>
    <t>Columna13503</t>
  </si>
  <si>
    <t>Columna13504</t>
  </si>
  <si>
    <t>Columna13505</t>
  </si>
  <si>
    <t>Columna13506</t>
  </si>
  <si>
    <t>Columna13507</t>
  </si>
  <si>
    <t>Columna13508</t>
  </si>
  <si>
    <t>Columna13509</t>
  </si>
  <si>
    <t>Columna13510</t>
  </si>
  <si>
    <t>Columna13511</t>
  </si>
  <si>
    <t>Columna13512</t>
  </si>
  <si>
    <t>Columna13513</t>
  </si>
  <si>
    <t>Columna13514</t>
  </si>
  <si>
    <t>Columna13515</t>
  </si>
  <si>
    <t>Columna13516</t>
  </si>
  <si>
    <t>Columna13517</t>
  </si>
  <si>
    <t>Columna13518</t>
  </si>
  <si>
    <t>Columna13519</t>
  </si>
  <si>
    <t>Columna13520</t>
  </si>
  <si>
    <t>Columna13521</t>
  </si>
  <si>
    <t>Columna13522</t>
  </si>
  <si>
    <t>Columna13523</t>
  </si>
  <si>
    <t>Columna13524</t>
  </si>
  <si>
    <t>Columna13525</t>
  </si>
  <si>
    <t>Columna13526</t>
  </si>
  <si>
    <t>Columna13527</t>
  </si>
  <si>
    <t>Columna13528</t>
  </si>
  <si>
    <t>Columna13529</t>
  </si>
  <si>
    <t>Columna13530</t>
  </si>
  <si>
    <t>Columna13531</t>
  </si>
  <si>
    <t>Columna13532</t>
  </si>
  <si>
    <t>Columna13533</t>
  </si>
  <si>
    <t>Columna13534</t>
  </si>
  <si>
    <t>Columna13535</t>
  </si>
  <si>
    <t>Columna13536</t>
  </si>
  <si>
    <t>Columna13537</t>
  </si>
  <si>
    <t>Columna13538</t>
  </si>
  <si>
    <t>Columna13539</t>
  </si>
  <si>
    <t>Columna13540</t>
  </si>
  <si>
    <t>Columna13541</t>
  </si>
  <si>
    <t>Columna13542</t>
  </si>
  <si>
    <t>Columna13543</t>
  </si>
  <si>
    <t>Columna13544</t>
  </si>
  <si>
    <t>Columna13545</t>
  </si>
  <si>
    <t>Columna13546</t>
  </si>
  <si>
    <t>Columna13547</t>
  </si>
  <si>
    <t>Columna13548</t>
  </si>
  <si>
    <t>Columna13549</t>
  </si>
  <si>
    <t>Columna13550</t>
  </si>
  <si>
    <t>Columna13551</t>
  </si>
  <si>
    <t>Columna13552</t>
  </si>
  <si>
    <t>Columna13553</t>
  </si>
  <si>
    <t>Columna13554</t>
  </si>
  <si>
    <t>Columna13555</t>
  </si>
  <si>
    <t>Columna13556</t>
  </si>
  <si>
    <t>Columna13557</t>
  </si>
  <si>
    <t>Columna13558</t>
  </si>
  <si>
    <t>Columna13559</t>
  </si>
  <si>
    <t>Columna13560</t>
  </si>
  <si>
    <t>Columna13561</t>
  </si>
  <si>
    <t>Columna13562</t>
  </si>
  <si>
    <t>Columna13563</t>
  </si>
  <si>
    <t>Columna13564</t>
  </si>
  <si>
    <t>Columna13565</t>
  </si>
  <si>
    <t>Columna13566</t>
  </si>
  <si>
    <t>Columna13567</t>
  </si>
  <si>
    <t>Columna13568</t>
  </si>
  <si>
    <t>Columna13569</t>
  </si>
  <si>
    <t>Columna13570</t>
  </si>
  <si>
    <t>Columna13571</t>
  </si>
  <si>
    <t>Columna13572</t>
  </si>
  <si>
    <t>Columna13573</t>
  </si>
  <si>
    <t>Columna13574</t>
  </si>
  <si>
    <t>Columna13575</t>
  </si>
  <si>
    <t>Columna13576</t>
  </si>
  <si>
    <t>Columna13577</t>
  </si>
  <si>
    <t>Columna13578</t>
  </si>
  <si>
    <t>Columna13579</t>
  </si>
  <si>
    <t>Columna13580</t>
  </si>
  <si>
    <t>Columna13581</t>
  </si>
  <si>
    <t>Columna13582</t>
  </si>
  <si>
    <t>Columna13583</t>
  </si>
  <si>
    <t>Columna13584</t>
  </si>
  <si>
    <t>Columna13585</t>
  </si>
  <si>
    <t>Columna13586</t>
  </si>
  <si>
    <t>Columna13587</t>
  </si>
  <si>
    <t>Columna13588</t>
  </si>
  <si>
    <t>Columna13589</t>
  </si>
  <si>
    <t>Columna13590</t>
  </si>
  <si>
    <t>Columna13591</t>
  </si>
  <si>
    <t>Columna13592</t>
  </si>
  <si>
    <t>Columna13593</t>
  </si>
  <si>
    <t>Columna13594</t>
  </si>
  <si>
    <t>Columna13595</t>
  </si>
  <si>
    <t>Columna13596</t>
  </si>
  <si>
    <t>Columna13597</t>
  </si>
  <si>
    <t>Columna13598</t>
  </si>
  <si>
    <t>Columna13599</t>
  </si>
  <si>
    <t>Columna13600</t>
  </si>
  <si>
    <t>Columna13601</t>
  </si>
  <si>
    <t>Columna13602</t>
  </si>
  <si>
    <t>Columna13603</t>
  </si>
  <si>
    <t>Columna13604</t>
  </si>
  <si>
    <t>Columna13605</t>
  </si>
  <si>
    <t>Columna13606</t>
  </si>
  <si>
    <t>Columna13607</t>
  </si>
  <si>
    <t>Columna13608</t>
  </si>
  <si>
    <t>Columna13609</t>
  </si>
  <si>
    <t>Columna13610</t>
  </si>
  <si>
    <t>Columna13611</t>
  </si>
  <si>
    <t>Columna13612</t>
  </si>
  <si>
    <t>Columna13613</t>
  </si>
  <si>
    <t>Columna13614</t>
  </si>
  <si>
    <t>Columna13615</t>
  </si>
  <si>
    <t>Columna13616</t>
  </si>
  <si>
    <t>Columna13617</t>
  </si>
  <si>
    <t>Columna13618</t>
  </si>
  <si>
    <t>Columna13619</t>
  </si>
  <si>
    <t>Columna13620</t>
  </si>
  <si>
    <t>Columna13621</t>
  </si>
  <si>
    <t>Columna13622</t>
  </si>
  <si>
    <t>Columna13623</t>
  </si>
  <si>
    <t>Columna13624</t>
  </si>
  <si>
    <t>Columna13625</t>
  </si>
  <si>
    <t>Columna13626</t>
  </si>
  <si>
    <t>Columna13627</t>
  </si>
  <si>
    <t>Columna13628</t>
  </si>
  <si>
    <t>Columna13629</t>
  </si>
  <si>
    <t>Columna13630</t>
  </si>
  <si>
    <t>Columna13631</t>
  </si>
  <si>
    <t>Columna13632</t>
  </si>
  <si>
    <t>Columna13633</t>
  </si>
  <si>
    <t>Columna13634</t>
  </si>
  <si>
    <t>Columna13635</t>
  </si>
  <si>
    <t>Columna13636</t>
  </si>
  <si>
    <t>Columna13637</t>
  </si>
  <si>
    <t>Columna13638</t>
  </si>
  <si>
    <t>Columna13639</t>
  </si>
  <si>
    <t>Columna13640</t>
  </si>
  <si>
    <t>Columna13641</t>
  </si>
  <si>
    <t>Columna13642</t>
  </si>
  <si>
    <t>Columna13643</t>
  </si>
  <si>
    <t>Columna13644</t>
  </si>
  <si>
    <t>Columna13645</t>
  </si>
  <si>
    <t>Columna13646</t>
  </si>
  <si>
    <t>Columna13647</t>
  </si>
  <si>
    <t>Columna13648</t>
  </si>
  <si>
    <t>Columna13649</t>
  </si>
  <si>
    <t>Columna13650</t>
  </si>
  <si>
    <t>Columna13651</t>
  </si>
  <si>
    <t>Columna13652</t>
  </si>
  <si>
    <t>Columna13653</t>
  </si>
  <si>
    <t>Columna13654</t>
  </si>
  <si>
    <t>Columna13655</t>
  </si>
  <si>
    <t>Columna13656</t>
  </si>
  <si>
    <t>Columna13657</t>
  </si>
  <si>
    <t>Columna13658</t>
  </si>
  <si>
    <t>Columna13659</t>
  </si>
  <si>
    <t>Columna13660</t>
  </si>
  <si>
    <t>Columna13661</t>
  </si>
  <si>
    <t>Columna13662</t>
  </si>
  <si>
    <t>Columna13663</t>
  </si>
  <si>
    <t>Columna13664</t>
  </si>
  <si>
    <t>Columna13665</t>
  </si>
  <si>
    <t>Columna13666</t>
  </si>
  <si>
    <t>Columna13667</t>
  </si>
  <si>
    <t>Columna13668</t>
  </si>
  <si>
    <t>Columna13669</t>
  </si>
  <si>
    <t>Columna13670</t>
  </si>
  <si>
    <t>Columna13671</t>
  </si>
  <si>
    <t>Columna13672</t>
  </si>
  <si>
    <t>Columna13673</t>
  </si>
  <si>
    <t>Columna13674</t>
  </si>
  <si>
    <t>Columna13675</t>
  </si>
  <si>
    <t>Columna13676</t>
  </si>
  <si>
    <t>Columna13677</t>
  </si>
  <si>
    <t>Columna13678</t>
  </si>
  <si>
    <t>Columna13679</t>
  </si>
  <si>
    <t>Columna13680</t>
  </si>
  <si>
    <t>Columna13681</t>
  </si>
  <si>
    <t>Columna13682</t>
  </si>
  <si>
    <t>Columna13683</t>
  </si>
  <si>
    <t>Columna13684</t>
  </si>
  <si>
    <t>Columna13685</t>
  </si>
  <si>
    <t>Columna13686</t>
  </si>
  <si>
    <t>Columna13687</t>
  </si>
  <si>
    <t>Columna13688</t>
  </si>
  <si>
    <t>Columna13689</t>
  </si>
  <si>
    <t>Columna13690</t>
  </si>
  <si>
    <t>Columna13691</t>
  </si>
  <si>
    <t>Columna13692</t>
  </si>
  <si>
    <t>Columna13693</t>
  </si>
  <si>
    <t>Columna13694</t>
  </si>
  <si>
    <t>Columna13695</t>
  </si>
  <si>
    <t>Columna13696</t>
  </si>
  <si>
    <t>Columna13697</t>
  </si>
  <si>
    <t>Columna13698</t>
  </si>
  <si>
    <t>Columna13699</t>
  </si>
  <si>
    <t>Columna13700</t>
  </si>
  <si>
    <t>Columna13701</t>
  </si>
  <si>
    <t>Columna13702</t>
  </si>
  <si>
    <t>Columna13703</t>
  </si>
  <si>
    <t>Columna13704</t>
  </si>
  <si>
    <t>Columna13705</t>
  </si>
  <si>
    <t>Columna13706</t>
  </si>
  <si>
    <t>Columna13707</t>
  </si>
  <si>
    <t>Columna13708</t>
  </si>
  <si>
    <t>Columna13709</t>
  </si>
  <si>
    <t>Columna13710</t>
  </si>
  <si>
    <t>Columna13711</t>
  </si>
  <si>
    <t>Columna13712</t>
  </si>
  <si>
    <t>Columna13713</t>
  </si>
  <si>
    <t>Columna13714</t>
  </si>
  <si>
    <t>Columna13715</t>
  </si>
  <si>
    <t>Columna13716</t>
  </si>
  <si>
    <t>Columna13717</t>
  </si>
  <si>
    <t>Columna13718</t>
  </si>
  <si>
    <t>Columna13719</t>
  </si>
  <si>
    <t>Columna13720</t>
  </si>
  <si>
    <t>Columna13721</t>
  </si>
  <si>
    <t>Columna13722</t>
  </si>
  <si>
    <t>Columna13723</t>
  </si>
  <si>
    <t>Columna13724</t>
  </si>
  <si>
    <t>Columna13725</t>
  </si>
  <si>
    <t>Columna13726</t>
  </si>
  <si>
    <t>Columna13727</t>
  </si>
  <si>
    <t>Columna13728</t>
  </si>
  <si>
    <t>Columna13729</t>
  </si>
  <si>
    <t>Columna13730</t>
  </si>
  <si>
    <t>Columna13731</t>
  </si>
  <si>
    <t>Columna13732</t>
  </si>
  <si>
    <t>Columna13733</t>
  </si>
  <si>
    <t>Columna13734</t>
  </si>
  <si>
    <t>Columna13735</t>
  </si>
  <si>
    <t>Columna13736</t>
  </si>
  <si>
    <t>Columna13737</t>
  </si>
  <si>
    <t>Columna13738</t>
  </si>
  <si>
    <t>Columna13739</t>
  </si>
  <si>
    <t>Columna13740</t>
  </si>
  <si>
    <t>Columna13741</t>
  </si>
  <si>
    <t>Columna13742</t>
  </si>
  <si>
    <t>Columna13743</t>
  </si>
  <si>
    <t>Columna13744</t>
  </si>
  <si>
    <t>Columna13745</t>
  </si>
  <si>
    <t>Columna13746</t>
  </si>
  <si>
    <t>Columna13747</t>
  </si>
  <si>
    <t>Columna13748</t>
  </si>
  <si>
    <t>Columna13749</t>
  </si>
  <si>
    <t>Columna13750</t>
  </si>
  <si>
    <t>Columna13751</t>
  </si>
  <si>
    <t>Columna13752</t>
  </si>
  <si>
    <t>Columna13753</t>
  </si>
  <si>
    <t>Columna13754</t>
  </si>
  <si>
    <t>Columna13755</t>
  </si>
  <si>
    <t>Columna13756</t>
  </si>
  <si>
    <t>Columna13757</t>
  </si>
  <si>
    <t>Columna13758</t>
  </si>
  <si>
    <t>Columna13759</t>
  </si>
  <si>
    <t>Columna13760</t>
  </si>
  <si>
    <t>Columna13761</t>
  </si>
  <si>
    <t>Columna13762</t>
  </si>
  <si>
    <t>Columna13763</t>
  </si>
  <si>
    <t>Columna13764</t>
  </si>
  <si>
    <t>Columna13765</t>
  </si>
  <si>
    <t>Columna13766</t>
  </si>
  <si>
    <t>Columna13767</t>
  </si>
  <si>
    <t>Columna13768</t>
  </si>
  <si>
    <t>Columna13769</t>
  </si>
  <si>
    <t>Columna13770</t>
  </si>
  <si>
    <t>Columna13771</t>
  </si>
  <si>
    <t>Columna13772</t>
  </si>
  <si>
    <t>Columna13773</t>
  </si>
  <si>
    <t>Columna13774</t>
  </si>
  <si>
    <t>Columna13775</t>
  </si>
  <si>
    <t>Columna13776</t>
  </si>
  <si>
    <t>Columna13777</t>
  </si>
  <si>
    <t>Columna13778</t>
  </si>
  <si>
    <t>Columna13779</t>
  </si>
  <si>
    <t>Columna13780</t>
  </si>
  <si>
    <t>Columna13781</t>
  </si>
  <si>
    <t>Columna13782</t>
  </si>
  <si>
    <t>Columna13783</t>
  </si>
  <si>
    <t>Columna13784</t>
  </si>
  <si>
    <t>Columna13785</t>
  </si>
  <si>
    <t>Columna13786</t>
  </si>
  <si>
    <t>Columna13787</t>
  </si>
  <si>
    <t>Columna13788</t>
  </si>
  <si>
    <t>Columna13789</t>
  </si>
  <si>
    <t>Columna13790</t>
  </si>
  <si>
    <t>Columna13791</t>
  </si>
  <si>
    <t>Columna13792</t>
  </si>
  <si>
    <t>Columna13793</t>
  </si>
  <si>
    <t>Columna13794</t>
  </si>
  <si>
    <t>Columna13795</t>
  </si>
  <si>
    <t>Columna13796</t>
  </si>
  <si>
    <t>Columna13797</t>
  </si>
  <si>
    <t>Columna13798</t>
  </si>
  <si>
    <t>Columna13799</t>
  </si>
  <si>
    <t>Columna13800</t>
  </si>
  <si>
    <t>Columna13801</t>
  </si>
  <si>
    <t>Columna13802</t>
  </si>
  <si>
    <t>Columna13803</t>
  </si>
  <si>
    <t>Columna13804</t>
  </si>
  <si>
    <t>Columna13805</t>
  </si>
  <si>
    <t>Columna13806</t>
  </si>
  <si>
    <t>Columna13807</t>
  </si>
  <si>
    <t>Columna13808</t>
  </si>
  <si>
    <t>Columna13809</t>
  </si>
  <si>
    <t>Columna13810</t>
  </si>
  <si>
    <t>Columna13811</t>
  </si>
  <si>
    <t>Columna13812</t>
  </si>
  <si>
    <t>Columna13813</t>
  </si>
  <si>
    <t>Columna13814</t>
  </si>
  <si>
    <t>Columna13815</t>
  </si>
  <si>
    <t>Columna13816</t>
  </si>
  <si>
    <t>Columna13817</t>
  </si>
  <si>
    <t>Columna13818</t>
  </si>
  <si>
    <t>Columna13819</t>
  </si>
  <si>
    <t>Columna13820</t>
  </si>
  <si>
    <t>Columna13821</t>
  </si>
  <si>
    <t>Columna13822</t>
  </si>
  <si>
    <t>Columna13823</t>
  </si>
  <si>
    <t>Columna13824</t>
  </si>
  <si>
    <t>Columna13825</t>
  </si>
  <si>
    <t>Columna13826</t>
  </si>
  <si>
    <t>Columna13827</t>
  </si>
  <si>
    <t>Columna13828</t>
  </si>
  <si>
    <t>Columna13829</t>
  </si>
  <si>
    <t>Columna13830</t>
  </si>
  <si>
    <t>Columna13831</t>
  </si>
  <si>
    <t>Columna13832</t>
  </si>
  <si>
    <t>Columna13833</t>
  </si>
  <si>
    <t>Columna13834</t>
  </si>
  <si>
    <t>Columna13835</t>
  </si>
  <si>
    <t>Columna13836</t>
  </si>
  <si>
    <t>Columna13837</t>
  </si>
  <si>
    <t>Columna13838</t>
  </si>
  <si>
    <t>Columna13839</t>
  </si>
  <si>
    <t>Columna13840</t>
  </si>
  <si>
    <t>Columna13841</t>
  </si>
  <si>
    <t>Columna13842</t>
  </si>
  <si>
    <t>Columna13843</t>
  </si>
  <si>
    <t>Columna13844</t>
  </si>
  <si>
    <t>Columna13845</t>
  </si>
  <si>
    <t>Columna13846</t>
  </si>
  <si>
    <t>Columna13847</t>
  </si>
  <si>
    <t>Columna13848</t>
  </si>
  <si>
    <t>Columna13849</t>
  </si>
  <si>
    <t>Columna13850</t>
  </si>
  <si>
    <t>Columna13851</t>
  </si>
  <si>
    <t>Columna13852</t>
  </si>
  <si>
    <t>Columna13853</t>
  </si>
  <si>
    <t>Columna13854</t>
  </si>
  <si>
    <t>Columna13855</t>
  </si>
  <si>
    <t>Columna13856</t>
  </si>
  <si>
    <t>Columna13857</t>
  </si>
  <si>
    <t>Columna13858</t>
  </si>
  <si>
    <t>Columna13859</t>
  </si>
  <si>
    <t>Columna13860</t>
  </si>
  <si>
    <t>Columna13861</t>
  </si>
  <si>
    <t>Columna13862</t>
  </si>
  <si>
    <t>Columna13863</t>
  </si>
  <si>
    <t>Columna13864</t>
  </si>
  <si>
    <t>Columna13865</t>
  </si>
  <si>
    <t>Columna13866</t>
  </si>
  <si>
    <t>Columna13867</t>
  </si>
  <si>
    <t>Columna13868</t>
  </si>
  <si>
    <t>Columna13869</t>
  </si>
  <si>
    <t>Columna13870</t>
  </si>
  <si>
    <t>Columna13871</t>
  </si>
  <si>
    <t>Columna13872</t>
  </si>
  <si>
    <t>Columna13873</t>
  </si>
  <si>
    <t>Columna13874</t>
  </si>
  <si>
    <t>Columna13875</t>
  </si>
  <si>
    <t>Columna13876</t>
  </si>
  <si>
    <t>Columna13877</t>
  </si>
  <si>
    <t>Columna13878</t>
  </si>
  <si>
    <t>Columna13879</t>
  </si>
  <si>
    <t>Columna13880</t>
  </si>
  <si>
    <t>Columna13881</t>
  </si>
  <si>
    <t>Columna13882</t>
  </si>
  <si>
    <t>Columna13883</t>
  </si>
  <si>
    <t>Columna13884</t>
  </si>
  <si>
    <t>Columna13885</t>
  </si>
  <si>
    <t>Columna13886</t>
  </si>
  <si>
    <t>Columna13887</t>
  </si>
  <si>
    <t>Columna13888</t>
  </si>
  <si>
    <t>Columna13889</t>
  </si>
  <si>
    <t>Columna13890</t>
  </si>
  <si>
    <t>Columna13891</t>
  </si>
  <si>
    <t>Columna13892</t>
  </si>
  <si>
    <t>Columna13893</t>
  </si>
  <si>
    <t>Columna13894</t>
  </si>
  <si>
    <t>Columna13895</t>
  </si>
  <si>
    <t>Columna13896</t>
  </si>
  <si>
    <t>Columna13897</t>
  </si>
  <si>
    <t>Columna13898</t>
  </si>
  <si>
    <t>Columna13899</t>
  </si>
  <si>
    <t>Columna13900</t>
  </si>
  <si>
    <t>Columna13901</t>
  </si>
  <si>
    <t>Columna13902</t>
  </si>
  <si>
    <t>Columna13903</t>
  </si>
  <si>
    <t>Columna13904</t>
  </si>
  <si>
    <t>Columna13905</t>
  </si>
  <si>
    <t>Columna13906</t>
  </si>
  <si>
    <t>Columna13907</t>
  </si>
  <si>
    <t>Columna13908</t>
  </si>
  <si>
    <t>Columna13909</t>
  </si>
  <si>
    <t>Columna13910</t>
  </si>
  <si>
    <t>Columna13911</t>
  </si>
  <si>
    <t>Columna13912</t>
  </si>
  <si>
    <t>Columna13913</t>
  </si>
  <si>
    <t>Columna13914</t>
  </si>
  <si>
    <t>Columna13915</t>
  </si>
  <si>
    <t>Columna13916</t>
  </si>
  <si>
    <t>Columna13917</t>
  </si>
  <si>
    <t>Columna13918</t>
  </si>
  <si>
    <t>Columna13919</t>
  </si>
  <si>
    <t>Columna13920</t>
  </si>
  <si>
    <t>Columna13921</t>
  </si>
  <si>
    <t>Columna13922</t>
  </si>
  <si>
    <t>Columna13923</t>
  </si>
  <si>
    <t>Columna13924</t>
  </si>
  <si>
    <t>Columna13925</t>
  </si>
  <si>
    <t>Columna13926</t>
  </si>
  <si>
    <t>Columna13927</t>
  </si>
  <si>
    <t>Columna13928</t>
  </si>
  <si>
    <t>Columna13929</t>
  </si>
  <si>
    <t>Columna13930</t>
  </si>
  <si>
    <t>Columna13931</t>
  </si>
  <si>
    <t>Columna13932</t>
  </si>
  <si>
    <t>Columna13933</t>
  </si>
  <si>
    <t>Columna13934</t>
  </si>
  <si>
    <t>Columna13935</t>
  </si>
  <si>
    <t>Columna13936</t>
  </si>
  <si>
    <t>Columna13937</t>
  </si>
  <si>
    <t>Columna13938</t>
  </si>
  <si>
    <t>Columna13939</t>
  </si>
  <si>
    <t>Columna13940</t>
  </si>
  <si>
    <t>Columna13941</t>
  </si>
  <si>
    <t>Columna13942</t>
  </si>
  <si>
    <t>Columna13943</t>
  </si>
  <si>
    <t>Columna13944</t>
  </si>
  <si>
    <t>Columna13945</t>
  </si>
  <si>
    <t>Columna13946</t>
  </si>
  <si>
    <t>Columna13947</t>
  </si>
  <si>
    <t>Columna13948</t>
  </si>
  <si>
    <t>Columna13949</t>
  </si>
  <si>
    <t>Columna13950</t>
  </si>
  <si>
    <t>Columna13951</t>
  </si>
  <si>
    <t>Columna13952</t>
  </si>
  <si>
    <t>Columna13953</t>
  </si>
  <si>
    <t>Columna13954</t>
  </si>
  <si>
    <t>Columna13955</t>
  </si>
  <si>
    <t>Columna13956</t>
  </si>
  <si>
    <t>Columna13957</t>
  </si>
  <si>
    <t>Columna13958</t>
  </si>
  <si>
    <t>Columna13959</t>
  </si>
  <si>
    <t>Columna13960</t>
  </si>
  <si>
    <t>Columna13961</t>
  </si>
  <si>
    <t>Columna13962</t>
  </si>
  <si>
    <t>Columna13963</t>
  </si>
  <si>
    <t>Columna13964</t>
  </si>
  <si>
    <t>Columna13965</t>
  </si>
  <si>
    <t>Columna13966</t>
  </si>
  <si>
    <t>Columna13967</t>
  </si>
  <si>
    <t>Columna13968</t>
  </si>
  <si>
    <t>Columna13969</t>
  </si>
  <si>
    <t>Columna13970</t>
  </si>
  <si>
    <t>Columna13971</t>
  </si>
  <si>
    <t>Columna13972</t>
  </si>
  <si>
    <t>Columna13973</t>
  </si>
  <si>
    <t>Columna13974</t>
  </si>
  <si>
    <t>Columna13975</t>
  </si>
  <si>
    <t>Columna13976</t>
  </si>
  <si>
    <t>Columna13977</t>
  </si>
  <si>
    <t>Columna13978</t>
  </si>
  <si>
    <t>Columna13979</t>
  </si>
  <si>
    <t>Columna13980</t>
  </si>
  <si>
    <t>Columna13981</t>
  </si>
  <si>
    <t>Columna13982</t>
  </si>
  <si>
    <t>Columna13983</t>
  </si>
  <si>
    <t>Columna13984</t>
  </si>
  <si>
    <t>Columna13985</t>
  </si>
  <si>
    <t>Columna13986</t>
  </si>
  <si>
    <t>Columna13987</t>
  </si>
  <si>
    <t>Columna13988</t>
  </si>
  <si>
    <t>Columna13989</t>
  </si>
  <si>
    <t>Columna13990</t>
  </si>
  <si>
    <t>Columna13991</t>
  </si>
  <si>
    <t>Columna13992</t>
  </si>
  <si>
    <t>Columna13993</t>
  </si>
  <si>
    <t>Columna13994</t>
  </si>
  <si>
    <t>Columna13995</t>
  </si>
  <si>
    <t>Columna13996</t>
  </si>
  <si>
    <t>Columna13997</t>
  </si>
  <si>
    <t>Columna13998</t>
  </si>
  <si>
    <t>Columna13999</t>
  </si>
  <si>
    <t>Columna14000</t>
  </si>
  <si>
    <t>Columna14001</t>
  </si>
  <si>
    <t>Columna14002</t>
  </si>
  <si>
    <t>Columna14003</t>
  </si>
  <si>
    <t>Columna14004</t>
  </si>
  <si>
    <t>Columna14005</t>
  </si>
  <si>
    <t>Columna14006</t>
  </si>
  <si>
    <t>Columna14007</t>
  </si>
  <si>
    <t>Columna14008</t>
  </si>
  <si>
    <t>Columna14009</t>
  </si>
  <si>
    <t>Columna14010</t>
  </si>
  <si>
    <t>Columna14011</t>
  </si>
  <si>
    <t>Columna14012</t>
  </si>
  <si>
    <t>Columna14013</t>
  </si>
  <si>
    <t>Columna14014</t>
  </si>
  <si>
    <t>Columna14015</t>
  </si>
  <si>
    <t>Columna14016</t>
  </si>
  <si>
    <t>Columna14017</t>
  </si>
  <si>
    <t>Columna14018</t>
  </si>
  <si>
    <t>Columna14019</t>
  </si>
  <si>
    <t>Columna14020</t>
  </si>
  <si>
    <t>Columna14021</t>
  </si>
  <si>
    <t>Columna14022</t>
  </si>
  <si>
    <t>Columna14023</t>
  </si>
  <si>
    <t>Columna14024</t>
  </si>
  <si>
    <t>Columna14025</t>
  </si>
  <si>
    <t>Columna14026</t>
  </si>
  <si>
    <t>Columna14027</t>
  </si>
  <si>
    <t>Columna14028</t>
  </si>
  <si>
    <t>Columna14029</t>
  </si>
  <si>
    <t>Columna14030</t>
  </si>
  <si>
    <t>Columna14031</t>
  </si>
  <si>
    <t>Columna14032</t>
  </si>
  <si>
    <t>Columna14033</t>
  </si>
  <si>
    <t>Columna14034</t>
  </si>
  <si>
    <t>Columna14035</t>
  </si>
  <si>
    <t>Columna14036</t>
  </si>
  <si>
    <t>Columna14037</t>
  </si>
  <si>
    <t>Columna14038</t>
  </si>
  <si>
    <t>Columna14039</t>
  </si>
  <si>
    <t>Columna14040</t>
  </si>
  <si>
    <t>Columna14041</t>
  </si>
  <si>
    <t>Columna14042</t>
  </si>
  <si>
    <t>Columna14043</t>
  </si>
  <si>
    <t>Columna14044</t>
  </si>
  <si>
    <t>Columna14045</t>
  </si>
  <si>
    <t>Columna14046</t>
  </si>
  <si>
    <t>Columna14047</t>
  </si>
  <si>
    <t>Columna14048</t>
  </si>
  <si>
    <t>Columna14049</t>
  </si>
  <si>
    <t>Columna14050</t>
  </si>
  <si>
    <t>Columna14051</t>
  </si>
  <si>
    <t>Columna14052</t>
  </si>
  <si>
    <t>Columna14053</t>
  </si>
  <si>
    <t>Columna14054</t>
  </si>
  <si>
    <t>Columna14055</t>
  </si>
  <si>
    <t>Columna14056</t>
  </si>
  <si>
    <t>Columna14057</t>
  </si>
  <si>
    <t>Columna14058</t>
  </si>
  <si>
    <t>Columna14059</t>
  </si>
  <si>
    <t>Columna14060</t>
  </si>
  <si>
    <t>Columna14061</t>
  </si>
  <si>
    <t>Columna14062</t>
  </si>
  <si>
    <t>Columna14063</t>
  </si>
  <si>
    <t>Columna14064</t>
  </si>
  <si>
    <t>Columna14065</t>
  </si>
  <si>
    <t>Columna14066</t>
  </si>
  <si>
    <t>Columna14067</t>
  </si>
  <si>
    <t>Columna14068</t>
  </si>
  <si>
    <t>Columna14069</t>
  </si>
  <si>
    <t>Columna14070</t>
  </si>
  <si>
    <t>Columna14071</t>
  </si>
  <si>
    <t>Columna14072</t>
  </si>
  <si>
    <t>Columna14073</t>
  </si>
  <si>
    <t>Columna14074</t>
  </si>
  <si>
    <t>Columna14075</t>
  </si>
  <si>
    <t>Columna14076</t>
  </si>
  <si>
    <t>Columna14077</t>
  </si>
  <si>
    <t>Columna14078</t>
  </si>
  <si>
    <t>Columna14079</t>
  </si>
  <si>
    <t>Columna14080</t>
  </si>
  <si>
    <t>Columna14081</t>
  </si>
  <si>
    <t>Columna14082</t>
  </si>
  <si>
    <t>Columna14083</t>
  </si>
  <si>
    <t>Columna14084</t>
  </si>
  <si>
    <t>Columna14085</t>
  </si>
  <si>
    <t>Columna14086</t>
  </si>
  <si>
    <t>Columna14087</t>
  </si>
  <si>
    <t>Columna14088</t>
  </si>
  <si>
    <t>Columna14089</t>
  </si>
  <si>
    <t>Columna14090</t>
  </si>
  <si>
    <t>Columna14091</t>
  </si>
  <si>
    <t>Columna14092</t>
  </si>
  <si>
    <t>Columna14093</t>
  </si>
  <si>
    <t>Columna14094</t>
  </si>
  <si>
    <t>Columna14095</t>
  </si>
  <si>
    <t>Columna14096</t>
  </si>
  <si>
    <t>Columna14097</t>
  </si>
  <si>
    <t>Columna14098</t>
  </si>
  <si>
    <t>Columna14099</t>
  </si>
  <si>
    <t>Columna14100</t>
  </si>
  <si>
    <t>Columna14101</t>
  </si>
  <si>
    <t>Columna14102</t>
  </si>
  <si>
    <t>Columna14103</t>
  </si>
  <si>
    <t>Columna14104</t>
  </si>
  <si>
    <t>Columna14105</t>
  </si>
  <si>
    <t>Columna14106</t>
  </si>
  <si>
    <t>Columna14107</t>
  </si>
  <si>
    <t>Columna14108</t>
  </si>
  <si>
    <t>Columna14109</t>
  </si>
  <si>
    <t>Columna14110</t>
  </si>
  <si>
    <t>Columna14111</t>
  </si>
  <si>
    <t>Columna14112</t>
  </si>
  <si>
    <t>Columna14113</t>
  </si>
  <si>
    <t>Columna14114</t>
  </si>
  <si>
    <t>Columna14115</t>
  </si>
  <si>
    <t>Columna14116</t>
  </si>
  <si>
    <t>Columna14117</t>
  </si>
  <si>
    <t>Columna14118</t>
  </si>
  <si>
    <t>Columna14119</t>
  </si>
  <si>
    <t>Columna14120</t>
  </si>
  <si>
    <t>Columna14121</t>
  </si>
  <si>
    <t>Columna14122</t>
  </si>
  <si>
    <t>Columna14123</t>
  </si>
  <si>
    <t>Columna14124</t>
  </si>
  <si>
    <t>Columna14125</t>
  </si>
  <si>
    <t>Columna14126</t>
  </si>
  <si>
    <t>Columna14127</t>
  </si>
  <si>
    <t>Columna14128</t>
  </si>
  <si>
    <t>Columna14129</t>
  </si>
  <si>
    <t>Columna14130</t>
  </si>
  <si>
    <t>Columna14131</t>
  </si>
  <si>
    <t>Columna14132</t>
  </si>
  <si>
    <t>Columna14133</t>
  </si>
  <si>
    <t>Columna14134</t>
  </si>
  <si>
    <t>Columna14135</t>
  </si>
  <si>
    <t>Columna14136</t>
  </si>
  <si>
    <t>Columna14137</t>
  </si>
  <si>
    <t>Columna14138</t>
  </si>
  <si>
    <t>Columna14139</t>
  </si>
  <si>
    <t>Columna14140</t>
  </si>
  <si>
    <t>Columna14141</t>
  </si>
  <si>
    <t>Columna14142</t>
  </si>
  <si>
    <t>Columna14143</t>
  </si>
  <si>
    <t>Columna14144</t>
  </si>
  <si>
    <t>Columna14145</t>
  </si>
  <si>
    <t>Columna14146</t>
  </si>
  <si>
    <t>Columna14147</t>
  </si>
  <si>
    <t>Columna14148</t>
  </si>
  <si>
    <t>Columna14149</t>
  </si>
  <si>
    <t>Columna14150</t>
  </si>
  <si>
    <t>Columna14151</t>
  </si>
  <si>
    <t>Columna14152</t>
  </si>
  <si>
    <t>Columna14153</t>
  </si>
  <si>
    <t>Columna14154</t>
  </si>
  <si>
    <t>Columna14155</t>
  </si>
  <si>
    <t>Columna14156</t>
  </si>
  <si>
    <t>Columna14157</t>
  </si>
  <si>
    <t>Columna14158</t>
  </si>
  <si>
    <t>Columna14159</t>
  </si>
  <si>
    <t>Columna14160</t>
  </si>
  <si>
    <t>Columna14161</t>
  </si>
  <si>
    <t>Columna14162</t>
  </si>
  <si>
    <t>Columna14163</t>
  </si>
  <si>
    <t>Columna14164</t>
  </si>
  <si>
    <t>Columna14165</t>
  </si>
  <si>
    <t>Columna14166</t>
  </si>
  <si>
    <t>Columna14167</t>
  </si>
  <si>
    <t>Columna14168</t>
  </si>
  <si>
    <t>Columna14169</t>
  </si>
  <si>
    <t>Columna14170</t>
  </si>
  <si>
    <t>Columna14171</t>
  </si>
  <si>
    <t>Columna14172</t>
  </si>
  <si>
    <t>Columna14173</t>
  </si>
  <si>
    <t>Columna14174</t>
  </si>
  <si>
    <t>Columna14175</t>
  </si>
  <si>
    <t>Columna14176</t>
  </si>
  <si>
    <t>Columna14177</t>
  </si>
  <si>
    <t>Columna14178</t>
  </si>
  <si>
    <t>Columna14179</t>
  </si>
  <si>
    <t>Columna14180</t>
  </si>
  <si>
    <t>Columna14181</t>
  </si>
  <si>
    <t>Columna14182</t>
  </si>
  <si>
    <t>Columna14183</t>
  </si>
  <si>
    <t>Columna14184</t>
  </si>
  <si>
    <t>Columna14185</t>
  </si>
  <si>
    <t>Columna14186</t>
  </si>
  <si>
    <t>Columna14187</t>
  </si>
  <si>
    <t>Columna14188</t>
  </si>
  <si>
    <t>Columna14189</t>
  </si>
  <si>
    <t>Columna14190</t>
  </si>
  <si>
    <t>Columna14191</t>
  </si>
  <si>
    <t>Columna14192</t>
  </si>
  <si>
    <t>Columna14193</t>
  </si>
  <si>
    <t>Columna14194</t>
  </si>
  <si>
    <t>Columna14195</t>
  </si>
  <si>
    <t>Columna14196</t>
  </si>
  <si>
    <t>Columna14197</t>
  </si>
  <si>
    <t>Columna14198</t>
  </si>
  <si>
    <t>Columna14199</t>
  </si>
  <si>
    <t>Columna14200</t>
  </si>
  <si>
    <t>Columna14201</t>
  </si>
  <si>
    <t>Columna14202</t>
  </si>
  <si>
    <t>Columna14203</t>
  </si>
  <si>
    <t>Columna14204</t>
  </si>
  <si>
    <t>Columna14205</t>
  </si>
  <si>
    <t>Columna14206</t>
  </si>
  <si>
    <t>Columna14207</t>
  </si>
  <si>
    <t>Columna14208</t>
  </si>
  <si>
    <t>Columna14209</t>
  </si>
  <si>
    <t>Columna14210</t>
  </si>
  <si>
    <t>Columna14211</t>
  </si>
  <si>
    <t>Columna14212</t>
  </si>
  <si>
    <t>Columna14213</t>
  </si>
  <si>
    <t>Columna14214</t>
  </si>
  <si>
    <t>Columna14215</t>
  </si>
  <si>
    <t>Columna14216</t>
  </si>
  <si>
    <t>Columna14217</t>
  </si>
  <si>
    <t>Columna14218</t>
  </si>
  <si>
    <t>Columna14219</t>
  </si>
  <si>
    <t>Columna14220</t>
  </si>
  <si>
    <t>Columna14221</t>
  </si>
  <si>
    <t>Columna14222</t>
  </si>
  <si>
    <t>Columna14223</t>
  </si>
  <si>
    <t>Columna14224</t>
  </si>
  <si>
    <t>Columna14225</t>
  </si>
  <si>
    <t>Columna14226</t>
  </si>
  <si>
    <t>Columna14227</t>
  </si>
  <si>
    <t>Columna14228</t>
  </si>
  <si>
    <t>Columna14229</t>
  </si>
  <si>
    <t>Columna14230</t>
  </si>
  <si>
    <t>Columna14231</t>
  </si>
  <si>
    <t>Columna14232</t>
  </si>
  <si>
    <t>Columna14233</t>
  </si>
  <si>
    <t>Columna14234</t>
  </si>
  <si>
    <t>Columna14235</t>
  </si>
  <si>
    <t>Columna14236</t>
  </si>
  <si>
    <t>Columna14237</t>
  </si>
  <si>
    <t>Columna14238</t>
  </si>
  <si>
    <t>Columna14239</t>
  </si>
  <si>
    <t>Columna14240</t>
  </si>
  <si>
    <t>Columna14241</t>
  </si>
  <si>
    <t>Columna14242</t>
  </si>
  <si>
    <t>Columna14243</t>
  </si>
  <si>
    <t>Columna14244</t>
  </si>
  <si>
    <t>Columna14245</t>
  </si>
  <si>
    <t>Columna14246</t>
  </si>
  <si>
    <t>Columna14247</t>
  </si>
  <si>
    <t>Columna14248</t>
  </si>
  <si>
    <t>Columna14249</t>
  </si>
  <si>
    <t>Columna14250</t>
  </si>
  <si>
    <t>Columna14251</t>
  </si>
  <si>
    <t>Columna14252</t>
  </si>
  <si>
    <t>Columna14253</t>
  </si>
  <si>
    <t>Columna14254</t>
  </si>
  <si>
    <t>Columna14255</t>
  </si>
  <si>
    <t>Columna14256</t>
  </si>
  <si>
    <t>Columna14257</t>
  </si>
  <si>
    <t>Columna14258</t>
  </si>
  <si>
    <t>Columna14259</t>
  </si>
  <si>
    <t>Columna14260</t>
  </si>
  <si>
    <t>Columna14261</t>
  </si>
  <si>
    <t>Columna14262</t>
  </si>
  <si>
    <t>Columna14263</t>
  </si>
  <si>
    <t>Columna14264</t>
  </si>
  <si>
    <t>Columna14265</t>
  </si>
  <si>
    <t>Columna14266</t>
  </si>
  <si>
    <t>Columna14267</t>
  </si>
  <si>
    <t>Columna14268</t>
  </si>
  <si>
    <t>Columna14269</t>
  </si>
  <si>
    <t>Columna14270</t>
  </si>
  <si>
    <t>Columna14271</t>
  </si>
  <si>
    <t>Columna14272</t>
  </si>
  <si>
    <t>Columna14273</t>
  </si>
  <si>
    <t>Columna14274</t>
  </si>
  <si>
    <t>Columna14275</t>
  </si>
  <si>
    <t>Columna14276</t>
  </si>
  <si>
    <t>Columna14277</t>
  </si>
  <si>
    <t>Columna14278</t>
  </si>
  <si>
    <t>Columna14279</t>
  </si>
  <si>
    <t>Columna14280</t>
  </si>
  <si>
    <t>Columna14281</t>
  </si>
  <si>
    <t>Columna14282</t>
  </si>
  <si>
    <t>Columna14283</t>
  </si>
  <si>
    <t>Columna14284</t>
  </si>
  <si>
    <t>Columna14285</t>
  </si>
  <si>
    <t>Columna14286</t>
  </si>
  <si>
    <t>Columna14287</t>
  </si>
  <si>
    <t>Columna14288</t>
  </si>
  <si>
    <t>Columna14289</t>
  </si>
  <si>
    <t>Columna14290</t>
  </si>
  <si>
    <t>Columna14291</t>
  </si>
  <si>
    <t>Columna14292</t>
  </si>
  <si>
    <t>Columna14293</t>
  </si>
  <si>
    <t>Columna14294</t>
  </si>
  <si>
    <t>Columna14295</t>
  </si>
  <si>
    <t>Columna14296</t>
  </si>
  <si>
    <t>Columna14297</t>
  </si>
  <si>
    <t>Columna14298</t>
  </si>
  <si>
    <t>Columna14299</t>
  </si>
  <si>
    <t>Columna14300</t>
  </si>
  <si>
    <t>Columna14301</t>
  </si>
  <si>
    <t>Columna14302</t>
  </si>
  <si>
    <t>Columna14303</t>
  </si>
  <si>
    <t>Columna14304</t>
  </si>
  <si>
    <t>Columna14305</t>
  </si>
  <si>
    <t>Columna14306</t>
  </si>
  <si>
    <t>Columna14307</t>
  </si>
  <si>
    <t>Columna14308</t>
  </si>
  <si>
    <t>Columna14309</t>
  </si>
  <si>
    <t>Columna14310</t>
  </si>
  <si>
    <t>Columna14311</t>
  </si>
  <si>
    <t>Columna14312</t>
  </si>
  <si>
    <t>Columna14313</t>
  </si>
  <si>
    <t>Columna14314</t>
  </si>
  <si>
    <t>Columna14315</t>
  </si>
  <si>
    <t>Columna14316</t>
  </si>
  <si>
    <t>Columna14317</t>
  </si>
  <si>
    <t>Columna14318</t>
  </si>
  <si>
    <t>Columna14319</t>
  </si>
  <si>
    <t>Columna14320</t>
  </si>
  <si>
    <t>Columna14321</t>
  </si>
  <si>
    <t>Columna14322</t>
  </si>
  <si>
    <t>Columna14323</t>
  </si>
  <si>
    <t>Columna14324</t>
  </si>
  <si>
    <t>Columna14325</t>
  </si>
  <si>
    <t>Columna14326</t>
  </si>
  <si>
    <t>Columna14327</t>
  </si>
  <si>
    <t>Columna14328</t>
  </si>
  <si>
    <t>Columna14329</t>
  </si>
  <si>
    <t>Columna14330</t>
  </si>
  <si>
    <t>Columna14331</t>
  </si>
  <si>
    <t>Columna14332</t>
  </si>
  <si>
    <t>Columna14333</t>
  </si>
  <si>
    <t>Columna14334</t>
  </si>
  <si>
    <t>Columna14335</t>
  </si>
  <si>
    <t>Columna14336</t>
  </si>
  <si>
    <t>Columna14337</t>
  </si>
  <si>
    <t>Columna14338</t>
  </si>
  <si>
    <t>Columna14339</t>
  </si>
  <si>
    <t>Columna14340</t>
  </si>
  <si>
    <t>Columna14341</t>
  </si>
  <si>
    <t>Columna14342</t>
  </si>
  <si>
    <t>Columna14343</t>
  </si>
  <si>
    <t>Columna14344</t>
  </si>
  <si>
    <t>Columna14345</t>
  </si>
  <si>
    <t>Columna14346</t>
  </si>
  <si>
    <t>Columna14347</t>
  </si>
  <si>
    <t>Columna14348</t>
  </si>
  <si>
    <t>Columna14349</t>
  </si>
  <si>
    <t>Columna14350</t>
  </si>
  <si>
    <t>Columna14351</t>
  </si>
  <si>
    <t>Columna14352</t>
  </si>
  <si>
    <t>Columna14353</t>
  </si>
  <si>
    <t>Columna14354</t>
  </si>
  <si>
    <t>Columna14355</t>
  </si>
  <si>
    <t>Columna14356</t>
  </si>
  <si>
    <t>Columna14357</t>
  </si>
  <si>
    <t>Columna14358</t>
  </si>
  <si>
    <t>Columna14359</t>
  </si>
  <si>
    <t>Columna14360</t>
  </si>
  <si>
    <t>Columna14361</t>
  </si>
  <si>
    <t>Columna14362</t>
  </si>
  <si>
    <t>Columna14363</t>
  </si>
  <si>
    <t>Columna14364</t>
  </si>
  <si>
    <t>Columna14365</t>
  </si>
  <si>
    <t>Columna14366</t>
  </si>
  <si>
    <t>Columna14367</t>
  </si>
  <si>
    <t>Columna14368</t>
  </si>
  <si>
    <t>Columna14369</t>
  </si>
  <si>
    <t>Columna14370</t>
  </si>
  <si>
    <t>Columna14371</t>
  </si>
  <si>
    <t>Columna14372</t>
  </si>
  <si>
    <t>Columna14373</t>
  </si>
  <si>
    <t>Columna14374</t>
  </si>
  <si>
    <t>Columna14375</t>
  </si>
  <si>
    <t>Columna14376</t>
  </si>
  <si>
    <t>Columna14377</t>
  </si>
  <si>
    <t>Columna14378</t>
  </si>
  <si>
    <t>Columna14379</t>
  </si>
  <si>
    <t>Columna14380</t>
  </si>
  <si>
    <t>Columna14381</t>
  </si>
  <si>
    <t>Columna14382</t>
  </si>
  <si>
    <t>Columna14383</t>
  </si>
  <si>
    <t>Columna14384</t>
  </si>
  <si>
    <t>Columna14385</t>
  </si>
  <si>
    <t>Columna14386</t>
  </si>
  <si>
    <t>Columna14387</t>
  </si>
  <si>
    <t>Columna14388</t>
  </si>
  <si>
    <t>Columna14389</t>
  </si>
  <si>
    <t>Columna14390</t>
  </si>
  <si>
    <t>Columna14391</t>
  </si>
  <si>
    <t>Columna14392</t>
  </si>
  <si>
    <t>Columna14393</t>
  </si>
  <si>
    <t>Columna14394</t>
  </si>
  <si>
    <t>Columna14395</t>
  </si>
  <si>
    <t>Columna14396</t>
  </si>
  <si>
    <t>Columna14397</t>
  </si>
  <si>
    <t>Columna14398</t>
  </si>
  <si>
    <t>Columna14399</t>
  </si>
  <si>
    <t>Columna14400</t>
  </si>
  <si>
    <t>Columna14401</t>
  </si>
  <si>
    <t>Columna14402</t>
  </si>
  <si>
    <t>Columna14403</t>
  </si>
  <si>
    <t>Columna14404</t>
  </si>
  <si>
    <t>Columna14405</t>
  </si>
  <si>
    <t>Columna14406</t>
  </si>
  <si>
    <t>Columna14407</t>
  </si>
  <si>
    <t>Columna14408</t>
  </si>
  <si>
    <t>Columna14409</t>
  </si>
  <si>
    <t>Columna14410</t>
  </si>
  <si>
    <t>Columna14411</t>
  </si>
  <si>
    <t>Columna14412</t>
  </si>
  <si>
    <t>Columna14413</t>
  </si>
  <si>
    <t>Columna14414</t>
  </si>
  <si>
    <t>Columna14415</t>
  </si>
  <si>
    <t>Columna14416</t>
  </si>
  <si>
    <t>Columna14417</t>
  </si>
  <si>
    <t>Columna14418</t>
  </si>
  <si>
    <t>Columna14419</t>
  </si>
  <si>
    <t>Columna14420</t>
  </si>
  <si>
    <t>Columna14421</t>
  </si>
  <si>
    <t>Columna14422</t>
  </si>
  <si>
    <t>Columna14423</t>
  </si>
  <si>
    <t>Columna14424</t>
  </si>
  <si>
    <t>Columna14425</t>
  </si>
  <si>
    <t>Columna14426</t>
  </si>
  <si>
    <t>Columna14427</t>
  </si>
  <si>
    <t>Columna14428</t>
  </si>
  <si>
    <t>Columna14429</t>
  </si>
  <si>
    <t>Columna14430</t>
  </si>
  <si>
    <t>Columna14431</t>
  </si>
  <si>
    <t>Columna14432</t>
  </si>
  <si>
    <t>Columna14433</t>
  </si>
  <si>
    <t>Columna14434</t>
  </si>
  <si>
    <t>Columna14435</t>
  </si>
  <si>
    <t>Columna14436</t>
  </si>
  <si>
    <t>Columna14437</t>
  </si>
  <si>
    <t>Columna14438</t>
  </si>
  <si>
    <t>Columna14439</t>
  </si>
  <si>
    <t>Columna14440</t>
  </si>
  <si>
    <t>Columna14441</t>
  </si>
  <si>
    <t>Columna14442</t>
  </si>
  <si>
    <t>Columna14443</t>
  </si>
  <si>
    <t>Columna14444</t>
  </si>
  <si>
    <t>Columna14445</t>
  </si>
  <si>
    <t>Columna14446</t>
  </si>
  <si>
    <t>Columna14447</t>
  </si>
  <si>
    <t>Columna14448</t>
  </si>
  <si>
    <t>Columna14449</t>
  </si>
  <si>
    <t>Columna14450</t>
  </si>
  <si>
    <t>Columna14451</t>
  </si>
  <si>
    <t>Columna14452</t>
  </si>
  <si>
    <t>Columna14453</t>
  </si>
  <si>
    <t>Columna14454</t>
  </si>
  <si>
    <t>Columna14455</t>
  </si>
  <si>
    <t>Columna14456</t>
  </si>
  <si>
    <t>Columna14457</t>
  </si>
  <si>
    <t>Columna14458</t>
  </si>
  <si>
    <t>Columna14459</t>
  </si>
  <si>
    <t>Columna14460</t>
  </si>
  <si>
    <t>Columna14461</t>
  </si>
  <si>
    <t>Columna14462</t>
  </si>
  <si>
    <t>Columna14463</t>
  </si>
  <si>
    <t>Columna14464</t>
  </si>
  <si>
    <t>Columna14465</t>
  </si>
  <si>
    <t>Columna14466</t>
  </si>
  <si>
    <t>Columna14467</t>
  </si>
  <si>
    <t>Columna14468</t>
  </si>
  <si>
    <t>Columna14469</t>
  </si>
  <si>
    <t>Columna14470</t>
  </si>
  <si>
    <t>Columna14471</t>
  </si>
  <si>
    <t>Columna14472</t>
  </si>
  <si>
    <t>Columna14473</t>
  </si>
  <si>
    <t>Columna14474</t>
  </si>
  <si>
    <t>Columna14475</t>
  </si>
  <si>
    <t>Columna14476</t>
  </si>
  <si>
    <t>Columna14477</t>
  </si>
  <si>
    <t>Columna14478</t>
  </si>
  <si>
    <t>Columna14479</t>
  </si>
  <si>
    <t>Columna14480</t>
  </si>
  <si>
    <t>Columna14481</t>
  </si>
  <si>
    <t>Columna14482</t>
  </si>
  <si>
    <t>Columna14483</t>
  </si>
  <si>
    <t>Columna14484</t>
  </si>
  <si>
    <t>Columna14485</t>
  </si>
  <si>
    <t>Columna14486</t>
  </si>
  <si>
    <t>Columna14487</t>
  </si>
  <si>
    <t>Columna14488</t>
  </si>
  <si>
    <t>Columna14489</t>
  </si>
  <si>
    <t>Columna14490</t>
  </si>
  <si>
    <t>Columna14491</t>
  </si>
  <si>
    <t>Columna14492</t>
  </si>
  <si>
    <t>Columna14493</t>
  </si>
  <si>
    <t>Columna14494</t>
  </si>
  <si>
    <t>Columna14495</t>
  </si>
  <si>
    <t>Columna14496</t>
  </si>
  <si>
    <t>Columna14497</t>
  </si>
  <si>
    <t>Columna14498</t>
  </si>
  <si>
    <t>Columna14499</t>
  </si>
  <si>
    <t>Columna14500</t>
  </si>
  <si>
    <t>Columna14501</t>
  </si>
  <si>
    <t>Columna14502</t>
  </si>
  <si>
    <t>Columna14503</t>
  </si>
  <si>
    <t>Columna14504</t>
  </si>
  <si>
    <t>Columna14505</t>
  </si>
  <si>
    <t>Columna14506</t>
  </si>
  <si>
    <t>Columna14507</t>
  </si>
  <si>
    <t>Columna14508</t>
  </si>
  <si>
    <t>Columna14509</t>
  </si>
  <si>
    <t>Columna14510</t>
  </si>
  <si>
    <t>Columna14511</t>
  </si>
  <si>
    <t>Columna14512</t>
  </si>
  <si>
    <t>Columna14513</t>
  </si>
  <si>
    <t>Columna14514</t>
  </si>
  <si>
    <t>Columna14515</t>
  </si>
  <si>
    <t>Columna14516</t>
  </si>
  <si>
    <t>Columna14517</t>
  </si>
  <si>
    <t>Columna14518</t>
  </si>
  <si>
    <t>Columna14519</t>
  </si>
  <si>
    <t>Columna14520</t>
  </si>
  <si>
    <t>Columna14521</t>
  </si>
  <si>
    <t>Columna14522</t>
  </si>
  <si>
    <t>Columna14523</t>
  </si>
  <si>
    <t>Columna14524</t>
  </si>
  <si>
    <t>Columna14525</t>
  </si>
  <si>
    <t>Columna14526</t>
  </si>
  <si>
    <t>Columna14527</t>
  </si>
  <si>
    <t>Columna14528</t>
  </si>
  <si>
    <t>Columna14529</t>
  </si>
  <si>
    <t>Columna14530</t>
  </si>
  <si>
    <t>Columna14531</t>
  </si>
  <si>
    <t>Columna14532</t>
  </si>
  <si>
    <t>Columna14533</t>
  </si>
  <si>
    <t>Columna14534</t>
  </si>
  <si>
    <t>Columna14535</t>
  </si>
  <si>
    <t>Columna14536</t>
  </si>
  <si>
    <t>Columna14537</t>
  </si>
  <si>
    <t>Columna14538</t>
  </si>
  <si>
    <t>Columna14539</t>
  </si>
  <si>
    <t>Columna14540</t>
  </si>
  <si>
    <t>Columna14541</t>
  </si>
  <si>
    <t>Columna14542</t>
  </si>
  <si>
    <t>Columna14543</t>
  </si>
  <si>
    <t>Columna14544</t>
  </si>
  <si>
    <t>Columna14545</t>
  </si>
  <si>
    <t>Columna14546</t>
  </si>
  <si>
    <t>Columna14547</t>
  </si>
  <si>
    <t>Columna14548</t>
  </si>
  <si>
    <t>Columna14549</t>
  </si>
  <si>
    <t>Columna14550</t>
  </si>
  <si>
    <t>Columna14551</t>
  </si>
  <si>
    <t>Columna14552</t>
  </si>
  <si>
    <t>Columna14553</t>
  </si>
  <si>
    <t>Columna14554</t>
  </si>
  <si>
    <t>Columna14555</t>
  </si>
  <si>
    <t>Columna14556</t>
  </si>
  <si>
    <t>Columna14557</t>
  </si>
  <si>
    <t>Columna14558</t>
  </si>
  <si>
    <t>Columna14559</t>
  </si>
  <si>
    <t>Columna14560</t>
  </si>
  <si>
    <t>Columna14561</t>
  </si>
  <si>
    <t>Columna14562</t>
  </si>
  <si>
    <t>Columna14563</t>
  </si>
  <si>
    <t>Columna14564</t>
  </si>
  <si>
    <t>Columna14565</t>
  </si>
  <si>
    <t>Columna14566</t>
  </si>
  <si>
    <t>Columna14567</t>
  </si>
  <si>
    <t>Columna14568</t>
  </si>
  <si>
    <t>Columna14569</t>
  </si>
  <si>
    <t>Columna14570</t>
  </si>
  <si>
    <t>Columna14571</t>
  </si>
  <si>
    <t>Columna14572</t>
  </si>
  <si>
    <t>Columna14573</t>
  </si>
  <si>
    <t>Columna14574</t>
  </si>
  <si>
    <t>Columna14575</t>
  </si>
  <si>
    <t>Columna14576</t>
  </si>
  <si>
    <t>Columna14577</t>
  </si>
  <si>
    <t>Columna14578</t>
  </si>
  <si>
    <t>Columna14579</t>
  </si>
  <si>
    <t>Columna14580</t>
  </si>
  <si>
    <t>Columna14581</t>
  </si>
  <si>
    <t>Columna14582</t>
  </si>
  <si>
    <t>Columna14583</t>
  </si>
  <si>
    <t>Columna14584</t>
  </si>
  <si>
    <t>Columna14585</t>
  </si>
  <si>
    <t>Columna14586</t>
  </si>
  <si>
    <t>Columna14587</t>
  </si>
  <si>
    <t>Columna14588</t>
  </si>
  <si>
    <t>Columna14589</t>
  </si>
  <si>
    <t>Columna14590</t>
  </si>
  <si>
    <t>Columna14591</t>
  </si>
  <si>
    <t>Columna14592</t>
  </si>
  <si>
    <t>Columna14593</t>
  </si>
  <si>
    <t>Columna14594</t>
  </si>
  <si>
    <t>Columna14595</t>
  </si>
  <si>
    <t>Columna14596</t>
  </si>
  <si>
    <t>Columna14597</t>
  </si>
  <si>
    <t>Columna14598</t>
  </si>
  <si>
    <t>Columna14599</t>
  </si>
  <si>
    <t>Columna14600</t>
  </si>
  <si>
    <t>Columna14601</t>
  </si>
  <si>
    <t>Columna14602</t>
  </si>
  <si>
    <t>Columna14603</t>
  </si>
  <si>
    <t>Columna14604</t>
  </si>
  <si>
    <t>Columna14605</t>
  </si>
  <si>
    <t>Columna14606</t>
  </si>
  <si>
    <t>Columna14607</t>
  </si>
  <si>
    <t>Columna14608</t>
  </si>
  <si>
    <t>Columna14609</t>
  </si>
  <si>
    <t>Columna14610</t>
  </si>
  <si>
    <t>Columna14611</t>
  </si>
  <si>
    <t>Columna14612</t>
  </si>
  <si>
    <t>Columna14613</t>
  </si>
  <si>
    <t>Columna14614</t>
  </si>
  <si>
    <t>Columna14615</t>
  </si>
  <si>
    <t>Columna14616</t>
  </si>
  <si>
    <t>Columna14617</t>
  </si>
  <si>
    <t>Columna14618</t>
  </si>
  <si>
    <t>Columna14619</t>
  </si>
  <si>
    <t>Columna14620</t>
  </si>
  <si>
    <t>Columna14621</t>
  </si>
  <si>
    <t>Columna14622</t>
  </si>
  <si>
    <t>Columna14623</t>
  </si>
  <si>
    <t>Columna14624</t>
  </si>
  <si>
    <t>Columna14625</t>
  </si>
  <si>
    <t>Columna14626</t>
  </si>
  <si>
    <t>Columna14627</t>
  </si>
  <si>
    <t>Columna14628</t>
  </si>
  <si>
    <t>Columna14629</t>
  </si>
  <si>
    <t>Columna14630</t>
  </si>
  <si>
    <t>Columna14631</t>
  </si>
  <si>
    <t>Columna14632</t>
  </si>
  <si>
    <t>Columna14633</t>
  </si>
  <si>
    <t>Columna14634</t>
  </si>
  <si>
    <t>Columna14635</t>
  </si>
  <si>
    <t>Columna14636</t>
  </si>
  <si>
    <t>Columna14637</t>
  </si>
  <si>
    <t>Columna14638</t>
  </si>
  <si>
    <t>Columna14639</t>
  </si>
  <si>
    <t>Columna14640</t>
  </si>
  <si>
    <t>Columna14641</t>
  </si>
  <si>
    <t>Columna14642</t>
  </si>
  <si>
    <t>Columna14643</t>
  </si>
  <si>
    <t>Columna14644</t>
  </si>
  <si>
    <t>Columna14645</t>
  </si>
  <si>
    <t>Columna14646</t>
  </si>
  <si>
    <t>Columna14647</t>
  </si>
  <si>
    <t>Columna14648</t>
  </si>
  <si>
    <t>Columna14649</t>
  </si>
  <si>
    <t>Columna14650</t>
  </si>
  <si>
    <t>Columna14651</t>
  </si>
  <si>
    <t>Columna14652</t>
  </si>
  <si>
    <t>Columna14653</t>
  </si>
  <si>
    <t>Columna14654</t>
  </si>
  <si>
    <t>Columna14655</t>
  </si>
  <si>
    <t>Columna14656</t>
  </si>
  <si>
    <t>Columna14657</t>
  </si>
  <si>
    <t>Columna14658</t>
  </si>
  <si>
    <t>Columna14659</t>
  </si>
  <si>
    <t>Columna14660</t>
  </si>
  <si>
    <t>Columna14661</t>
  </si>
  <si>
    <t>Columna14662</t>
  </si>
  <si>
    <t>Columna14663</t>
  </si>
  <si>
    <t>Columna14664</t>
  </si>
  <si>
    <t>Columna14665</t>
  </si>
  <si>
    <t>Columna14666</t>
  </si>
  <si>
    <t>Columna14667</t>
  </si>
  <si>
    <t>Columna14668</t>
  </si>
  <si>
    <t>Columna14669</t>
  </si>
  <si>
    <t>Columna14670</t>
  </si>
  <si>
    <t>Columna14671</t>
  </si>
  <si>
    <t>Columna14672</t>
  </si>
  <si>
    <t>Columna14673</t>
  </si>
  <si>
    <t>Columna14674</t>
  </si>
  <si>
    <t>Columna14675</t>
  </si>
  <si>
    <t>Columna14676</t>
  </si>
  <si>
    <t>Columna14677</t>
  </si>
  <si>
    <t>Columna14678</t>
  </si>
  <si>
    <t>Columna14679</t>
  </si>
  <si>
    <t>Columna14680</t>
  </si>
  <si>
    <t>Columna14681</t>
  </si>
  <si>
    <t>Columna14682</t>
  </si>
  <si>
    <t>Columna14683</t>
  </si>
  <si>
    <t>Columna14684</t>
  </si>
  <si>
    <t>Columna14685</t>
  </si>
  <si>
    <t>Columna14686</t>
  </si>
  <si>
    <t>Columna14687</t>
  </si>
  <si>
    <t>Columna14688</t>
  </si>
  <si>
    <t>Columna14689</t>
  </si>
  <si>
    <t>Columna14690</t>
  </si>
  <si>
    <t>Columna14691</t>
  </si>
  <si>
    <t>Columna14692</t>
  </si>
  <si>
    <t>Columna14693</t>
  </si>
  <si>
    <t>Columna14694</t>
  </si>
  <si>
    <t>Columna14695</t>
  </si>
  <si>
    <t>Columna14696</t>
  </si>
  <si>
    <t>Columna14697</t>
  </si>
  <si>
    <t>Columna14698</t>
  </si>
  <si>
    <t>Columna14699</t>
  </si>
  <si>
    <t>Columna14700</t>
  </si>
  <si>
    <t>Columna14701</t>
  </si>
  <si>
    <t>Columna14702</t>
  </si>
  <si>
    <t>Columna14703</t>
  </si>
  <si>
    <t>Columna14704</t>
  </si>
  <si>
    <t>Columna14705</t>
  </si>
  <si>
    <t>Columna14706</t>
  </si>
  <si>
    <t>Columna14707</t>
  </si>
  <si>
    <t>Columna14708</t>
  </si>
  <si>
    <t>Columna14709</t>
  </si>
  <si>
    <t>Columna14710</t>
  </si>
  <si>
    <t>Columna14711</t>
  </si>
  <si>
    <t>Columna14712</t>
  </si>
  <si>
    <t>Columna14713</t>
  </si>
  <si>
    <t>Columna14714</t>
  </si>
  <si>
    <t>Columna14715</t>
  </si>
  <si>
    <t>Columna14716</t>
  </si>
  <si>
    <t>Columna14717</t>
  </si>
  <si>
    <t>Columna14718</t>
  </si>
  <si>
    <t>Columna14719</t>
  </si>
  <si>
    <t>Columna14720</t>
  </si>
  <si>
    <t>Columna14721</t>
  </si>
  <si>
    <t>Columna14722</t>
  </si>
  <si>
    <t>Columna14723</t>
  </si>
  <si>
    <t>Columna14724</t>
  </si>
  <si>
    <t>Columna14725</t>
  </si>
  <si>
    <t>Columna14726</t>
  </si>
  <si>
    <t>Columna14727</t>
  </si>
  <si>
    <t>Columna14728</t>
  </si>
  <si>
    <t>Columna14729</t>
  </si>
  <si>
    <t>Columna14730</t>
  </si>
  <si>
    <t>Columna14731</t>
  </si>
  <si>
    <t>Columna14732</t>
  </si>
  <si>
    <t>Columna14733</t>
  </si>
  <si>
    <t>Columna14734</t>
  </si>
  <si>
    <t>Columna14735</t>
  </si>
  <si>
    <t>Columna14736</t>
  </si>
  <si>
    <t>Columna14737</t>
  </si>
  <si>
    <t>Columna14738</t>
  </si>
  <si>
    <t>Columna14739</t>
  </si>
  <si>
    <t>Columna14740</t>
  </si>
  <si>
    <t>Columna14741</t>
  </si>
  <si>
    <t>Columna14742</t>
  </si>
  <si>
    <t>Columna14743</t>
  </si>
  <si>
    <t>Columna14744</t>
  </si>
  <si>
    <t>Columna14745</t>
  </si>
  <si>
    <t>Columna14746</t>
  </si>
  <si>
    <t>Columna14747</t>
  </si>
  <si>
    <t>Columna14748</t>
  </si>
  <si>
    <t>Columna14749</t>
  </si>
  <si>
    <t>Columna14750</t>
  </si>
  <si>
    <t>Columna14751</t>
  </si>
  <si>
    <t>Columna14752</t>
  </si>
  <si>
    <t>Columna14753</t>
  </si>
  <si>
    <t>Columna14754</t>
  </si>
  <si>
    <t>Columna14755</t>
  </si>
  <si>
    <t>Columna14756</t>
  </si>
  <si>
    <t>Columna14757</t>
  </si>
  <si>
    <t>Columna14758</t>
  </si>
  <si>
    <t>Columna14759</t>
  </si>
  <si>
    <t>Columna14760</t>
  </si>
  <si>
    <t>Columna14761</t>
  </si>
  <si>
    <t>Columna14762</t>
  </si>
  <si>
    <t>Columna14763</t>
  </si>
  <si>
    <t>Columna14764</t>
  </si>
  <si>
    <t>Columna14765</t>
  </si>
  <si>
    <t>Columna14766</t>
  </si>
  <si>
    <t>Columna14767</t>
  </si>
  <si>
    <t>Columna14768</t>
  </si>
  <si>
    <t>Columna14769</t>
  </si>
  <si>
    <t>Columna14770</t>
  </si>
  <si>
    <t>Columna14771</t>
  </si>
  <si>
    <t>Columna14772</t>
  </si>
  <si>
    <t>Columna14773</t>
  </si>
  <si>
    <t>Columna14774</t>
  </si>
  <si>
    <t>Columna14775</t>
  </si>
  <si>
    <t>Columna14776</t>
  </si>
  <si>
    <t>Columna14777</t>
  </si>
  <si>
    <t>Columna14778</t>
  </si>
  <si>
    <t>Columna14779</t>
  </si>
  <si>
    <t>Columna14780</t>
  </si>
  <si>
    <t>Columna14781</t>
  </si>
  <si>
    <t>Columna14782</t>
  </si>
  <si>
    <t>Columna14783</t>
  </si>
  <si>
    <t>Columna14784</t>
  </si>
  <si>
    <t>Columna14785</t>
  </si>
  <si>
    <t>Columna14786</t>
  </si>
  <si>
    <t>Columna14787</t>
  </si>
  <si>
    <t>Columna14788</t>
  </si>
  <si>
    <t>Columna14789</t>
  </si>
  <si>
    <t>Columna14790</t>
  </si>
  <si>
    <t>Columna14791</t>
  </si>
  <si>
    <t>Columna14792</t>
  </si>
  <si>
    <t>Columna14793</t>
  </si>
  <si>
    <t>Columna14794</t>
  </si>
  <si>
    <t>Columna14795</t>
  </si>
  <si>
    <t>Columna14796</t>
  </si>
  <si>
    <t>Columna14797</t>
  </si>
  <si>
    <t>Columna14798</t>
  </si>
  <si>
    <t>Columna14799</t>
  </si>
  <si>
    <t>Columna14800</t>
  </si>
  <si>
    <t>Columna14801</t>
  </si>
  <si>
    <t>Columna14802</t>
  </si>
  <si>
    <t>Columna14803</t>
  </si>
  <si>
    <t>Columna14804</t>
  </si>
  <si>
    <t>Columna14805</t>
  </si>
  <si>
    <t>Columna14806</t>
  </si>
  <si>
    <t>Columna14807</t>
  </si>
  <si>
    <t>Columna14808</t>
  </si>
  <si>
    <t>Columna14809</t>
  </si>
  <si>
    <t>Columna14810</t>
  </si>
  <si>
    <t>Columna14811</t>
  </si>
  <si>
    <t>Columna14812</t>
  </si>
  <si>
    <t>Columna14813</t>
  </si>
  <si>
    <t>Columna14814</t>
  </si>
  <si>
    <t>Columna14815</t>
  </si>
  <si>
    <t>Columna14816</t>
  </si>
  <si>
    <t>Columna14817</t>
  </si>
  <si>
    <t>Columna14818</t>
  </si>
  <si>
    <t>Columna14819</t>
  </si>
  <si>
    <t>Columna14820</t>
  </si>
  <si>
    <t>Columna14821</t>
  </si>
  <si>
    <t>Columna14822</t>
  </si>
  <si>
    <t>Columna14823</t>
  </si>
  <si>
    <t>Columna14824</t>
  </si>
  <si>
    <t>Columna14825</t>
  </si>
  <si>
    <t>Columna14826</t>
  </si>
  <si>
    <t>Columna14827</t>
  </si>
  <si>
    <t>Columna14828</t>
  </si>
  <si>
    <t>Columna14829</t>
  </si>
  <si>
    <t>Columna14830</t>
  </si>
  <si>
    <t>Columna14831</t>
  </si>
  <si>
    <t>Columna14832</t>
  </si>
  <si>
    <t>Columna14833</t>
  </si>
  <si>
    <t>Columna14834</t>
  </si>
  <si>
    <t>Columna14835</t>
  </si>
  <si>
    <t>Columna14836</t>
  </si>
  <si>
    <t>Columna14837</t>
  </si>
  <si>
    <t>Columna14838</t>
  </si>
  <si>
    <t>Columna14839</t>
  </si>
  <si>
    <t>Columna14840</t>
  </si>
  <si>
    <t>Columna14841</t>
  </si>
  <si>
    <t>Columna14842</t>
  </si>
  <si>
    <t>Columna14843</t>
  </si>
  <si>
    <t>Columna14844</t>
  </si>
  <si>
    <t>Columna14845</t>
  </si>
  <si>
    <t>Columna14846</t>
  </si>
  <si>
    <t>Columna14847</t>
  </si>
  <si>
    <t>Columna14848</t>
  </si>
  <si>
    <t>Columna14849</t>
  </si>
  <si>
    <t>Columna14850</t>
  </si>
  <si>
    <t>Columna14851</t>
  </si>
  <si>
    <t>Columna14852</t>
  </si>
  <si>
    <t>Columna14853</t>
  </si>
  <si>
    <t>Columna14854</t>
  </si>
  <si>
    <t>Columna14855</t>
  </si>
  <si>
    <t>Columna14856</t>
  </si>
  <si>
    <t>Columna14857</t>
  </si>
  <si>
    <t>Columna14858</t>
  </si>
  <si>
    <t>Columna14859</t>
  </si>
  <si>
    <t>Columna14860</t>
  </si>
  <si>
    <t>Columna14861</t>
  </si>
  <si>
    <t>Columna14862</t>
  </si>
  <si>
    <t>Columna14863</t>
  </si>
  <si>
    <t>Columna14864</t>
  </si>
  <si>
    <t>Columna14865</t>
  </si>
  <si>
    <t>Columna14866</t>
  </si>
  <si>
    <t>Columna14867</t>
  </si>
  <si>
    <t>Columna14868</t>
  </si>
  <si>
    <t>Columna14869</t>
  </si>
  <si>
    <t>Columna14870</t>
  </si>
  <si>
    <t>Columna14871</t>
  </si>
  <si>
    <t>Columna14872</t>
  </si>
  <si>
    <t>Columna14873</t>
  </si>
  <si>
    <t>Columna14874</t>
  </si>
  <si>
    <t>Columna14875</t>
  </si>
  <si>
    <t>Columna14876</t>
  </si>
  <si>
    <t>Columna14877</t>
  </si>
  <si>
    <t>Columna14878</t>
  </si>
  <si>
    <t>Columna14879</t>
  </si>
  <si>
    <t>Columna14880</t>
  </si>
  <si>
    <t>Columna14881</t>
  </si>
  <si>
    <t>Columna14882</t>
  </si>
  <si>
    <t>Columna14883</t>
  </si>
  <si>
    <t>Columna14884</t>
  </si>
  <si>
    <t>Columna14885</t>
  </si>
  <si>
    <t>Columna14886</t>
  </si>
  <si>
    <t>Columna14887</t>
  </si>
  <si>
    <t>Columna14888</t>
  </si>
  <si>
    <t>Columna14889</t>
  </si>
  <si>
    <t>Columna14890</t>
  </si>
  <si>
    <t>Columna14891</t>
  </si>
  <si>
    <t>Columna14892</t>
  </si>
  <si>
    <t>Columna14893</t>
  </si>
  <si>
    <t>Columna14894</t>
  </si>
  <si>
    <t>Columna14895</t>
  </si>
  <si>
    <t>Columna14896</t>
  </si>
  <si>
    <t>Columna14897</t>
  </si>
  <si>
    <t>Columna14898</t>
  </si>
  <si>
    <t>Columna14899</t>
  </si>
  <si>
    <t>Columna14900</t>
  </si>
  <si>
    <t>Columna14901</t>
  </si>
  <si>
    <t>Columna14902</t>
  </si>
  <si>
    <t>Columna14903</t>
  </si>
  <si>
    <t>Columna14904</t>
  </si>
  <si>
    <t>Columna14905</t>
  </si>
  <si>
    <t>Columna14906</t>
  </si>
  <si>
    <t>Columna14907</t>
  </si>
  <si>
    <t>Columna14908</t>
  </si>
  <si>
    <t>Columna14909</t>
  </si>
  <si>
    <t>Columna14910</t>
  </si>
  <si>
    <t>Columna14911</t>
  </si>
  <si>
    <t>Columna14912</t>
  </si>
  <si>
    <t>Columna14913</t>
  </si>
  <si>
    <t>Columna14914</t>
  </si>
  <si>
    <t>Columna14915</t>
  </si>
  <si>
    <t>Columna14916</t>
  </si>
  <si>
    <t>Columna14917</t>
  </si>
  <si>
    <t>Columna14918</t>
  </si>
  <si>
    <t>Columna14919</t>
  </si>
  <si>
    <t>Columna14920</t>
  </si>
  <si>
    <t>Columna14921</t>
  </si>
  <si>
    <t>Columna14922</t>
  </si>
  <si>
    <t>Columna14923</t>
  </si>
  <si>
    <t>Columna14924</t>
  </si>
  <si>
    <t>Columna14925</t>
  </si>
  <si>
    <t>Columna14926</t>
  </si>
  <si>
    <t>Columna14927</t>
  </si>
  <si>
    <t>Columna14928</t>
  </si>
  <si>
    <t>Columna14929</t>
  </si>
  <si>
    <t>Columna14930</t>
  </si>
  <si>
    <t>Columna14931</t>
  </si>
  <si>
    <t>Columna14932</t>
  </si>
  <si>
    <t>Columna14933</t>
  </si>
  <si>
    <t>Columna14934</t>
  </si>
  <si>
    <t>Columna14935</t>
  </si>
  <si>
    <t>Columna14936</t>
  </si>
  <si>
    <t>Columna14937</t>
  </si>
  <si>
    <t>Columna14938</t>
  </si>
  <si>
    <t>Columna14939</t>
  </si>
  <si>
    <t>Columna14940</t>
  </si>
  <si>
    <t>Columna14941</t>
  </si>
  <si>
    <t>Columna14942</t>
  </si>
  <si>
    <t>Columna14943</t>
  </si>
  <si>
    <t>Columna14944</t>
  </si>
  <si>
    <t>Columna14945</t>
  </si>
  <si>
    <t>Columna14946</t>
  </si>
  <si>
    <t>Columna14947</t>
  </si>
  <si>
    <t>Columna14948</t>
  </si>
  <si>
    <t>Columna14949</t>
  </si>
  <si>
    <t>Columna14950</t>
  </si>
  <si>
    <t>Columna14951</t>
  </si>
  <si>
    <t>Columna14952</t>
  </si>
  <si>
    <t>Columna14953</t>
  </si>
  <si>
    <t>Columna14954</t>
  </si>
  <si>
    <t>Columna14955</t>
  </si>
  <si>
    <t>Columna14956</t>
  </si>
  <si>
    <t>Columna14957</t>
  </si>
  <si>
    <t>Columna14958</t>
  </si>
  <si>
    <t>Columna14959</t>
  </si>
  <si>
    <t>Columna14960</t>
  </si>
  <si>
    <t>Columna14961</t>
  </si>
  <si>
    <t>Columna14962</t>
  </si>
  <si>
    <t>Columna14963</t>
  </si>
  <si>
    <t>Columna14964</t>
  </si>
  <si>
    <t>Columna14965</t>
  </si>
  <si>
    <t>Columna14966</t>
  </si>
  <si>
    <t>Columna14967</t>
  </si>
  <si>
    <t>Columna14968</t>
  </si>
  <si>
    <t>Columna14969</t>
  </si>
  <si>
    <t>Columna14970</t>
  </si>
  <si>
    <t>Columna14971</t>
  </si>
  <si>
    <t>Columna14972</t>
  </si>
  <si>
    <t>Columna14973</t>
  </si>
  <si>
    <t>Columna14974</t>
  </si>
  <si>
    <t>Columna14975</t>
  </si>
  <si>
    <t>Columna14976</t>
  </si>
  <si>
    <t>Columna14977</t>
  </si>
  <si>
    <t>Columna14978</t>
  </si>
  <si>
    <t>Columna14979</t>
  </si>
  <si>
    <t>Columna14980</t>
  </si>
  <si>
    <t>Columna14981</t>
  </si>
  <si>
    <t>Columna14982</t>
  </si>
  <si>
    <t>Columna14983</t>
  </si>
  <si>
    <t>Columna14984</t>
  </si>
  <si>
    <t>Columna14985</t>
  </si>
  <si>
    <t>Columna14986</t>
  </si>
  <si>
    <t>Columna14987</t>
  </si>
  <si>
    <t>Columna14988</t>
  </si>
  <si>
    <t>Columna14989</t>
  </si>
  <si>
    <t>Columna14990</t>
  </si>
  <si>
    <t>Columna14991</t>
  </si>
  <si>
    <t>Columna14992</t>
  </si>
  <si>
    <t>Columna14993</t>
  </si>
  <si>
    <t>Columna14994</t>
  </si>
  <si>
    <t>Columna14995</t>
  </si>
  <si>
    <t>Columna14996</t>
  </si>
  <si>
    <t>Columna14997</t>
  </si>
  <si>
    <t>Columna14998</t>
  </si>
  <si>
    <t>Columna14999</t>
  </si>
  <si>
    <t>Columna15000</t>
  </si>
  <si>
    <t>Columna15001</t>
  </si>
  <si>
    <t>Columna15002</t>
  </si>
  <si>
    <t>Columna15003</t>
  </si>
  <si>
    <t>Columna15004</t>
  </si>
  <si>
    <t>Columna15005</t>
  </si>
  <si>
    <t>Columna15006</t>
  </si>
  <si>
    <t>Columna15007</t>
  </si>
  <si>
    <t>Columna15008</t>
  </si>
  <si>
    <t>Columna15009</t>
  </si>
  <si>
    <t>Columna15010</t>
  </si>
  <si>
    <t>Columna15011</t>
  </si>
  <si>
    <t>Columna15012</t>
  </si>
  <si>
    <t>Columna15013</t>
  </si>
  <si>
    <t>Columna15014</t>
  </si>
  <si>
    <t>Columna15015</t>
  </si>
  <si>
    <t>Columna15016</t>
  </si>
  <si>
    <t>Columna15017</t>
  </si>
  <si>
    <t>Columna15018</t>
  </si>
  <si>
    <t>Columna15019</t>
  </si>
  <si>
    <t>Columna15020</t>
  </si>
  <si>
    <t>Columna15021</t>
  </si>
  <si>
    <t>Columna15022</t>
  </si>
  <si>
    <t>Columna15023</t>
  </si>
  <si>
    <t>Columna15024</t>
  </si>
  <si>
    <t>Columna15025</t>
  </si>
  <si>
    <t>Columna15026</t>
  </si>
  <si>
    <t>Columna15027</t>
  </si>
  <si>
    <t>Columna15028</t>
  </si>
  <si>
    <t>Columna15029</t>
  </si>
  <si>
    <t>Columna15030</t>
  </si>
  <si>
    <t>Columna15031</t>
  </si>
  <si>
    <t>Columna15032</t>
  </si>
  <si>
    <t>Columna15033</t>
  </si>
  <si>
    <t>Columna15034</t>
  </si>
  <si>
    <t>Columna15035</t>
  </si>
  <si>
    <t>Columna15036</t>
  </si>
  <si>
    <t>Columna15037</t>
  </si>
  <si>
    <t>Columna15038</t>
  </si>
  <si>
    <t>Columna15039</t>
  </si>
  <si>
    <t>Columna15040</t>
  </si>
  <si>
    <t>Columna15041</t>
  </si>
  <si>
    <t>Columna15042</t>
  </si>
  <si>
    <t>Columna15043</t>
  </si>
  <si>
    <t>Columna15044</t>
  </si>
  <si>
    <t>Columna15045</t>
  </si>
  <si>
    <t>Columna15046</t>
  </si>
  <si>
    <t>Columna15047</t>
  </si>
  <si>
    <t>Columna15048</t>
  </si>
  <si>
    <t>Columna15049</t>
  </si>
  <si>
    <t>Columna15050</t>
  </si>
  <si>
    <t>Columna15051</t>
  </si>
  <si>
    <t>Columna15052</t>
  </si>
  <si>
    <t>Columna15053</t>
  </si>
  <si>
    <t>Columna15054</t>
  </si>
  <si>
    <t>Columna15055</t>
  </si>
  <si>
    <t>Columna15056</t>
  </si>
  <si>
    <t>Columna15057</t>
  </si>
  <si>
    <t>Columna15058</t>
  </si>
  <si>
    <t>Columna15059</t>
  </si>
  <si>
    <t>Columna15060</t>
  </si>
  <si>
    <t>Columna15061</t>
  </si>
  <si>
    <t>Columna15062</t>
  </si>
  <si>
    <t>Columna15063</t>
  </si>
  <si>
    <t>Columna15064</t>
  </si>
  <si>
    <t>Columna15065</t>
  </si>
  <si>
    <t>Columna15066</t>
  </si>
  <si>
    <t>Columna15067</t>
  </si>
  <si>
    <t>Columna15068</t>
  </si>
  <si>
    <t>Columna15069</t>
  </si>
  <si>
    <t>Columna15070</t>
  </si>
  <si>
    <t>Columna15071</t>
  </si>
  <si>
    <t>Columna15072</t>
  </si>
  <si>
    <t>Columna15073</t>
  </si>
  <si>
    <t>Columna15074</t>
  </si>
  <si>
    <t>Columna15075</t>
  </si>
  <si>
    <t>Columna15076</t>
  </si>
  <si>
    <t>Columna15077</t>
  </si>
  <si>
    <t>Columna15078</t>
  </si>
  <si>
    <t>Columna15079</t>
  </si>
  <si>
    <t>Columna15080</t>
  </si>
  <si>
    <t>Columna15081</t>
  </si>
  <si>
    <t>Columna15082</t>
  </si>
  <si>
    <t>Columna15083</t>
  </si>
  <si>
    <t>Columna15084</t>
  </si>
  <si>
    <t>Columna15085</t>
  </si>
  <si>
    <t>Columna15086</t>
  </si>
  <si>
    <t>Columna15087</t>
  </si>
  <si>
    <t>Columna15088</t>
  </si>
  <si>
    <t>Columna15089</t>
  </si>
  <si>
    <t>Columna15090</t>
  </si>
  <si>
    <t>Columna15091</t>
  </si>
  <si>
    <t>Columna15092</t>
  </si>
  <si>
    <t>Columna15093</t>
  </si>
  <si>
    <t>Columna15094</t>
  </si>
  <si>
    <t>Columna15095</t>
  </si>
  <si>
    <t>Columna15096</t>
  </si>
  <si>
    <t>Columna15097</t>
  </si>
  <si>
    <t>Columna15098</t>
  </si>
  <si>
    <t>Columna15099</t>
  </si>
  <si>
    <t>Columna15100</t>
  </si>
  <si>
    <t>Columna15101</t>
  </si>
  <si>
    <t>Columna15102</t>
  </si>
  <si>
    <t>Columna15103</t>
  </si>
  <si>
    <t>Columna15104</t>
  </si>
  <si>
    <t>Columna15105</t>
  </si>
  <si>
    <t>Columna15106</t>
  </si>
  <si>
    <t>Columna15107</t>
  </si>
  <si>
    <t>Columna15108</t>
  </si>
  <si>
    <t>Columna15109</t>
  </si>
  <si>
    <t>Columna15110</t>
  </si>
  <si>
    <t>Columna15111</t>
  </si>
  <si>
    <t>Columna15112</t>
  </si>
  <si>
    <t>Columna15113</t>
  </si>
  <si>
    <t>Columna15114</t>
  </si>
  <si>
    <t>Columna15115</t>
  </si>
  <si>
    <t>Columna15116</t>
  </si>
  <si>
    <t>Columna15117</t>
  </si>
  <si>
    <t>Columna15118</t>
  </si>
  <si>
    <t>Columna15119</t>
  </si>
  <si>
    <t>Columna15120</t>
  </si>
  <si>
    <t>Columna15121</t>
  </si>
  <si>
    <t>Columna15122</t>
  </si>
  <si>
    <t>Columna15123</t>
  </si>
  <si>
    <t>Columna15124</t>
  </si>
  <si>
    <t>Columna15125</t>
  </si>
  <si>
    <t>Columna15126</t>
  </si>
  <si>
    <t>Columna15127</t>
  </si>
  <si>
    <t>Columna15128</t>
  </si>
  <si>
    <t>Columna15129</t>
  </si>
  <si>
    <t>Columna15130</t>
  </si>
  <si>
    <t>Columna15131</t>
  </si>
  <si>
    <t>Columna15132</t>
  </si>
  <si>
    <t>Columna15133</t>
  </si>
  <si>
    <t>Columna15134</t>
  </si>
  <si>
    <t>Columna15135</t>
  </si>
  <si>
    <t>Columna15136</t>
  </si>
  <si>
    <t>Columna15137</t>
  </si>
  <si>
    <t>Columna15138</t>
  </si>
  <si>
    <t>Columna15139</t>
  </si>
  <si>
    <t>Columna15140</t>
  </si>
  <si>
    <t>Columna15141</t>
  </si>
  <si>
    <t>Columna15142</t>
  </si>
  <si>
    <t>Columna15143</t>
  </si>
  <si>
    <t>Columna15144</t>
  </si>
  <si>
    <t>Columna15145</t>
  </si>
  <si>
    <t>Columna15146</t>
  </si>
  <si>
    <t>Columna15147</t>
  </si>
  <si>
    <t>Columna15148</t>
  </si>
  <si>
    <t>Columna15149</t>
  </si>
  <si>
    <t>Columna15150</t>
  </si>
  <si>
    <t>Columna15151</t>
  </si>
  <si>
    <t>Columna15152</t>
  </si>
  <si>
    <t>Columna15153</t>
  </si>
  <si>
    <t>Columna15154</t>
  </si>
  <si>
    <t>Columna15155</t>
  </si>
  <si>
    <t>Columna15156</t>
  </si>
  <si>
    <t>Columna15157</t>
  </si>
  <si>
    <t>Columna15158</t>
  </si>
  <si>
    <t>Columna15159</t>
  </si>
  <si>
    <t>Columna15160</t>
  </si>
  <si>
    <t>Columna15161</t>
  </si>
  <si>
    <t>Columna15162</t>
  </si>
  <si>
    <t>Columna15163</t>
  </si>
  <si>
    <t>Columna15164</t>
  </si>
  <si>
    <t>Columna15165</t>
  </si>
  <si>
    <t>Columna15166</t>
  </si>
  <si>
    <t>Columna15167</t>
  </si>
  <si>
    <t>Columna15168</t>
  </si>
  <si>
    <t>Columna15169</t>
  </si>
  <si>
    <t>Columna15170</t>
  </si>
  <si>
    <t>Columna15171</t>
  </si>
  <si>
    <t>Columna15172</t>
  </si>
  <si>
    <t>Columna15173</t>
  </si>
  <si>
    <t>Columna15174</t>
  </si>
  <si>
    <t>Columna15175</t>
  </si>
  <si>
    <t>Columna15176</t>
  </si>
  <si>
    <t>Columna15177</t>
  </si>
  <si>
    <t>Columna15178</t>
  </si>
  <si>
    <t>Columna15179</t>
  </si>
  <si>
    <t>Columna15180</t>
  </si>
  <si>
    <t>Columna15181</t>
  </si>
  <si>
    <t>Columna15182</t>
  </si>
  <si>
    <t>Columna15183</t>
  </si>
  <si>
    <t>Columna15184</t>
  </si>
  <si>
    <t>Columna15185</t>
  </si>
  <si>
    <t>Columna15186</t>
  </si>
  <si>
    <t>Columna15187</t>
  </si>
  <si>
    <t>Columna15188</t>
  </si>
  <si>
    <t>Columna15189</t>
  </si>
  <si>
    <t>Columna15190</t>
  </si>
  <si>
    <t>Columna15191</t>
  </si>
  <si>
    <t>Columna15192</t>
  </si>
  <si>
    <t>Columna15193</t>
  </si>
  <si>
    <t>Columna15194</t>
  </si>
  <si>
    <t>Columna15195</t>
  </si>
  <si>
    <t>Columna15196</t>
  </si>
  <si>
    <t>Columna15197</t>
  </si>
  <si>
    <t>Columna15198</t>
  </si>
  <si>
    <t>Columna15199</t>
  </si>
  <si>
    <t>Columna15200</t>
  </si>
  <si>
    <t>Columna15201</t>
  </si>
  <si>
    <t>Columna15202</t>
  </si>
  <si>
    <t>Columna15203</t>
  </si>
  <si>
    <t>Columna15204</t>
  </si>
  <si>
    <t>Columna15205</t>
  </si>
  <si>
    <t>Columna15206</t>
  </si>
  <si>
    <t>Columna15207</t>
  </si>
  <si>
    <t>Columna15208</t>
  </si>
  <si>
    <t>Columna15209</t>
  </si>
  <si>
    <t>Columna15210</t>
  </si>
  <si>
    <t>Columna15211</t>
  </si>
  <si>
    <t>Columna15212</t>
  </si>
  <si>
    <t>Columna15213</t>
  </si>
  <si>
    <t>Columna15214</t>
  </si>
  <si>
    <t>Columna15215</t>
  </si>
  <si>
    <t>Columna15216</t>
  </si>
  <si>
    <t>Columna15217</t>
  </si>
  <si>
    <t>Columna15218</t>
  </si>
  <si>
    <t>Columna15219</t>
  </si>
  <si>
    <t>Columna15220</t>
  </si>
  <si>
    <t>Columna15221</t>
  </si>
  <si>
    <t>Columna15222</t>
  </si>
  <si>
    <t>Columna15223</t>
  </si>
  <si>
    <t>Columna15224</t>
  </si>
  <si>
    <t>Columna15225</t>
  </si>
  <si>
    <t>Columna15226</t>
  </si>
  <si>
    <t>Columna15227</t>
  </si>
  <si>
    <t>Columna15228</t>
  </si>
  <si>
    <t>Columna15229</t>
  </si>
  <si>
    <t>Columna15230</t>
  </si>
  <si>
    <t>Columna15231</t>
  </si>
  <si>
    <t>Columna15232</t>
  </si>
  <si>
    <t>Columna15233</t>
  </si>
  <si>
    <t>Columna15234</t>
  </si>
  <si>
    <t>Columna15235</t>
  </si>
  <si>
    <t>Columna15236</t>
  </si>
  <si>
    <t>Columna15237</t>
  </si>
  <si>
    <t>Columna15238</t>
  </si>
  <si>
    <t>Columna15239</t>
  </si>
  <si>
    <t>Columna15240</t>
  </si>
  <si>
    <t>Columna15241</t>
  </si>
  <si>
    <t>Columna15242</t>
  </si>
  <si>
    <t>Columna15243</t>
  </si>
  <si>
    <t>Columna15244</t>
  </si>
  <si>
    <t>Columna15245</t>
  </si>
  <si>
    <t>Columna15246</t>
  </si>
  <si>
    <t>Columna15247</t>
  </si>
  <si>
    <t>Columna15248</t>
  </si>
  <si>
    <t>Columna15249</t>
  </si>
  <si>
    <t>Columna15250</t>
  </si>
  <si>
    <t>Columna15251</t>
  </si>
  <si>
    <t>Columna15252</t>
  </si>
  <si>
    <t>Columna15253</t>
  </si>
  <si>
    <t>Columna15254</t>
  </si>
  <si>
    <t>Columna15255</t>
  </si>
  <si>
    <t>Columna15256</t>
  </si>
  <si>
    <t>Columna15257</t>
  </si>
  <si>
    <t>Columna15258</t>
  </si>
  <si>
    <t>Columna15259</t>
  </si>
  <si>
    <t>Columna15260</t>
  </si>
  <si>
    <t>Columna15261</t>
  </si>
  <si>
    <t>Columna15262</t>
  </si>
  <si>
    <t>Columna15263</t>
  </si>
  <si>
    <t>Columna15264</t>
  </si>
  <si>
    <t>Columna15265</t>
  </si>
  <si>
    <t>Columna15266</t>
  </si>
  <si>
    <t>Columna15267</t>
  </si>
  <si>
    <t>Columna15268</t>
  </si>
  <si>
    <t>Columna15269</t>
  </si>
  <si>
    <t>Columna15270</t>
  </si>
  <si>
    <t>Columna15271</t>
  </si>
  <si>
    <t>Columna15272</t>
  </si>
  <si>
    <t>Columna15273</t>
  </si>
  <si>
    <t>Columna15274</t>
  </si>
  <si>
    <t>Columna15275</t>
  </si>
  <si>
    <t>Columna15276</t>
  </si>
  <si>
    <t>Columna15277</t>
  </si>
  <si>
    <t>Columna15278</t>
  </si>
  <si>
    <t>Columna15279</t>
  </si>
  <si>
    <t>Columna15280</t>
  </si>
  <si>
    <t>Columna15281</t>
  </si>
  <si>
    <t>Columna15282</t>
  </si>
  <si>
    <t>Columna15283</t>
  </si>
  <si>
    <t>Columna15284</t>
  </si>
  <si>
    <t>Columna15285</t>
  </si>
  <si>
    <t>Columna15286</t>
  </si>
  <si>
    <t>Columna15287</t>
  </si>
  <si>
    <t>Columna15288</t>
  </si>
  <si>
    <t>Columna15289</t>
  </si>
  <si>
    <t>Columna15290</t>
  </si>
  <si>
    <t>Columna15291</t>
  </si>
  <si>
    <t>Columna15292</t>
  </si>
  <si>
    <t>Columna15293</t>
  </si>
  <si>
    <t>Columna15294</t>
  </si>
  <si>
    <t>Columna15295</t>
  </si>
  <si>
    <t>Columna15296</t>
  </si>
  <si>
    <t>Columna15297</t>
  </si>
  <si>
    <t>Columna15298</t>
  </si>
  <si>
    <t>Columna15299</t>
  </si>
  <si>
    <t>Columna15300</t>
  </si>
  <si>
    <t>Columna15301</t>
  </si>
  <si>
    <t>Columna15302</t>
  </si>
  <si>
    <t>Columna15303</t>
  </si>
  <si>
    <t>Columna15304</t>
  </si>
  <si>
    <t>Columna15305</t>
  </si>
  <si>
    <t>Columna15306</t>
  </si>
  <si>
    <t>Columna15307</t>
  </si>
  <si>
    <t>Columna15308</t>
  </si>
  <si>
    <t>Columna15309</t>
  </si>
  <si>
    <t>Columna15310</t>
  </si>
  <si>
    <t>Columna15311</t>
  </si>
  <si>
    <t>Columna15312</t>
  </si>
  <si>
    <t>Columna15313</t>
  </si>
  <si>
    <t>Columna15314</t>
  </si>
  <si>
    <t>Columna15315</t>
  </si>
  <si>
    <t>Columna15316</t>
  </si>
  <si>
    <t>Columna15317</t>
  </si>
  <si>
    <t>Columna15318</t>
  </si>
  <si>
    <t>Columna15319</t>
  </si>
  <si>
    <t>Columna15320</t>
  </si>
  <si>
    <t>Columna15321</t>
  </si>
  <si>
    <t>Columna15322</t>
  </si>
  <si>
    <t>Columna15323</t>
  </si>
  <si>
    <t>Columna15324</t>
  </si>
  <si>
    <t>Columna15325</t>
  </si>
  <si>
    <t>Columna15326</t>
  </si>
  <si>
    <t>Columna15327</t>
  </si>
  <si>
    <t>Columna15328</t>
  </si>
  <si>
    <t>Columna15329</t>
  </si>
  <si>
    <t>Columna15330</t>
  </si>
  <si>
    <t>Columna15331</t>
  </si>
  <si>
    <t>Columna15332</t>
  </si>
  <si>
    <t>Columna15333</t>
  </si>
  <si>
    <t>Columna15334</t>
  </si>
  <si>
    <t>Columna15335</t>
  </si>
  <si>
    <t>Columna15336</t>
  </si>
  <si>
    <t>Columna15337</t>
  </si>
  <si>
    <t>Columna15338</t>
  </si>
  <si>
    <t>Columna15339</t>
  </si>
  <si>
    <t>Columna15340</t>
  </si>
  <si>
    <t>Columna15341</t>
  </si>
  <si>
    <t>Columna15342</t>
  </si>
  <si>
    <t>Columna15343</t>
  </si>
  <si>
    <t>Columna15344</t>
  </si>
  <si>
    <t>Columna15345</t>
  </si>
  <si>
    <t>Columna15346</t>
  </si>
  <si>
    <t>Columna15347</t>
  </si>
  <si>
    <t>Columna15348</t>
  </si>
  <si>
    <t>Columna15349</t>
  </si>
  <si>
    <t>Columna15350</t>
  </si>
  <si>
    <t>Columna15351</t>
  </si>
  <si>
    <t>Columna15352</t>
  </si>
  <si>
    <t>Columna15353</t>
  </si>
  <si>
    <t>Columna15354</t>
  </si>
  <si>
    <t>Columna15355</t>
  </si>
  <si>
    <t>Columna15356</t>
  </si>
  <si>
    <t>Columna15357</t>
  </si>
  <si>
    <t>Columna15358</t>
  </si>
  <si>
    <t>Columna15359</t>
  </si>
  <si>
    <t>Columna15360</t>
  </si>
  <si>
    <t>Columna15361</t>
  </si>
  <si>
    <t>Columna15362</t>
  </si>
  <si>
    <t>Columna15363</t>
  </si>
  <si>
    <t>Columna15364</t>
  </si>
  <si>
    <t>Columna15365</t>
  </si>
  <si>
    <t>Columna15366</t>
  </si>
  <si>
    <t>Columna15367</t>
  </si>
  <si>
    <t>Columna15368</t>
  </si>
  <si>
    <t>Columna15369</t>
  </si>
  <si>
    <t>Columna15370</t>
  </si>
  <si>
    <t>Columna15371</t>
  </si>
  <si>
    <t>Columna15372</t>
  </si>
  <si>
    <t>Columna15373</t>
  </si>
  <si>
    <t>Columna15374</t>
  </si>
  <si>
    <t>Columna15375</t>
  </si>
  <si>
    <t>Columna15376</t>
  </si>
  <si>
    <t>Columna15377</t>
  </si>
  <si>
    <t>Columna15378</t>
  </si>
  <si>
    <t>Columna15379</t>
  </si>
  <si>
    <t>Columna15380</t>
  </si>
  <si>
    <t>Columna15381</t>
  </si>
  <si>
    <t>Columna15382</t>
  </si>
  <si>
    <t>Columna15383</t>
  </si>
  <si>
    <t>Columna15384</t>
  </si>
  <si>
    <t>Columna15385</t>
  </si>
  <si>
    <t>Columna15386</t>
  </si>
  <si>
    <t>Columna15387</t>
  </si>
  <si>
    <t>Columna15388</t>
  </si>
  <si>
    <t>Columna15389</t>
  </si>
  <si>
    <t>Columna15390</t>
  </si>
  <si>
    <t>Columna15391</t>
  </si>
  <si>
    <t>Columna15392</t>
  </si>
  <si>
    <t>Columna15393</t>
  </si>
  <si>
    <t>Columna15394</t>
  </si>
  <si>
    <t>Columna15395</t>
  </si>
  <si>
    <t>Columna15396</t>
  </si>
  <si>
    <t>Columna15397</t>
  </si>
  <si>
    <t>Columna15398</t>
  </si>
  <si>
    <t>Columna15399</t>
  </si>
  <si>
    <t>Columna15400</t>
  </si>
  <si>
    <t>Columna15401</t>
  </si>
  <si>
    <t>Columna15402</t>
  </si>
  <si>
    <t>Columna15403</t>
  </si>
  <si>
    <t>Columna15404</t>
  </si>
  <si>
    <t>Columna15405</t>
  </si>
  <si>
    <t>Columna15406</t>
  </si>
  <si>
    <t>Columna15407</t>
  </si>
  <si>
    <t>Columna15408</t>
  </si>
  <si>
    <t>Columna15409</t>
  </si>
  <si>
    <t>Columna15410</t>
  </si>
  <si>
    <t>Columna15411</t>
  </si>
  <si>
    <t>Columna15412</t>
  </si>
  <si>
    <t>Columna15413</t>
  </si>
  <si>
    <t>Columna15414</t>
  </si>
  <si>
    <t>Columna15415</t>
  </si>
  <si>
    <t>Columna15416</t>
  </si>
  <si>
    <t>Columna15417</t>
  </si>
  <si>
    <t>Columna15418</t>
  </si>
  <si>
    <t>Columna15419</t>
  </si>
  <si>
    <t>Columna15420</t>
  </si>
  <si>
    <t>Columna15421</t>
  </si>
  <si>
    <t>Columna15422</t>
  </si>
  <si>
    <t>Columna15423</t>
  </si>
  <si>
    <t>Columna15424</t>
  </si>
  <si>
    <t>Columna15425</t>
  </si>
  <si>
    <t>Columna15426</t>
  </si>
  <si>
    <t>Columna15427</t>
  </si>
  <si>
    <t>Columna15428</t>
  </si>
  <si>
    <t>Columna15429</t>
  </si>
  <si>
    <t>Columna15430</t>
  </si>
  <si>
    <t>Columna15431</t>
  </si>
  <si>
    <t>Columna15432</t>
  </si>
  <si>
    <t>Columna15433</t>
  </si>
  <si>
    <t>Columna15434</t>
  </si>
  <si>
    <t>Columna15435</t>
  </si>
  <si>
    <t>Columna15436</t>
  </si>
  <si>
    <t>Columna15437</t>
  </si>
  <si>
    <t>Columna15438</t>
  </si>
  <si>
    <t>Columna15439</t>
  </si>
  <si>
    <t>Columna15440</t>
  </si>
  <si>
    <t>Columna15441</t>
  </si>
  <si>
    <t>Columna15442</t>
  </si>
  <si>
    <t>Columna15443</t>
  </si>
  <si>
    <t>Columna15444</t>
  </si>
  <si>
    <t>Columna15445</t>
  </si>
  <si>
    <t>Columna15446</t>
  </si>
  <si>
    <t>Columna15447</t>
  </si>
  <si>
    <t>Columna15448</t>
  </si>
  <si>
    <t>Columna15449</t>
  </si>
  <si>
    <t>Columna15450</t>
  </si>
  <si>
    <t>Columna15451</t>
  </si>
  <si>
    <t>Columna15452</t>
  </si>
  <si>
    <t>Columna15453</t>
  </si>
  <si>
    <t>Columna15454</t>
  </si>
  <si>
    <t>Columna15455</t>
  </si>
  <si>
    <t>Columna15456</t>
  </si>
  <si>
    <t>Columna15457</t>
  </si>
  <si>
    <t>Columna15458</t>
  </si>
  <si>
    <t>Columna15459</t>
  </si>
  <si>
    <t>Columna15460</t>
  </si>
  <si>
    <t>Columna15461</t>
  </si>
  <si>
    <t>Columna15462</t>
  </si>
  <si>
    <t>Columna15463</t>
  </si>
  <si>
    <t>Columna15464</t>
  </si>
  <si>
    <t>Columna15465</t>
  </si>
  <si>
    <t>Columna15466</t>
  </si>
  <si>
    <t>Columna15467</t>
  </si>
  <si>
    <t>Columna15468</t>
  </si>
  <si>
    <t>Columna15469</t>
  </si>
  <si>
    <t>Columna15470</t>
  </si>
  <si>
    <t>Columna15471</t>
  </si>
  <si>
    <t>Columna15472</t>
  </si>
  <si>
    <t>Columna15473</t>
  </si>
  <si>
    <t>Columna15474</t>
  </si>
  <si>
    <t>Columna15475</t>
  </si>
  <si>
    <t>Columna15476</t>
  </si>
  <si>
    <t>Columna15477</t>
  </si>
  <si>
    <t>Columna15478</t>
  </si>
  <si>
    <t>Columna15479</t>
  </si>
  <si>
    <t>Columna15480</t>
  </si>
  <si>
    <t>Columna15481</t>
  </si>
  <si>
    <t>Columna15482</t>
  </si>
  <si>
    <t>Columna15483</t>
  </si>
  <si>
    <t>Columna15484</t>
  </si>
  <si>
    <t>Columna15485</t>
  </si>
  <si>
    <t>Columna15486</t>
  </si>
  <si>
    <t>Columna15487</t>
  </si>
  <si>
    <t>Columna15488</t>
  </si>
  <si>
    <t>Columna15489</t>
  </si>
  <si>
    <t>Columna15490</t>
  </si>
  <si>
    <t>Columna15491</t>
  </si>
  <si>
    <t>Columna15492</t>
  </si>
  <si>
    <t>Columna15493</t>
  </si>
  <si>
    <t>Columna15494</t>
  </si>
  <si>
    <t>Columna15495</t>
  </si>
  <si>
    <t>Columna15496</t>
  </si>
  <si>
    <t>Columna15497</t>
  </si>
  <si>
    <t>Columna15498</t>
  </si>
  <si>
    <t>Columna15499</t>
  </si>
  <si>
    <t>Columna15500</t>
  </si>
  <si>
    <t>Columna15501</t>
  </si>
  <si>
    <t>Columna15502</t>
  </si>
  <si>
    <t>Columna15503</t>
  </si>
  <si>
    <t>Columna15504</t>
  </si>
  <si>
    <t>Columna15505</t>
  </si>
  <si>
    <t>Columna15506</t>
  </si>
  <si>
    <t>Columna15507</t>
  </si>
  <si>
    <t>Columna15508</t>
  </si>
  <si>
    <t>Columna15509</t>
  </si>
  <si>
    <t>Columna15510</t>
  </si>
  <si>
    <t>Columna15511</t>
  </si>
  <si>
    <t>Columna15512</t>
  </si>
  <si>
    <t>Columna15513</t>
  </si>
  <si>
    <t>Columna15514</t>
  </si>
  <si>
    <t>Columna15515</t>
  </si>
  <si>
    <t>Columna15516</t>
  </si>
  <si>
    <t>Columna15517</t>
  </si>
  <si>
    <t>Columna15518</t>
  </si>
  <si>
    <t>Columna15519</t>
  </si>
  <si>
    <t>Columna15520</t>
  </si>
  <si>
    <t>Columna15521</t>
  </si>
  <si>
    <t>Columna15522</t>
  </si>
  <si>
    <t>Columna15523</t>
  </si>
  <si>
    <t>Columna15524</t>
  </si>
  <si>
    <t>Columna15525</t>
  </si>
  <si>
    <t>Columna15526</t>
  </si>
  <si>
    <t>Columna15527</t>
  </si>
  <si>
    <t>Columna15528</t>
  </si>
  <si>
    <t>Columna15529</t>
  </si>
  <si>
    <t>Columna15530</t>
  </si>
  <si>
    <t>Columna15531</t>
  </si>
  <si>
    <t>Columna15532</t>
  </si>
  <si>
    <t>Columna15533</t>
  </si>
  <si>
    <t>Columna15534</t>
  </si>
  <si>
    <t>Columna15535</t>
  </si>
  <si>
    <t>Columna15536</t>
  </si>
  <si>
    <t>Columna15537</t>
  </si>
  <si>
    <t>Columna15538</t>
  </si>
  <si>
    <t>Columna15539</t>
  </si>
  <si>
    <t>Columna15540</t>
  </si>
  <si>
    <t>Columna15541</t>
  </si>
  <si>
    <t>Columna15542</t>
  </si>
  <si>
    <t>Columna15543</t>
  </si>
  <si>
    <t>Columna15544</t>
  </si>
  <si>
    <t>Columna15545</t>
  </si>
  <si>
    <t>Columna15546</t>
  </si>
  <si>
    <t>Columna15547</t>
  </si>
  <si>
    <t>Columna15548</t>
  </si>
  <si>
    <t>Columna15549</t>
  </si>
  <si>
    <t>Columna15550</t>
  </si>
  <si>
    <t>Columna15551</t>
  </si>
  <si>
    <t>Columna15552</t>
  </si>
  <si>
    <t>Columna15553</t>
  </si>
  <si>
    <t>Columna15554</t>
  </si>
  <si>
    <t>Columna15555</t>
  </si>
  <si>
    <t>Columna15556</t>
  </si>
  <si>
    <t>Columna15557</t>
  </si>
  <si>
    <t>Columna15558</t>
  </si>
  <si>
    <t>Columna15559</t>
  </si>
  <si>
    <t>Columna15560</t>
  </si>
  <si>
    <t>Columna15561</t>
  </si>
  <si>
    <t>Columna15562</t>
  </si>
  <si>
    <t>Columna15563</t>
  </si>
  <si>
    <t>Columna15564</t>
  </si>
  <si>
    <t>Columna15565</t>
  </si>
  <si>
    <t>Columna15566</t>
  </si>
  <si>
    <t>Columna15567</t>
  </si>
  <si>
    <t>Columna15568</t>
  </si>
  <si>
    <t>Columna15569</t>
  </si>
  <si>
    <t>Columna15570</t>
  </si>
  <si>
    <t>Columna15571</t>
  </si>
  <si>
    <t>Columna15572</t>
  </si>
  <si>
    <t>Columna15573</t>
  </si>
  <si>
    <t>Columna15574</t>
  </si>
  <si>
    <t>Columna15575</t>
  </si>
  <si>
    <t>Columna15576</t>
  </si>
  <si>
    <t>Columna15577</t>
  </si>
  <si>
    <t>Columna15578</t>
  </si>
  <si>
    <t>Columna15579</t>
  </si>
  <si>
    <t>Columna15580</t>
  </si>
  <si>
    <t>Columna15581</t>
  </si>
  <si>
    <t>Columna15582</t>
  </si>
  <si>
    <t>Columna15583</t>
  </si>
  <si>
    <t>Columna15584</t>
  </si>
  <si>
    <t>Columna15585</t>
  </si>
  <si>
    <t>Columna15586</t>
  </si>
  <si>
    <t>Columna15587</t>
  </si>
  <si>
    <t>Columna15588</t>
  </si>
  <si>
    <t>Columna15589</t>
  </si>
  <si>
    <t>Columna15590</t>
  </si>
  <si>
    <t>Columna15591</t>
  </si>
  <si>
    <t>Columna15592</t>
  </si>
  <si>
    <t>Columna15593</t>
  </si>
  <si>
    <t>Columna15594</t>
  </si>
  <si>
    <t>Columna15595</t>
  </si>
  <si>
    <t>Columna15596</t>
  </si>
  <si>
    <t>Columna15597</t>
  </si>
  <si>
    <t>Columna15598</t>
  </si>
  <si>
    <t>Columna15599</t>
  </si>
  <si>
    <t>Columna15600</t>
  </si>
  <si>
    <t>Columna15601</t>
  </si>
  <si>
    <t>Columna15602</t>
  </si>
  <si>
    <t>Columna15603</t>
  </si>
  <si>
    <t>Columna15604</t>
  </si>
  <si>
    <t>Columna15605</t>
  </si>
  <si>
    <t>Columna15606</t>
  </si>
  <si>
    <t>Columna15607</t>
  </si>
  <si>
    <t>Columna15608</t>
  </si>
  <si>
    <t>Columna15609</t>
  </si>
  <si>
    <t>Columna15610</t>
  </si>
  <si>
    <t>Columna15611</t>
  </si>
  <si>
    <t>Columna15612</t>
  </si>
  <si>
    <t>Columna15613</t>
  </si>
  <si>
    <t>Columna15614</t>
  </si>
  <si>
    <t>Columna15615</t>
  </si>
  <si>
    <t>Columna15616</t>
  </si>
  <si>
    <t>Columna15617</t>
  </si>
  <si>
    <t>Columna15618</t>
  </si>
  <si>
    <t>Columna15619</t>
  </si>
  <si>
    <t>Columna15620</t>
  </si>
  <si>
    <t>Columna15621</t>
  </si>
  <si>
    <t>Columna15622</t>
  </si>
  <si>
    <t>Columna15623</t>
  </si>
  <si>
    <t>Columna15624</t>
  </si>
  <si>
    <t>Columna15625</t>
  </si>
  <si>
    <t>Columna15626</t>
  </si>
  <si>
    <t>Columna15627</t>
  </si>
  <si>
    <t>Columna15628</t>
  </si>
  <si>
    <t>Columna15629</t>
  </si>
  <si>
    <t>Columna15630</t>
  </si>
  <si>
    <t>Columna15631</t>
  </si>
  <si>
    <t>Columna15632</t>
  </si>
  <si>
    <t>Columna15633</t>
  </si>
  <si>
    <t>Columna15634</t>
  </si>
  <si>
    <t>Columna15635</t>
  </si>
  <si>
    <t>Columna15636</t>
  </si>
  <si>
    <t>Columna15637</t>
  </si>
  <si>
    <t>Columna15638</t>
  </si>
  <si>
    <t>Columna15639</t>
  </si>
  <si>
    <t>Columna15640</t>
  </si>
  <si>
    <t>Columna15641</t>
  </si>
  <si>
    <t>Columna15642</t>
  </si>
  <si>
    <t>Columna15643</t>
  </si>
  <si>
    <t>Columna15644</t>
  </si>
  <si>
    <t>Columna15645</t>
  </si>
  <si>
    <t>Columna15646</t>
  </si>
  <si>
    <t>Columna15647</t>
  </si>
  <si>
    <t>Columna15648</t>
  </si>
  <si>
    <t>Columna15649</t>
  </si>
  <si>
    <t>Columna15650</t>
  </si>
  <si>
    <t>Columna15651</t>
  </si>
  <si>
    <t>Columna15652</t>
  </si>
  <si>
    <t>Columna15653</t>
  </si>
  <si>
    <t>Columna15654</t>
  </si>
  <si>
    <t>Columna15655</t>
  </si>
  <si>
    <t>Columna15656</t>
  </si>
  <si>
    <t>Columna15657</t>
  </si>
  <si>
    <t>Columna15658</t>
  </si>
  <si>
    <t>Columna15659</t>
  </si>
  <si>
    <t>Columna15660</t>
  </si>
  <si>
    <t>Columna15661</t>
  </si>
  <si>
    <t>Columna15662</t>
  </si>
  <si>
    <t>Columna15663</t>
  </si>
  <si>
    <t>Columna15664</t>
  </si>
  <si>
    <t>Columna15665</t>
  </si>
  <si>
    <t>Columna15666</t>
  </si>
  <si>
    <t>Columna15667</t>
  </si>
  <si>
    <t>Columna15668</t>
  </si>
  <si>
    <t>Columna15669</t>
  </si>
  <si>
    <t>Columna15670</t>
  </si>
  <si>
    <t>Columna15671</t>
  </si>
  <si>
    <t>Columna15672</t>
  </si>
  <si>
    <t>Columna15673</t>
  </si>
  <si>
    <t>Columna15674</t>
  </si>
  <si>
    <t>Columna15675</t>
  </si>
  <si>
    <t>Columna15676</t>
  </si>
  <si>
    <t>Columna15677</t>
  </si>
  <si>
    <t>Columna15678</t>
  </si>
  <si>
    <t>Columna15679</t>
  </si>
  <si>
    <t>Columna15680</t>
  </si>
  <si>
    <t>Columna15681</t>
  </si>
  <si>
    <t>Columna15682</t>
  </si>
  <si>
    <t>Columna15683</t>
  </si>
  <si>
    <t>Columna15684</t>
  </si>
  <si>
    <t>Columna15685</t>
  </si>
  <si>
    <t>Columna15686</t>
  </si>
  <si>
    <t>Columna15687</t>
  </si>
  <si>
    <t>Columna15688</t>
  </si>
  <si>
    <t>Columna15689</t>
  </si>
  <si>
    <t>Columna15690</t>
  </si>
  <si>
    <t>Columna15691</t>
  </si>
  <si>
    <t>Columna15692</t>
  </si>
  <si>
    <t>Columna15693</t>
  </si>
  <si>
    <t>Columna15694</t>
  </si>
  <si>
    <t>Columna15695</t>
  </si>
  <si>
    <t>Columna15696</t>
  </si>
  <si>
    <t>Columna15697</t>
  </si>
  <si>
    <t>Columna15698</t>
  </si>
  <si>
    <t>Columna15699</t>
  </si>
  <si>
    <t>Columna15700</t>
  </si>
  <si>
    <t>Columna15701</t>
  </si>
  <si>
    <t>Columna15702</t>
  </si>
  <si>
    <t>Columna15703</t>
  </si>
  <si>
    <t>Columna15704</t>
  </si>
  <si>
    <t>Columna15705</t>
  </si>
  <si>
    <t>Columna15706</t>
  </si>
  <si>
    <t>Columna15707</t>
  </si>
  <si>
    <t>Columna15708</t>
  </si>
  <si>
    <t>Columna15709</t>
  </si>
  <si>
    <t>Columna15710</t>
  </si>
  <si>
    <t>Columna15711</t>
  </si>
  <si>
    <t>Columna15712</t>
  </si>
  <si>
    <t>Columna15713</t>
  </si>
  <si>
    <t>Columna15714</t>
  </si>
  <si>
    <t>Columna15715</t>
  </si>
  <si>
    <t>Columna15716</t>
  </si>
  <si>
    <t>Columna15717</t>
  </si>
  <si>
    <t>Columna15718</t>
  </si>
  <si>
    <t>Columna15719</t>
  </si>
  <si>
    <t>Columna15720</t>
  </si>
  <si>
    <t>Columna15721</t>
  </si>
  <si>
    <t>Columna15722</t>
  </si>
  <si>
    <t>Columna15723</t>
  </si>
  <si>
    <t>Columna15724</t>
  </si>
  <si>
    <t>Columna15725</t>
  </si>
  <si>
    <t>Columna15726</t>
  </si>
  <si>
    <t>Columna15727</t>
  </si>
  <si>
    <t>Columna15728</t>
  </si>
  <si>
    <t>Columna15729</t>
  </si>
  <si>
    <t>Columna15730</t>
  </si>
  <si>
    <t>Columna15731</t>
  </si>
  <si>
    <t>Columna15732</t>
  </si>
  <si>
    <t>Columna15733</t>
  </si>
  <si>
    <t>Columna15734</t>
  </si>
  <si>
    <t>Columna15735</t>
  </si>
  <si>
    <t>Columna15736</t>
  </si>
  <si>
    <t>Columna15737</t>
  </si>
  <si>
    <t>Columna15738</t>
  </si>
  <si>
    <t>Columna15739</t>
  </si>
  <si>
    <t>Columna15740</t>
  </si>
  <si>
    <t>Columna15741</t>
  </si>
  <si>
    <t>Columna15742</t>
  </si>
  <si>
    <t>Columna15743</t>
  </si>
  <si>
    <t>Columna15744</t>
  </si>
  <si>
    <t>Columna15745</t>
  </si>
  <si>
    <t>Columna15746</t>
  </si>
  <si>
    <t>Columna15747</t>
  </si>
  <si>
    <t>Columna15748</t>
  </si>
  <si>
    <t>Columna15749</t>
  </si>
  <si>
    <t>Columna15750</t>
  </si>
  <si>
    <t>Columna15751</t>
  </si>
  <si>
    <t>Columna15752</t>
  </si>
  <si>
    <t>Columna15753</t>
  </si>
  <si>
    <t>Columna15754</t>
  </si>
  <si>
    <t>Columna15755</t>
  </si>
  <si>
    <t>Columna15756</t>
  </si>
  <si>
    <t>Columna15757</t>
  </si>
  <si>
    <t>Columna15758</t>
  </si>
  <si>
    <t>Columna15759</t>
  </si>
  <si>
    <t>Columna15760</t>
  </si>
  <si>
    <t>Columna15761</t>
  </si>
  <si>
    <t>Columna15762</t>
  </si>
  <si>
    <t>Columna15763</t>
  </si>
  <si>
    <t>Columna15764</t>
  </si>
  <si>
    <t>Columna15765</t>
  </si>
  <si>
    <t>Columna15766</t>
  </si>
  <si>
    <t>Columna15767</t>
  </si>
  <si>
    <t>Columna15768</t>
  </si>
  <si>
    <t>Columna15769</t>
  </si>
  <si>
    <t>Columna15770</t>
  </si>
  <si>
    <t>Columna15771</t>
  </si>
  <si>
    <t>Columna15772</t>
  </si>
  <si>
    <t>Columna15773</t>
  </si>
  <si>
    <t>Columna15774</t>
  </si>
  <si>
    <t>Columna15775</t>
  </si>
  <si>
    <t>Columna15776</t>
  </si>
  <si>
    <t>Columna15777</t>
  </si>
  <si>
    <t>Columna15778</t>
  </si>
  <si>
    <t>Columna15779</t>
  </si>
  <si>
    <t>Columna15780</t>
  </si>
  <si>
    <t>Columna15781</t>
  </si>
  <si>
    <t>Columna15782</t>
  </si>
  <si>
    <t>Columna15783</t>
  </si>
  <si>
    <t>Columna15784</t>
  </si>
  <si>
    <t>Columna15785</t>
  </si>
  <si>
    <t>Columna15786</t>
  </si>
  <si>
    <t>Columna15787</t>
  </si>
  <si>
    <t>Columna15788</t>
  </si>
  <si>
    <t>Columna15789</t>
  </si>
  <si>
    <t>Columna15790</t>
  </si>
  <si>
    <t>Columna15791</t>
  </si>
  <si>
    <t>Columna15792</t>
  </si>
  <si>
    <t>Columna15793</t>
  </si>
  <si>
    <t>Columna15794</t>
  </si>
  <si>
    <t>Columna15795</t>
  </si>
  <si>
    <t>Columna15796</t>
  </si>
  <si>
    <t>Columna15797</t>
  </si>
  <si>
    <t>Columna15798</t>
  </si>
  <si>
    <t>Columna15799</t>
  </si>
  <si>
    <t>Columna15800</t>
  </si>
  <si>
    <t>Columna15801</t>
  </si>
  <si>
    <t>Columna15802</t>
  </si>
  <si>
    <t>Columna15803</t>
  </si>
  <si>
    <t>Columna15804</t>
  </si>
  <si>
    <t>Columna15805</t>
  </si>
  <si>
    <t>Columna15806</t>
  </si>
  <si>
    <t>Columna15807</t>
  </si>
  <si>
    <t>Columna15808</t>
  </si>
  <si>
    <t>Columna15809</t>
  </si>
  <si>
    <t>Columna15810</t>
  </si>
  <si>
    <t>Columna15811</t>
  </si>
  <si>
    <t>Columna15812</t>
  </si>
  <si>
    <t>Columna15813</t>
  </si>
  <si>
    <t>Columna15814</t>
  </si>
  <si>
    <t>Columna15815</t>
  </si>
  <si>
    <t>Columna15816</t>
  </si>
  <si>
    <t>Columna15817</t>
  </si>
  <si>
    <t>Columna15818</t>
  </si>
  <si>
    <t>Columna15819</t>
  </si>
  <si>
    <t>Columna15820</t>
  </si>
  <si>
    <t>Columna15821</t>
  </si>
  <si>
    <t>Columna15822</t>
  </si>
  <si>
    <t>Columna15823</t>
  </si>
  <si>
    <t>Columna15824</t>
  </si>
  <si>
    <t>Columna15825</t>
  </si>
  <si>
    <t>Columna15826</t>
  </si>
  <si>
    <t>Columna15827</t>
  </si>
  <si>
    <t>Columna15828</t>
  </si>
  <si>
    <t>Columna15829</t>
  </si>
  <si>
    <t>Columna15830</t>
  </si>
  <si>
    <t>Columna15831</t>
  </si>
  <si>
    <t>Columna15832</t>
  </si>
  <si>
    <t>Columna15833</t>
  </si>
  <si>
    <t>Columna15834</t>
  </si>
  <si>
    <t>Columna15835</t>
  </si>
  <si>
    <t>Columna15836</t>
  </si>
  <si>
    <t>Columna15837</t>
  </si>
  <si>
    <t>Columna15838</t>
  </si>
  <si>
    <t>Columna15839</t>
  </si>
  <si>
    <t>Columna15840</t>
  </si>
  <si>
    <t>Columna15841</t>
  </si>
  <si>
    <t>Columna15842</t>
  </si>
  <si>
    <t>Columna15843</t>
  </si>
  <si>
    <t>Columna15844</t>
  </si>
  <si>
    <t>Columna15845</t>
  </si>
  <si>
    <t>Columna15846</t>
  </si>
  <si>
    <t>Columna15847</t>
  </si>
  <si>
    <t>Columna15848</t>
  </si>
  <si>
    <t>Columna15849</t>
  </si>
  <si>
    <t>Columna15850</t>
  </si>
  <si>
    <t>Columna15851</t>
  </si>
  <si>
    <t>Columna15852</t>
  </si>
  <si>
    <t>Columna15853</t>
  </si>
  <si>
    <t>Columna15854</t>
  </si>
  <si>
    <t>Columna15855</t>
  </si>
  <si>
    <t>Columna15856</t>
  </si>
  <si>
    <t>Columna15857</t>
  </si>
  <si>
    <t>Columna15858</t>
  </si>
  <si>
    <t>Columna15859</t>
  </si>
  <si>
    <t>Columna15860</t>
  </si>
  <si>
    <t>Columna15861</t>
  </si>
  <si>
    <t>Columna15862</t>
  </si>
  <si>
    <t>Columna15863</t>
  </si>
  <si>
    <t>Columna15864</t>
  </si>
  <si>
    <t>Columna15865</t>
  </si>
  <si>
    <t>Columna15866</t>
  </si>
  <si>
    <t>Columna15867</t>
  </si>
  <si>
    <t>Columna15868</t>
  </si>
  <si>
    <t>Columna15869</t>
  </si>
  <si>
    <t>Columna15870</t>
  </si>
  <si>
    <t>Columna15871</t>
  </si>
  <si>
    <t>Columna15872</t>
  </si>
  <si>
    <t>Columna15873</t>
  </si>
  <si>
    <t>Columna15874</t>
  </si>
  <si>
    <t>Columna15875</t>
  </si>
  <si>
    <t>Columna15876</t>
  </si>
  <si>
    <t>Columna15877</t>
  </si>
  <si>
    <t>Columna15878</t>
  </si>
  <si>
    <t>Columna15879</t>
  </si>
  <si>
    <t>Columna15880</t>
  </si>
  <si>
    <t>Columna15881</t>
  </si>
  <si>
    <t>Columna15882</t>
  </si>
  <si>
    <t>Columna15883</t>
  </si>
  <si>
    <t>Columna15884</t>
  </si>
  <si>
    <t>Columna15885</t>
  </si>
  <si>
    <t>Columna15886</t>
  </si>
  <si>
    <t>Columna15887</t>
  </si>
  <si>
    <t>Columna15888</t>
  </si>
  <si>
    <t>Columna15889</t>
  </si>
  <si>
    <t>Columna15890</t>
  </si>
  <si>
    <t>Columna15891</t>
  </si>
  <si>
    <t>Columna15892</t>
  </si>
  <si>
    <t>Columna15893</t>
  </si>
  <si>
    <t>Columna15894</t>
  </si>
  <si>
    <t>Columna15895</t>
  </si>
  <si>
    <t>Columna15896</t>
  </si>
  <si>
    <t>Columna15897</t>
  </si>
  <si>
    <t>Columna15898</t>
  </si>
  <si>
    <t>Columna15899</t>
  </si>
  <si>
    <t>Columna15900</t>
  </si>
  <si>
    <t>Columna15901</t>
  </si>
  <si>
    <t>Columna15902</t>
  </si>
  <si>
    <t>Columna15903</t>
  </si>
  <si>
    <t>Columna15904</t>
  </si>
  <si>
    <t>Columna15905</t>
  </si>
  <si>
    <t>Columna15906</t>
  </si>
  <si>
    <t>Columna15907</t>
  </si>
  <si>
    <t>Columna15908</t>
  </si>
  <si>
    <t>Columna15909</t>
  </si>
  <si>
    <t>Columna15910</t>
  </si>
  <si>
    <t>Columna15911</t>
  </si>
  <si>
    <t>Columna15912</t>
  </si>
  <si>
    <t>Columna15913</t>
  </si>
  <si>
    <t>Columna15914</t>
  </si>
  <si>
    <t>Columna15915</t>
  </si>
  <si>
    <t>Columna15916</t>
  </si>
  <si>
    <t>Columna15917</t>
  </si>
  <si>
    <t>Columna15918</t>
  </si>
  <si>
    <t>Columna15919</t>
  </si>
  <si>
    <t>Columna15920</t>
  </si>
  <si>
    <t>Columna15921</t>
  </si>
  <si>
    <t>Columna15922</t>
  </si>
  <si>
    <t>Columna15923</t>
  </si>
  <si>
    <t>Columna15924</t>
  </si>
  <si>
    <t>Columna15925</t>
  </si>
  <si>
    <t>Columna15926</t>
  </si>
  <si>
    <t>Columna15927</t>
  </si>
  <si>
    <t>Columna15928</t>
  </si>
  <si>
    <t>Columna15929</t>
  </si>
  <si>
    <t>Columna15930</t>
  </si>
  <si>
    <t>Columna15931</t>
  </si>
  <si>
    <t>Columna15932</t>
  </si>
  <si>
    <t>Columna15933</t>
  </si>
  <si>
    <t>Columna15934</t>
  </si>
  <si>
    <t>Columna15935</t>
  </si>
  <si>
    <t>Columna15936</t>
  </si>
  <si>
    <t>Columna15937</t>
  </si>
  <si>
    <t>Columna15938</t>
  </si>
  <si>
    <t>Columna15939</t>
  </si>
  <si>
    <t>Columna15940</t>
  </si>
  <si>
    <t>Columna15941</t>
  </si>
  <si>
    <t>Columna15942</t>
  </si>
  <si>
    <t>Columna15943</t>
  </si>
  <si>
    <t>Columna15944</t>
  </si>
  <si>
    <t>Columna15945</t>
  </si>
  <si>
    <t>Columna15946</t>
  </si>
  <si>
    <t>Columna15947</t>
  </si>
  <si>
    <t>Columna15948</t>
  </si>
  <si>
    <t>Columna15949</t>
  </si>
  <si>
    <t>Columna15950</t>
  </si>
  <si>
    <t>Columna15951</t>
  </si>
  <si>
    <t>Columna15952</t>
  </si>
  <si>
    <t>Columna15953</t>
  </si>
  <si>
    <t>Columna15954</t>
  </si>
  <si>
    <t>Columna15955</t>
  </si>
  <si>
    <t>Columna15956</t>
  </si>
  <si>
    <t>Columna15957</t>
  </si>
  <si>
    <t>Columna15958</t>
  </si>
  <si>
    <t>Columna15959</t>
  </si>
  <si>
    <t>Columna15960</t>
  </si>
  <si>
    <t>Columna15961</t>
  </si>
  <si>
    <t>Columna15962</t>
  </si>
  <si>
    <t>Columna15963</t>
  </si>
  <si>
    <t>Columna15964</t>
  </si>
  <si>
    <t>Columna15965</t>
  </si>
  <si>
    <t>Columna15966</t>
  </si>
  <si>
    <t>Columna15967</t>
  </si>
  <si>
    <t>Columna15968</t>
  </si>
  <si>
    <t>Columna15969</t>
  </si>
  <si>
    <t>Columna15970</t>
  </si>
  <si>
    <t>Columna15971</t>
  </si>
  <si>
    <t>Columna15972</t>
  </si>
  <si>
    <t>Columna15973</t>
  </si>
  <si>
    <t>Columna15974</t>
  </si>
  <si>
    <t>Columna15975</t>
  </si>
  <si>
    <t>Columna15976</t>
  </si>
  <si>
    <t>Columna15977</t>
  </si>
  <si>
    <t>Columna15978</t>
  </si>
  <si>
    <t>Columna15979</t>
  </si>
  <si>
    <t>Columna15980</t>
  </si>
  <si>
    <t>Columna15981</t>
  </si>
  <si>
    <t>Columna15982</t>
  </si>
  <si>
    <t>Columna15983</t>
  </si>
  <si>
    <t>Columna15984</t>
  </si>
  <si>
    <t>Columna15985</t>
  </si>
  <si>
    <t>Columna15986</t>
  </si>
  <si>
    <t>Columna15987</t>
  </si>
  <si>
    <t>Columna15988</t>
  </si>
  <si>
    <t>Columna15989</t>
  </si>
  <si>
    <t>Columna15990</t>
  </si>
  <si>
    <t>Columna15991</t>
  </si>
  <si>
    <t>Columna15992</t>
  </si>
  <si>
    <t>Columna15993</t>
  </si>
  <si>
    <t>Columna15994</t>
  </si>
  <si>
    <t>Columna15995</t>
  </si>
  <si>
    <t>Columna15996</t>
  </si>
  <si>
    <t>Columna15997</t>
  </si>
  <si>
    <t>Columna15998</t>
  </si>
  <si>
    <t>Columna15999</t>
  </si>
  <si>
    <t>Columna16000</t>
  </si>
  <si>
    <t>Columna16001</t>
  </si>
  <si>
    <t>Columna16002</t>
  </si>
  <si>
    <t>Columna16003</t>
  </si>
  <si>
    <t>Columna16004</t>
  </si>
  <si>
    <t>Columna16005</t>
  </si>
  <si>
    <t>Columna16006</t>
  </si>
  <si>
    <t>Columna16007</t>
  </si>
  <si>
    <t>Columna16008</t>
  </si>
  <si>
    <t>Columna16009</t>
  </si>
  <si>
    <t>Columna16010</t>
  </si>
  <si>
    <t>Columna16011</t>
  </si>
  <si>
    <t>Columna16012</t>
  </si>
  <si>
    <t>Columna16013</t>
  </si>
  <si>
    <t>Columna16014</t>
  </si>
  <si>
    <t>Columna16015</t>
  </si>
  <si>
    <t>Columna16016</t>
  </si>
  <si>
    <t>Columna16017</t>
  </si>
  <si>
    <t>Columna16018</t>
  </si>
  <si>
    <t>Columna16019</t>
  </si>
  <si>
    <t>Columna16020</t>
  </si>
  <si>
    <t>Columna16021</t>
  </si>
  <si>
    <t>Columna16022</t>
  </si>
  <si>
    <t>Columna16023</t>
  </si>
  <si>
    <t>Columna16024</t>
  </si>
  <si>
    <t>Columna16025</t>
  </si>
  <si>
    <t>Columna16026</t>
  </si>
  <si>
    <t>Columna16027</t>
  </si>
  <si>
    <t>Columna16028</t>
  </si>
  <si>
    <t>Columna16029</t>
  </si>
  <si>
    <t>Columna16030</t>
  </si>
  <si>
    <t>Columna16031</t>
  </si>
  <si>
    <t>Columna16032</t>
  </si>
  <si>
    <t>Columna16033</t>
  </si>
  <si>
    <t>Columna16034</t>
  </si>
  <si>
    <t>Columna16035</t>
  </si>
  <si>
    <t>Columna16036</t>
  </si>
  <si>
    <t>Columna16037</t>
  </si>
  <si>
    <t>Columna16038</t>
  </si>
  <si>
    <t>Columna16039</t>
  </si>
  <si>
    <t>Columna16040</t>
  </si>
  <si>
    <t>Columna16041</t>
  </si>
  <si>
    <t>Columna16042</t>
  </si>
  <si>
    <t>Columna16043</t>
  </si>
  <si>
    <t>Columna16044</t>
  </si>
  <si>
    <t>Columna16045</t>
  </si>
  <si>
    <t>Columna16046</t>
  </si>
  <si>
    <t>Columna16047</t>
  </si>
  <si>
    <t>Columna16048</t>
  </si>
  <si>
    <t>Columna16049</t>
  </si>
  <si>
    <t>Columna16050</t>
  </si>
  <si>
    <t>Columna16051</t>
  </si>
  <si>
    <t>Columna16052</t>
  </si>
  <si>
    <t>Columna16053</t>
  </si>
  <si>
    <t>Columna16054</t>
  </si>
  <si>
    <t>Columna16055</t>
  </si>
  <si>
    <t>Columna16056</t>
  </si>
  <si>
    <t>Columna16057</t>
  </si>
  <si>
    <t>Columna16058</t>
  </si>
  <si>
    <t>Columna16059</t>
  </si>
  <si>
    <t>Columna16060</t>
  </si>
  <si>
    <t>Columna16061</t>
  </si>
  <si>
    <t>Columna16062</t>
  </si>
  <si>
    <t>Columna16063</t>
  </si>
  <si>
    <t>Columna16064</t>
  </si>
  <si>
    <t>Columna16065</t>
  </si>
  <si>
    <t>Columna16066</t>
  </si>
  <si>
    <t>Columna16067</t>
  </si>
  <si>
    <t>Columna16068</t>
  </si>
  <si>
    <t>Columna16069</t>
  </si>
  <si>
    <t>Columna16070</t>
  </si>
  <si>
    <t>Columna16071</t>
  </si>
  <si>
    <t>Columna16072</t>
  </si>
  <si>
    <t>Columna16073</t>
  </si>
  <si>
    <t>Columna16074</t>
  </si>
  <si>
    <t>Columna16075</t>
  </si>
  <si>
    <t>Columna16076</t>
  </si>
  <si>
    <t>Columna16077</t>
  </si>
  <si>
    <t>Columna16078</t>
  </si>
  <si>
    <t>Columna16079</t>
  </si>
  <si>
    <t>Columna16080</t>
  </si>
  <si>
    <t>Columna16081</t>
  </si>
  <si>
    <t>Columna16082</t>
  </si>
  <si>
    <t>Columna16083</t>
  </si>
  <si>
    <t>Columna16084</t>
  </si>
  <si>
    <t>Columna16085</t>
  </si>
  <si>
    <t>Columna16086</t>
  </si>
  <si>
    <t>Columna16087</t>
  </si>
  <si>
    <t>Columna16088</t>
  </si>
  <si>
    <t>Columna16089</t>
  </si>
  <si>
    <t>Columna16090</t>
  </si>
  <si>
    <t>Columna16091</t>
  </si>
  <si>
    <t>Columna16092</t>
  </si>
  <si>
    <t>Columna16093</t>
  </si>
  <si>
    <t>Columna16094</t>
  </si>
  <si>
    <t>Columna16095</t>
  </si>
  <si>
    <t>Columna16096</t>
  </si>
  <si>
    <t>Columna16097</t>
  </si>
  <si>
    <t>Columna16098</t>
  </si>
  <si>
    <t>Columna16099</t>
  </si>
  <si>
    <t>Columna16100</t>
  </si>
  <si>
    <t>Columna16101</t>
  </si>
  <si>
    <t>Columna16102</t>
  </si>
  <si>
    <t>Columna16103</t>
  </si>
  <si>
    <t>Columna16104</t>
  </si>
  <si>
    <t>Columna16105</t>
  </si>
  <si>
    <t>Columna16106</t>
  </si>
  <si>
    <t>Columna16107</t>
  </si>
  <si>
    <t>Columna16108</t>
  </si>
  <si>
    <t>Columna16109</t>
  </si>
  <si>
    <t>Columna16110</t>
  </si>
  <si>
    <t>Columna16111</t>
  </si>
  <si>
    <t>Columna16112</t>
  </si>
  <si>
    <t>Columna16113</t>
  </si>
  <si>
    <t>Columna16114</t>
  </si>
  <si>
    <t>Columna16115</t>
  </si>
  <si>
    <t>Columna16116</t>
  </si>
  <si>
    <t>Columna16117</t>
  </si>
  <si>
    <t>Columna16118</t>
  </si>
  <si>
    <t>Columna16119</t>
  </si>
  <si>
    <t>Columna16120</t>
  </si>
  <si>
    <t>Columna16121</t>
  </si>
  <si>
    <t>Columna16122</t>
  </si>
  <si>
    <t>Columna16123</t>
  </si>
  <si>
    <t>Columna16124</t>
  </si>
  <si>
    <t>Columna16125</t>
  </si>
  <si>
    <t>Columna16126</t>
  </si>
  <si>
    <t>Columna16127</t>
  </si>
  <si>
    <t>Columna16128</t>
  </si>
  <si>
    <t>Columna16129</t>
  </si>
  <si>
    <t>Columna16130</t>
  </si>
  <si>
    <t>Columna16131</t>
  </si>
  <si>
    <t>Columna16132</t>
  </si>
  <si>
    <t>Columna16133</t>
  </si>
  <si>
    <t>Columna16134</t>
  </si>
  <si>
    <t>Columna16135</t>
  </si>
  <si>
    <t>Columna16136</t>
  </si>
  <si>
    <t>Columna16137</t>
  </si>
  <si>
    <t>Columna16138</t>
  </si>
  <si>
    <t>Columna16139</t>
  </si>
  <si>
    <t>Columna16140</t>
  </si>
  <si>
    <t>Columna16141</t>
  </si>
  <si>
    <t>Columna16142</t>
  </si>
  <si>
    <t>Columna16143</t>
  </si>
  <si>
    <t>Columna16144</t>
  </si>
  <si>
    <t>Columna16145</t>
  </si>
  <si>
    <t>Columna16146</t>
  </si>
  <si>
    <t>Columna16147</t>
  </si>
  <si>
    <t>Columna16148</t>
  </si>
  <si>
    <t>Columna16149</t>
  </si>
  <si>
    <t>Columna16150</t>
  </si>
  <si>
    <t>Columna16151</t>
  </si>
  <si>
    <t>Columna16152</t>
  </si>
  <si>
    <t>Columna16153</t>
  </si>
  <si>
    <t>Columna16154</t>
  </si>
  <si>
    <t>Columna16155</t>
  </si>
  <si>
    <t>Columna16156</t>
  </si>
  <si>
    <t>Columna16157</t>
  </si>
  <si>
    <t>Columna16158</t>
  </si>
  <si>
    <t>Columna16159</t>
  </si>
  <si>
    <t>Columna16160</t>
  </si>
  <si>
    <t>Columna16161</t>
  </si>
  <si>
    <t>Columna16162</t>
  </si>
  <si>
    <t>Columna16163</t>
  </si>
  <si>
    <t>Columna16164</t>
  </si>
  <si>
    <t>Columna16165</t>
  </si>
  <si>
    <t>Columna16166</t>
  </si>
  <si>
    <t>Columna16167</t>
  </si>
  <si>
    <t>Columna16168</t>
  </si>
  <si>
    <t>Columna16169</t>
  </si>
  <si>
    <t>Columna16170</t>
  </si>
  <si>
    <t>Columna16171</t>
  </si>
  <si>
    <t>Columna16172</t>
  </si>
  <si>
    <t>Columna16173</t>
  </si>
  <si>
    <t>Columna16174</t>
  </si>
  <si>
    <t>Columna16175</t>
  </si>
  <si>
    <t>Columna16176</t>
  </si>
  <si>
    <t>Columna16177</t>
  </si>
  <si>
    <t>Columna16178</t>
  </si>
  <si>
    <t>Columna16179</t>
  </si>
  <si>
    <t>Columna16180</t>
  </si>
  <si>
    <t>Columna16181</t>
  </si>
  <si>
    <t>Columna16182</t>
  </si>
  <si>
    <t>Columna16183</t>
  </si>
  <si>
    <t>Columna16184</t>
  </si>
  <si>
    <t>Columna16185</t>
  </si>
  <si>
    <t>Columna16186</t>
  </si>
  <si>
    <t>Columna16187</t>
  </si>
  <si>
    <t>Columna16188</t>
  </si>
  <si>
    <t>Columna16189</t>
  </si>
  <si>
    <t>Columna16190</t>
  </si>
  <si>
    <t>Columna16191</t>
  </si>
  <si>
    <t>Columna16192</t>
  </si>
  <si>
    <t>Columna16193</t>
  </si>
  <si>
    <t>Columna16194</t>
  </si>
  <si>
    <t>Columna16195</t>
  </si>
  <si>
    <t>Columna16196</t>
  </si>
  <si>
    <t>Columna16197</t>
  </si>
  <si>
    <t>Columna16198</t>
  </si>
  <si>
    <t>Columna16199</t>
  </si>
  <si>
    <t>Columna16200</t>
  </si>
  <si>
    <t>Columna16201</t>
  </si>
  <si>
    <t>Columna16202</t>
  </si>
  <si>
    <t>Columna16203</t>
  </si>
  <si>
    <t>Columna16204</t>
  </si>
  <si>
    <t>Columna16205</t>
  </si>
  <si>
    <t>Columna16206</t>
  </si>
  <si>
    <t>Columna16207</t>
  </si>
  <si>
    <t>Columna16208</t>
  </si>
  <si>
    <t>Columna16209</t>
  </si>
  <si>
    <t>Columna16210</t>
  </si>
  <si>
    <t>Columna16211</t>
  </si>
  <si>
    <t>Columna16212</t>
  </si>
  <si>
    <t>Columna16213</t>
  </si>
  <si>
    <t>Columna16214</t>
  </si>
  <si>
    <t>Columna16215</t>
  </si>
  <si>
    <t>Columna16216</t>
  </si>
  <si>
    <t>Columna16217</t>
  </si>
  <si>
    <t>Columna16218</t>
  </si>
  <si>
    <t>Columna16219</t>
  </si>
  <si>
    <t>Columna16220</t>
  </si>
  <si>
    <t>Columna16221</t>
  </si>
  <si>
    <t>Columna16222</t>
  </si>
  <si>
    <t>Columna16223</t>
  </si>
  <si>
    <t>Columna16224</t>
  </si>
  <si>
    <t>Columna16225</t>
  </si>
  <si>
    <t>Columna16226</t>
  </si>
  <si>
    <t>Columna16227</t>
  </si>
  <si>
    <t>Columna16228</t>
  </si>
  <si>
    <t>Columna16229</t>
  </si>
  <si>
    <t>Columna16230</t>
  </si>
  <si>
    <t>Columna16231</t>
  </si>
  <si>
    <t>Columna16232</t>
  </si>
  <si>
    <t>Columna16233</t>
  </si>
  <si>
    <t>Columna16234</t>
  </si>
  <si>
    <t>Columna16235</t>
  </si>
  <si>
    <t>Columna16236</t>
  </si>
  <si>
    <t>Columna16237</t>
  </si>
  <si>
    <t>Columna16238</t>
  </si>
  <si>
    <t>Columna16239</t>
  </si>
  <si>
    <t>Columna16240</t>
  </si>
  <si>
    <t>Columna16241</t>
  </si>
  <si>
    <t>Columna16242</t>
  </si>
  <si>
    <t>Columna16243</t>
  </si>
  <si>
    <t>Columna16244</t>
  </si>
  <si>
    <t>Columna16245</t>
  </si>
  <si>
    <t>Columna16246</t>
  </si>
  <si>
    <t>Columna16247</t>
  </si>
  <si>
    <t>Columna16248</t>
  </si>
  <si>
    <t>Columna16249</t>
  </si>
  <si>
    <t>Columna16250</t>
  </si>
  <si>
    <t>Columna16251</t>
  </si>
  <si>
    <t>Columna16252</t>
  </si>
  <si>
    <t>Columna16253</t>
  </si>
  <si>
    <t>Columna16254</t>
  </si>
  <si>
    <t>Columna16255</t>
  </si>
  <si>
    <t>Columna16256</t>
  </si>
  <si>
    <t>Columna16257</t>
  </si>
  <si>
    <t>Columna16258</t>
  </si>
  <si>
    <t>Columna16259</t>
  </si>
  <si>
    <t>Columna16260</t>
  </si>
  <si>
    <t>Columna16261</t>
  </si>
  <si>
    <t>Columna16262</t>
  </si>
  <si>
    <t>Columna16263</t>
  </si>
  <si>
    <t>Columna16264</t>
  </si>
  <si>
    <t>Columna16265</t>
  </si>
  <si>
    <t>Columna16266</t>
  </si>
  <si>
    <t>Columna16267</t>
  </si>
  <si>
    <t>Columna16268</t>
  </si>
  <si>
    <t>Columna16269</t>
  </si>
  <si>
    <t>Columna16270</t>
  </si>
  <si>
    <t>Columna16271</t>
  </si>
  <si>
    <t>Columna16272</t>
  </si>
  <si>
    <t>Columna16273</t>
  </si>
  <si>
    <t>Columna16274</t>
  </si>
  <si>
    <t>Columna16275</t>
  </si>
  <si>
    <t>Columna16276</t>
  </si>
  <si>
    <t>Columna16277</t>
  </si>
  <si>
    <t>Columna16278</t>
  </si>
  <si>
    <t>Columna16279</t>
  </si>
  <si>
    <t>Columna16280</t>
  </si>
  <si>
    <t>Columna16281</t>
  </si>
  <si>
    <t>Columna16282</t>
  </si>
  <si>
    <t>Columna16283</t>
  </si>
  <si>
    <t>Columna16284</t>
  </si>
  <si>
    <t>Columna16285</t>
  </si>
  <si>
    <t>Columna16286</t>
  </si>
  <si>
    <t>Columna16287</t>
  </si>
  <si>
    <t>Columna16288</t>
  </si>
  <si>
    <t>Columna16289</t>
  </si>
  <si>
    <t>Columna16290</t>
  </si>
  <si>
    <t>Columna16291</t>
  </si>
  <si>
    <t>Columna16292</t>
  </si>
  <si>
    <t>Columna16293</t>
  </si>
  <si>
    <t>Columna16294</t>
  </si>
  <si>
    <t>Columna16295</t>
  </si>
  <si>
    <t>Columna16296</t>
  </si>
  <si>
    <t>Columna16297</t>
  </si>
  <si>
    <t>Columna16298</t>
  </si>
  <si>
    <t>Columna16299</t>
  </si>
  <si>
    <t>Columna16300</t>
  </si>
  <si>
    <t>Columna16301</t>
  </si>
  <si>
    <t>Columna16302</t>
  </si>
  <si>
    <t>Columna16303</t>
  </si>
  <si>
    <t>Columna16304</t>
  </si>
  <si>
    <t>Columna16305</t>
  </si>
  <si>
    <t>Columna16306</t>
  </si>
  <si>
    <t>Columna16307</t>
  </si>
  <si>
    <t>Columna16308</t>
  </si>
  <si>
    <t>Columna16309</t>
  </si>
  <si>
    <t>Columna16310</t>
  </si>
  <si>
    <t>Columna16311</t>
  </si>
  <si>
    <t>Columna16312</t>
  </si>
  <si>
    <t>Columna16313</t>
  </si>
  <si>
    <t>Columna16314</t>
  </si>
  <si>
    <t>Columna16315</t>
  </si>
  <si>
    <t>Columna16316</t>
  </si>
  <si>
    <t>Columna16317</t>
  </si>
  <si>
    <t>Columna16318</t>
  </si>
  <si>
    <t>Columna16319</t>
  </si>
  <si>
    <t>Columna16320</t>
  </si>
  <si>
    <t>Columna16321</t>
  </si>
  <si>
    <t>Columna16322</t>
  </si>
  <si>
    <t>Columna16323</t>
  </si>
  <si>
    <t>Columna16324</t>
  </si>
  <si>
    <t>Columna16325</t>
  </si>
  <si>
    <t>Columna16326</t>
  </si>
  <si>
    <t>Columna16327</t>
  </si>
  <si>
    <t>Columna16328</t>
  </si>
  <si>
    <t>Columna16329</t>
  </si>
  <si>
    <t>Columna16330</t>
  </si>
  <si>
    <t>Columna16331</t>
  </si>
  <si>
    <t>Columna16332</t>
  </si>
  <si>
    <t>Columna16333</t>
  </si>
  <si>
    <t>Columna16334</t>
  </si>
  <si>
    <t>Columna16335</t>
  </si>
  <si>
    <t>Columna16336</t>
  </si>
  <si>
    <t>Columna16337</t>
  </si>
  <si>
    <t>Columna16338</t>
  </si>
  <si>
    <t>Columna16339</t>
  </si>
  <si>
    <t>Columna16340</t>
  </si>
  <si>
    <t>Columna16341</t>
  </si>
  <si>
    <t>Columna16342</t>
  </si>
  <si>
    <t>Columna16343</t>
  </si>
  <si>
    <t>Columna16344</t>
  </si>
  <si>
    <t>Columna16345</t>
  </si>
  <si>
    <t>Columna16346</t>
  </si>
  <si>
    <t>Columna16347</t>
  </si>
  <si>
    <t>Columna16348</t>
  </si>
  <si>
    <t>C3</t>
  </si>
  <si>
    <t>C4</t>
  </si>
  <si>
    <t>C5</t>
  </si>
  <si>
    <t>C2</t>
  </si>
  <si>
    <t>C12</t>
  </si>
  <si>
    <t>C13</t>
  </si>
  <si>
    <t>C14</t>
  </si>
  <si>
    <t>C15</t>
  </si>
  <si>
    <t>C16</t>
  </si>
  <si>
    <t>C17</t>
  </si>
  <si>
    <t>C18</t>
  </si>
  <si>
    <t>C19</t>
  </si>
  <si>
    <t>C20</t>
  </si>
  <si>
    <t>C21</t>
  </si>
  <si>
    <t>C22</t>
  </si>
  <si>
    <t>C23</t>
  </si>
  <si>
    <t>C24</t>
  </si>
  <si>
    <t>C25</t>
  </si>
  <si>
    <t>C26</t>
  </si>
  <si>
    <t>C27</t>
  </si>
  <si>
    <t>C28</t>
  </si>
  <si>
    <t>C29</t>
  </si>
  <si>
    <t>C30</t>
  </si>
  <si>
    <t>C31</t>
  </si>
  <si>
    <t>C32</t>
  </si>
  <si>
    <t>C33</t>
  </si>
  <si>
    <t>C11</t>
  </si>
  <si>
    <t>N2</t>
  </si>
  <si>
    <t xml:space="preserve">Si quieres personalizar la lista desplegable de las
          CATEGORÍAS y SUBCATEGORÍAS
pulsa en ACTIVAR.
Cuando la tengas personalizada, pulsa en DESACTIVAR. 
Puedes TENER en la lista desplegable: 
   - Hasta 20 nombres de CATEGORÍAS
   - Hasta 12 nombres de SUBCATEGORÍAS
             Pero RECUERDA NO USAR [Ctrl+X]
</t>
  </si>
  <si>
    <t xml:space="preserve">If you want to customize the drop-down list of the
           CATEGORIES and SUBCATEGORIES
press ACTIVATE.
When you have it customized, press DEACTIVATE.
You can HAVE in the drop down list:
    - Up to 20 CATEGORY names
    - Up to 12 names of SUBCATEGORIES
              And REMEMBER NOT TO USE [Ctrl + X]
</t>
  </si>
  <si>
    <t xml:space="preserve">Si vous souhaitez personnaliser la liste déroulante des
           CATÉGORIES et SOUS-CATÉGORIES
appuyez sur ACTIVER.
Lorsque vous l'avez personnalisé, cliquez sur DÉSACTIVER.
Vous pouvez AVOIR dans la liste déroulante:
    - Jusqu'à 20 noms de CATÉGORIE
    - Jusqu'à 12 noms de SOUS-CATÉGORIES
              Et rappelez vous de ne pas utiliser [Ctrl + X]
</t>
  </si>
  <si>
    <t xml:space="preserve">Se você deseja personalizar a lista suspensa do
           CATEGORIAS e SUBCATEGORIAS
toque em ATIVAR.
Quando tiver customizado, clique em DESATIVAR.
Você pode TER na lista suspensa:
    - Até 20 nomes de CATEGORIA
    - Até 12 nomes de SUBCATEGORIAS
              Mas LEMBRE-SE DE NÃO USAR [Ctrl + X]
</t>
  </si>
  <si>
    <t xml:space="preserve">Se desideri personalizzare l'elenco a discesa del file
           CATEGORIE e SOTTOCATEGORIE
tocca ATTIVA.
Quando lo hai personalizzato, fai clic su DISATTIVA.
Puoi AVERE nell'elenco a discesa:
    - Fino a 20 nomi di CATEGORIA
    - Fino a 12 nomi di SOTTOCATEGORIE
              Ma RICORDA DI NON USARE [Ctrl + X]
</t>
  </si>
  <si>
    <t>CONCATENA</t>
  </si>
  <si>
    <t>FORM RESP</t>
  </si>
  <si>
    <t>TEXTO</t>
  </si>
  <si>
    <t>CAJA</t>
  </si>
  <si>
    <t>ARCHIVOS</t>
  </si>
  <si>
    <t>ADJUNTOS</t>
  </si>
  <si>
    <t>PLANTILLA</t>
  </si>
  <si>
    <t>INFO</t>
  </si>
  <si>
    <t xml:space="preserve">Escribe el número de la pregunta.
Su valor debe estar entre </t>
  </si>
  <si>
    <t xml:space="preserve">Write the number of the question.
Its value must be between </t>
  </si>
  <si>
    <t xml:space="preserve">Écrivez le numéro de la question.
Sa valeur doit être comprise entre </t>
  </si>
  <si>
    <t xml:space="preserve">Escreva o número da pergunta.
Seu valor deve estar entre </t>
  </si>
  <si>
    <t xml:space="preserve">Scrivi il numero della domanda.
Il suo valore deve essere compreso tra </t>
  </si>
  <si>
    <t xml:space="preserve">Schreiben Sie die Nummer der Frage.
Sein Wert muss zwischen </t>
  </si>
  <si>
    <t>INSERTAR PREGUNTA</t>
  </si>
  <si>
    <t>BORRAR PREGUNTA</t>
  </si>
  <si>
    <t>INSERT QUESTIONS</t>
  </si>
  <si>
    <t>DELETE QUESTIONS</t>
  </si>
  <si>
    <t>INSÉRER QUESTIONS</t>
  </si>
  <si>
    <t>INSERIR PREGUNTAS</t>
  </si>
  <si>
    <t>INSERISCI DOMANDE</t>
  </si>
  <si>
    <t>EINFÜGEN FRAGEN</t>
  </si>
  <si>
    <t>SUPPRIMER QUESTIONS</t>
  </si>
  <si>
    <t>EXCLUIR PREGUNTAS</t>
  </si>
  <si>
    <t>CANCELLARE DOMANDE</t>
  </si>
  <si>
    <t>LÖSCHEN FRAGEN</t>
  </si>
  <si>
    <t xml:space="preserve">Escribe el número de la LÍNEA donde está la pregunta que quieres borrar.
Tiene que ser un valor entre: </t>
  </si>
  <si>
    <t xml:space="preserve"> y la PREGUNTA: </t>
  </si>
  <si>
    <t>84_1</t>
  </si>
  <si>
    <t>84_2</t>
  </si>
  <si>
    <t>84_3</t>
  </si>
  <si>
    <t>85_1</t>
  </si>
  <si>
    <t>85_2</t>
  </si>
  <si>
    <t>85_3</t>
  </si>
  <si>
    <t>85_4</t>
  </si>
  <si>
    <t xml:space="preserve"> que está en la linea </t>
  </si>
  <si>
    <t xml:space="preserve"> e la domanda: </t>
  </si>
  <si>
    <t xml:space="preserve"> and the question: </t>
  </si>
  <si>
    <t xml:space="preserve"> et la question: </t>
  </si>
  <si>
    <t xml:space="preserve"> e a pergunta: </t>
  </si>
  <si>
    <t xml:space="preserve"> und die frage: </t>
  </si>
  <si>
    <t xml:space="preserve">Write the number of the LINE where the question you want to delete is located.
It has to be a value between: </t>
  </si>
  <si>
    <t xml:space="preserve">Écrivez le numéro de la LIGNE où se trouve la question que vous souhaitez supprimer.
Il doit être une valeur comprise entre: </t>
  </si>
  <si>
    <t xml:space="preserve">Escreva o número da LINHA onde a pergunta que você deseja excluir está localizada.
Tem que ser um valor entre: </t>
  </si>
  <si>
    <t xml:space="preserve">Scrivi il numero della RIGA in cui si trova la domanda che vuoi eliminare.
Deve essere un valore compreso tra: </t>
  </si>
  <si>
    <t xml:space="preserve">Schreiben Sie die Nummer der ZEILE, in der sich die Frage befindet, die Sie löschen möchten.
Es muss ein Wert sein zwischen: </t>
  </si>
  <si>
    <t>Hay líneas con el enunciado en blanco.
¿Quieres borrarlas?</t>
  </si>
  <si>
    <t xml:space="preserve">Actualmente estás en la LÍNEA: </t>
  </si>
  <si>
    <t>N{</t>
  </si>
  <si>
    <t>R{</t>
  </si>
  <si>
    <t>S{</t>
  </si>
  <si>
    <t>O{</t>
  </si>
  <si>
    <t>A{</t>
  </si>
  <si>
    <t>&lt;sup&gt;</t>
  </si>
  <si>
    <t>&lt;sub&gt;</t>
  </si>
  <si>
    <t>}N</t>
  </si>
  <si>
    <t>}A</t>
  </si>
  <si>
    <t>}S</t>
  </si>
  <si>
    <t>}R</t>
  </si>
  <si>
    <t>}O</t>
  </si>
  <si>
    <t>&lt;/sup&gt;</t>
  </si>
  <si>
    <t>&lt;/sub&gt;</t>
  </si>
  <si>
    <t>&lt;/span&gt;</t>
  </si>
  <si>
    <t>&lt;span style="color: #FF0000;"&gt;</t>
  </si>
  <si>
    <t>&lt;span style="color: #0000FF;"&gt;</t>
  </si>
  <si>
    <t>&lt;span style="color: #def2f8;"&gt;</t>
  </si>
  <si>
    <t>CODIGOS ESPECIALES</t>
  </si>
  <si>
    <t>&lt;td&gt;</t>
  </si>
  <si>
    <t>&lt;/td&gt;</t>
  </si>
  <si>
    <t>SI.ERROR(FILA()-3&amp;EXTRAE(INDIRECTO("DOC!B"&amp;[@N]+3);LARGO($A4)+1;10000);"")</t>
  </si>
  <si>
    <t xml:space="preserve">¿Cuántas líneas quieres insertar? 
</t>
  </si>
  <si>
    <t xml:space="preserve">How many lines do you want to insert?
</t>
  </si>
  <si>
    <t>83_1</t>
  </si>
  <si>
    <t>Preparado hasta 10</t>
  </si>
  <si>
    <t>Nº Final</t>
  </si>
  <si>
    <t>¿Quieres INSERTAR nuevas LÍNEAS, al final de la tabla, para escribir nuevas preguntas?</t>
  </si>
  <si>
    <t xml:space="preserve">La question N° </t>
  </si>
  <si>
    <t xml:space="preserve"> sera SUPPRIMÉE qu'est-ce qu'il y a sur la ligne </t>
  </si>
  <si>
    <t xml:space="preserve">A pergunta Nº </t>
  </si>
  <si>
    <t xml:space="preserve"> será EXCLUÍDA o que está em jogo </t>
  </si>
  <si>
    <t xml:space="preserve">La domanda N° </t>
  </si>
  <si>
    <t xml:space="preserve"> sarà CANCELLATA, cosa c'è in linea </t>
  </si>
  <si>
    <t xml:space="preserve"> wird GELÖSCHT, was steht auf der linie </t>
  </si>
  <si>
    <t xml:space="preserve">Se va a BORRAR la pregunta N° </t>
  </si>
  <si>
    <t xml:space="preserve">Question N° </t>
  </si>
  <si>
    <t xml:space="preserve"> will be DELETED, what's on the line </t>
  </si>
  <si>
    <t>Möchten Sie am Ende der Tabelle neue ZEILEN EINFÜGEN, um neue Fragen zu schreiben?</t>
  </si>
  <si>
    <t>Quer INSERIR novas LINHAS, no final da tabela, para escrever novas questões?</t>
  </si>
  <si>
    <t>Vuoi INSERIRE nuove RIGHE, a fine tabella, per scrivere nuove domande?</t>
  </si>
  <si>
    <t>Voulez-vous INSÉRER de nouvelles LIGNES, à la fin du tableau, pour écrire de nouvelles questions?</t>
  </si>
  <si>
    <t>Do you want to INSERT new LINES, at the end of the table, to write new questions?</t>
  </si>
  <si>
    <t>There are lines with the sentence blank.
Do you want to delete them?</t>
  </si>
  <si>
    <t>Il y a des lignes avec la phrase vide.
Voulez-vous les supprimer?</t>
  </si>
  <si>
    <t>Existem linhas com a frase em branco.
Você quer excluí-los?</t>
  </si>
  <si>
    <t>Ci sono righe con la frase vuota.
Vuoi eliminarli?</t>
  </si>
  <si>
    <t>Es gibt Zeilen, in denen der Satz leer ist.
Möchten Sie sie löschen?</t>
  </si>
  <si>
    <t>Initial number of question to be exported</t>
  </si>
  <si>
    <t>Pena de tentativa, no caso de permitir mais de um.</t>
  </si>
  <si>
    <t>Tentare la penalità, in caso di permetterne più di una.</t>
  </si>
  <si>
    <t>Versuchsstrafe, wenn mehr als eine erlaubt ist.</t>
  </si>
  <si>
    <t>Réponse Courte</t>
  </si>
  <si>
    <t>Resposta Curta</t>
  </si>
  <si>
    <t>Risposta Breve</t>
  </si>
  <si>
    <t>Palavra Perdida</t>
  </si>
  <si>
    <t>Clique aqui se quiser colocar todas as perguntas.</t>
  </si>
  <si>
    <t>Fare clic qui se si desidera porre l'intera gamma di domande.</t>
  </si>
  <si>
    <t>A gama de perguntas a serem exportadas é diferente da gama de perguntas armazenadas.</t>
  </si>
  <si>
    <t>La gamma di domande da esportare è diversa dalla gamma di domande memorizzate.</t>
  </si>
  <si>
    <t xml:space="preserve">Gamma di domande memorizzate: </t>
  </si>
  <si>
    <t xml:space="preserve">Reihe gespeicherter Fragen: </t>
  </si>
  <si>
    <t xml:space="preserve">Groupe </t>
  </si>
  <si>
    <t xml:space="preserve">Gruppo </t>
  </si>
  <si>
    <t xml:space="preserve">Gruppe </t>
  </si>
  <si>
    <t xml:space="preserve">Couple </t>
  </si>
  <si>
    <t xml:space="preserve">Casal </t>
  </si>
  <si>
    <t xml:space="preserve">Coppia </t>
  </si>
  <si>
    <t xml:space="preserve">Partner </t>
  </si>
  <si>
    <t>Case sensibility (YES=1)</t>
  </si>
  <si>
    <t>Sensibile à la casse (Oui = 1)</t>
  </si>
  <si>
    <t xml:space="preserve">Mot </t>
  </si>
  <si>
    <t xml:space="preserve">Parola </t>
  </si>
  <si>
    <t xml:space="preserve">Wort </t>
  </si>
  <si>
    <t>Titolo della SOTTOCATEGORIA
Se vuoi creare una SOTTOCATEGORIA per le domande. In caso contrario, lo lasci vuoto. Puoi scegliere dall'elenco a discesa o scrivere il nome che desideri.
Per includere più sottocategorie devi scrivere il simbolo " / "
Ad esempio " subcat1 / subcat2 / subcat3 ".</t>
  </si>
  <si>
    <t>Título da SUBCATEGORIA
Se você deseja criar uma SUBCATEGORIA para as questões. Caso contrário, deixe em branco. Você pode escolher na lista suspensa ou escrever o nome que deseja.
Para incluir mais subcategorias você deve escrever o símbolo " / "
Por exemplo, " subcat1 / subcat2 / subcat3 ".</t>
  </si>
  <si>
    <t>Titre de la SOUS-CATÉGORIE
Si vous souhaitez créer une SOUS-CATÉGORIE pour les questions. Sinon, laissez-le champs vide. Vous pouvez choisir dans la liste déroulante ou écrire le nom de votre choix.
Pour inclure de nouvelles sous-catégories, commencez par le symbole " / "
Par exemple " subcat1 / subcat2 / subcat3 ".</t>
  </si>
  <si>
    <t>SUBCATEGORY title
Option to create a new SUBCATEGORY. Leave blank otherwise. You can select from the drop down list, or manually enter a new subcategory name.
To include new subcategories, use the "/"
Eg. "subcat1/subcat2/subcat3".</t>
  </si>
  <si>
    <t>Título de la SUBCATEGORÍA
Si quieres crear una SUBCATEGORÍA para las preguntas. Si no, lo dejas en blanco. Puedes elegir de la lista desplegable o escribir el nombre que quieras.
Para incluir más subcategorías debes escribir el símbolo "/"
Ej. "subcat1/subcat2/subcat3".</t>
  </si>
  <si>
    <t>PAROLA D'ORDINE
Se inserisci una password o un codice, devi comunicarlo agli studenti che compileranno il questionario.</t>
  </si>
  <si>
    <t xml:space="preserve">RÉPONSE ALÉATORIE
Si vous souhaitez mélanger les réponses, sélectionnez true. </t>
  </si>
  <si>
    <t xml:space="preserve">RESPOSTA ALEATÓRIA
Se você quiser embaralhar as respostas, selecione true. </t>
  </si>
  <si>
    <t xml:space="preserve">RISPOSTA CASUALE
Se desideri mescolare le risposte, seleziona true. </t>
  </si>
  <si>
    <t>SHUFFLE-ANTWORT
Wenn Sie die Antworten mischen möchten, wählen Sie true.</t>
  </si>
  <si>
    <t xml:space="preserve">NUMÉROTATION DES TYPES
Sélectionnez le type de numérotation des réponses, si vous ne souhaitez pas de numérotation, sélectionnez AUCUNE. </t>
  </si>
  <si>
    <t xml:space="preserve">DIGITE A NUMERAÇÃO
Selecione o tipo de numeração da resposta; se não quiser numeração, selecione NENHUMA. </t>
  </si>
  <si>
    <t xml:space="preserve">DIGITARE LA NUMERAZIONE
Seleziona il tipo di numerazione delle risposte, se non desideri la numerazione, seleziona NESSUNA. </t>
  </si>
  <si>
    <t>NUMMERIERUNGSART
Wählen Sie die Art der Nummerierung der Antworten. Wenn Sie keine Nummerierung wünschen, wählen Sie KEINE.</t>
  </si>
  <si>
    <t>KATEGORIE beschreibung
Wenn Sie etwas über die Kategorie schreiben möchten, ist dies nur ein Kommentar. Wenn Sie nichts schreiben möchten, können Sie es leer lassen.</t>
  </si>
  <si>
    <t xml:space="preserve">PONTUAÇÃO
Pontos que cada pergunta terá. Por padrão, o MOODLE coloca um, você pode modificar o valor quando o questionário é criado. </t>
  </si>
  <si>
    <t xml:space="preserve">PUNTEGGIATURA
Punti che ogni domanda avrà. Per impostazione predefinita, MOODLE ne inserisce uno, è possibile modificare il valore quando viene creato il questionario. </t>
  </si>
  <si>
    <t>INTERPUNKTION
Punkte, die jede Frage haben wird. Standardmäßig legt MOODLE einen Wert fest. Sie können den Wert beim Erstellen des Fragebogens ändern.</t>
  </si>
  <si>
    <t xml:space="preserve">PÉNALITÉ DE TENTATIVE
Pénalité pour tentatives successives. Si vous ne voulez pas pénaliser les mauvaises réponses, vous pouvez le configurer dans le questionnaire. </t>
  </si>
  <si>
    <t xml:space="preserve">TENTATIVA DE PENALIDADE
Penalidade por tentativas sucessivas. Se não quiser penalizar as respostas erradas, pode configurá-lo no questionário. </t>
  </si>
  <si>
    <t>TENTATIVO DI RIGORE
Penalità per tentativi successivi. Se non vuoi penalizzare le risposte sbagliate, puoi configurarlo nel questionario .</t>
  </si>
  <si>
    <t>ABSICHTSSTRAFE
Strafe für aufeinanderfolgende Versuche. Wenn Sie keine falschen Antworten bestrafen möchten, können Sie dies im Fragebogen konfigurieren.</t>
  </si>
  <si>
    <t>QUESTION No.
Numéro de la QUESTION consultée. 
Si vous voulez que le premier nombre de cette banque de questions soit plus élevé (11, 21, 31 ..., 101, 201, 301, ...), augmentez la plage dans la case NOMBRE INITIAL de LA BANQUE DE QUESTIONS.</t>
  </si>
  <si>
    <t>DOMANDA N.
Numero della DOMANDA consultata. 
Se si desidera che il primo numero di questa banca di domande sia più alto (11, 21, 31 ...), aumentare l'intervallo nella casella NUMERO INIZIALE della BANCA DOMANDA.</t>
  </si>
  <si>
    <t>QUESTÃO Nº
Número da PERGUNTA que está sendo consultada. 
Se você quiser que o primeiro número deste banco de questões seja maior (11, 21, 31 ...) aumente o intervalo na caixa NÚMERO INICIAL do BANCO DE QUESTÕES.</t>
  </si>
  <si>
    <t>KEINE FRAGE N.:
Nummer der konsultierten FRAGE.
Wenn Sie möchten, dass die erste Nummer dieser Fragenbank größer ist (11, 21, 31 ...), erhöhen Sie den Bereich im Feld INITIAL NUMBER of QUESTION BANK.</t>
  </si>
  <si>
    <t>Non, BONNES QUESTIONS
Dans le cas du choix multiple où il y a plus d'une réponse correcte, indiquez le nombre de réponses correctes de cette question. 
Le nombre peut être différent pour chaque question dans la même banque de questions.</t>
  </si>
  <si>
    <t>Não. PREGUNTAS CORRETAS
No caso de Múltipla Escolha onde há mais de uma resposta correta, indique quantas respostas corretas esta questão possui. 
Pode ser diferente para cada pergunta no mesmo banco de perguntas.</t>
  </si>
  <si>
    <t>No. DOMANDE CORRETTE
Nel caso di Scelta multipla in cui è presente più di una risposta corretta, indicare quante risposte corrette ha questa domanda. 
Può essere diverso per ogni domanda nella stessa banca di domande.</t>
  </si>
  <si>
    <t>Nein. RICHTIGE FRAGEN:
Geben Sie bei Multiple Choice mit mehr als einer richtigen Antwort an, wie viele richtige Antworten diese Frage hat.
Es kann für jede Frage in derselben Fragenbank unterschiedlich sein.</t>
  </si>
  <si>
    <t>DESCRIPTION:
Tape what you want to appear in the NAME of the question. 
This will be formed with the PREFIX set in General Data + the number of the question + the Description.
The question number appears when the box on the right is checked.</t>
  </si>
  <si>
    <t>DESCRIPTION:
Écrivez ce que vous voulez voir apparaître dans le NOM/label de la question. 
Celui-ci sera formé avec le PREFIX défini dans les Données Générales + le numéro de la question + la Description.
Le numéro de la question apparaît lorsque la case de droite est cochée.</t>
  </si>
  <si>
    <t>DESCRIÇÃO:
Escreva o que deseja que apareça no NOME da pergunta. 
Este será formado com o PREFIXO definido nos Dados Gerais + o número da questão + a Descrição.
O número da pergunta aparece quando a caixa à direita é marcada.</t>
  </si>
  <si>
    <t>DESCRIZIONE:
Scrivi quello che vuoi che appaia nel NOME della domanda. 
Questo sarà formato con il PREFISSO impostato in Dati generali + il numero della domanda + la Descrizione.
Il numero della domanda viene visualizzato quando la casella a destra è selezionata.</t>
  </si>
  <si>
    <t>BESCHREIGUNG:
Schreiben Sie, was im Namen der Frage erscheinen soll.
Es wird mit dem in General Data + der Nummer der Frage + der Beschreibung festgelegten PREFIX gebildet.
Die Fragennummer wird angezeigt, wenn das Kontrollkästchen rechts aktiviert ist.</t>
  </si>
  <si>
    <t>QUESTION STATEMENT (HTML):
Write the question statement. 
If you want to include SPECIAL CODES, press F2 or with the mouse left-click twice or use the Moodle Editor.</t>
  </si>
  <si>
    <t>ÉNONCÉ DE LA QUESTION (HTML):
Écrivez l'énoncé de la question. 
Si vous voulez mettre des CODES SPECIAUX, appuyez sur F2 ou faites un double-clic gauche de la souris ou utilisez l'éditeur Moodle.</t>
  </si>
  <si>
    <t>DECLARAÇÃO DE PREGUNTA (HTML):
Escreva a declaração da pergunta. 
Se quiser colocar CÓDIGOS ESPECIAIS, pressione F2 ou "" clique "" duas vezes com ou use o Editor Moodle.</t>
  </si>
  <si>
    <t>DICHIARAZIONE DI DOMANDA (HTML): 
Scrivi la dichiarazione della domanda. 
Se vuoi inserire CODICI SPECIALI, premi F2 o "" clicca "" due volte con il mouse o usa l'editor Moodle.</t>
  </si>
  <si>
    <t>ERKLÄRUNG DER FRAGE (HTML):
Schreiben Sie die Erklärung der Frage.
Wenn Sie SPEZIELLE CODES einfügen möchten, drücken Sie F2 oder klicken Sie zweimal mit der Maus oder verwenden Sie den Moodle-Editor.</t>
  </si>
  <si>
    <t>ANSWERS (HTML):
Write the answer you want to appear in this option, you need to make sure to give it the appropriate score in the box on the right.</t>
  </si>
  <si>
    <t>FEERBACK (HTML):
Write the comment you want to appear for each answer.</t>
  </si>
  <si>
    <t>RETOUR D'INFORMATION (HTML):
Écrivez le commentaire que vous souhaitez voir apparaître pour chaque réponse.</t>
  </si>
  <si>
    <t>COMENTÁRIOS (HTML):
Escreva o comentário que você deseja que apareça para cada resposta.</t>
  </si>
  <si>
    <t>RISPOSTA (HTML):
Scrivi il commento che vuoi che appaia per ogni risposta.</t>
  </si>
  <si>
    <t>FEEDBACK (HTML):
Schreiben Sie den Kommentar, den Sie für jede Antwort anzeigen möchten.</t>
  </si>
  <si>
    <t>TIPS (HTML):
Comment that appears if you configure MOODLE so that it can give clues when more than one attempt is allowed.</t>
  </si>
  <si>
    <t>DES PISTES (HTML):
Commentaire qui apparaît si vous configurez MOODLE pour qu'il puisse donner des indices lorsque plusieurs tentatives sont autorisées.</t>
  </si>
  <si>
    <t>TRILHAS (HTML):
Comentário que aparecerá se você configurar o MOODLE de forma que possa dar pistas quando houver mais de uma tentativa restante.</t>
  </si>
  <si>
    <t>BRANI (HTML):
Commento che apparirà se configuri MOODLE in modo che possa fornire indizi quando è rimasto più di un tentativo.</t>
  </si>
  <si>
    <t>SPUREN (HTML):
Kommentar, der angezeigt wird, wenn Sie MOODLE so konfigurieren, dass es Hinweise gibt, wenn mehr als ein Versuch übrig ist.</t>
  </si>
  <si>
    <t>G1 - PAAR (HTML):
Erstes Element des Paares.</t>
  </si>
  <si>
    <t>G1 - PAREJA (HTML):
Primer elemento de la pareja.</t>
  </si>
  <si>
    <t>G2 - PAREJA (Texto Plano):
Segundo elemento de la pareja.</t>
  </si>
  <si>
    <t>G1 - PAIR (HTML):
Pair first element.</t>
  </si>
  <si>
    <t>G1 - COUPLE (HTML):
Premier élément du couple.</t>
  </si>
  <si>
    <t>G1 - CASAL (HTML):
Primeiro elemento do casal.</t>
  </si>
  <si>
    <t>G1 - COPPIA (HTML):
Primo elemento della coppia.</t>
  </si>
  <si>
    <t>G2 - PAIR (Plain Text):
Pair second element.</t>
  </si>
  <si>
    <t>G2- COUPLE (Plain Text):
Second éléments du couple.</t>
  </si>
  <si>
    <t>G2- CASAL (Plain Text):
Segundos elementos do casal.</t>
  </si>
  <si>
    <t>G2- COPPIA (Plain Text):
Secondi elementi della coppia.</t>
  </si>
  <si>
    <t>G2-PARA (Plain Text):
Zweite Elemente des Paares.</t>
  </si>
  <si>
    <t>ANSWER (Plain Text):
Possible short answer.
 '*' can be used as a wildcard to match any characters. 
The first matching answer will be used to determine the score and feedback.</t>
  </si>
  <si>
    <t>RÉPONDRE (Plain Text):
Réponse courte possible.
Le caractère « * » peut être utilisé comme joker pour remplacer n'importe quel caractère. 
La première réponse correspondante sera utilisée pour déterminer le score et le feedback.</t>
  </si>
  <si>
    <t>RESPONDA (Plain Text):
Possível resposta curta. 
'*' Será usado como curinga para qualquer caractere.
A primeira resposta correspondente será usada para determinar a pontuação e o feedback.</t>
  </si>
  <si>
    <t>RISPOSTA (Plain Text):
Possibile risposta breve.
Il carattere '*' può essere usato come carattere jolly per accettare qualunque carattere. 
La prima risposta che corrisponde sarà usata per determinare il punteggio e il feedback.</t>
  </si>
  <si>
    <t>ANTWORTEN (Plain Text):
Mögliche kurze Antwort.
'*' kann als Ersatzzeichen für beliebige Buchstaben (Wildcard) benutzt werden. 
Die erste passende Antwort wird benutzt, um Bewertung und Feedback zu ermitteln.</t>
  </si>
  <si>
    <t>POINTS:
Points assigned to the selected answer.</t>
  </si>
  <si>
    <t>POINTS:
Points pour cette réponse.</t>
  </si>
  <si>
    <t>PONTOS:
Pontos para esta resposta.</t>
  </si>
  <si>
    <t>PUNTI:
Punti per questa risposta.</t>
  </si>
  <si>
    <t>PUNKTE:
Punkte für diese Antwort.</t>
  </si>
  <si>
    <t>FEEDBACK (HTML):
Message that appears if this answer is selected.</t>
  </si>
  <si>
    <t>RETOUR D'INFORMATION (HTML):
Message qui apparaît si cette réponse est sélectionnée.</t>
  </si>
  <si>
    <t>COMENTÁRIOS (HTML):
Quais respostas se você colocar esta resposta.</t>
  </si>
  <si>
    <t>RISPOSTA (HTML):
Quali risposte se metti questa risposta.</t>
  </si>
  <si>
    <t>FEEDBACK (HTML):
Was antwortet, wenn Sie diese Antwort geben.</t>
  </si>
  <si>
    <t>CAPITALIZATION MATCH:
Set to 1 to force sentence capitalization match when checking the answers. Matching upper case.</t>
  </si>
  <si>
    <t>COÏNCIDENCE:
Si vous voulez que les MAJUSCULES correspondent, mettez 1.</t>
  </si>
  <si>
    <t>COINCIDÊNCIA:
Se você quiser que a MAIÚSCULA corresponda, coloque 1.</t>
  </si>
  <si>
    <t>COINCIDENZA:
Se vuoi che le MAIUSCOLE corrispondano, inserisci 1.</t>
  </si>
  <si>
    <t>QUESTION STATEMENT (HTML):
Type the question statement. 
Add the number associated with the corresponding missing word between [[ ]].</t>
  </si>
  <si>
    <t xml:space="preserve">ÉNONCÉ DE LA QUESTION (HTML):
Écrivez l'énoncé de la question. 
Ecrivez le numéro du mot manquant entre [[  ]]. </t>
  </si>
  <si>
    <t xml:space="preserve">DECLARAÇÃO DA QUESTÃO (HTML):
Escreva a declaração da pergunta. 
Digite [[  ]], você deve escrever o número da palavra correspondente a essa lacuna. </t>
  </si>
  <si>
    <t xml:space="preserve">DICHIARAZIONE DELLA DOMANDA (HTML):
Scrivi la dichiarazione della domanda. 
Immettere [[ ]] è necessario scrivere il numero della parola corrispondente a quella distanza. </t>
  </si>
  <si>
    <t>ERKLÄRUNG DER FRANGE(HTML):
Schreiben Sie die Erklärung der Frage. 
Geben Sie [[ ]] ein, Sie müssen die Nummer des Wortes schreiben, das dieser Lücke entspricht.</t>
  </si>
  <si>
    <t>WORD GROUP:
Group No. for that word.</t>
  </si>
  <si>
    <t>GROUPE DE MOTS:
Numéro de groupe pour ce mot.</t>
  </si>
  <si>
    <t>GRIPPO DI PAROLE:
Numero di gruppo per questa parola.</t>
  </si>
  <si>
    <t>WORTGRUPPE:
Gruppen-Nr. Für dieses Wort.</t>
  </si>
  <si>
    <t>WORD (Plain Text):
Missing word to be linked to the assigned group.</t>
  </si>
  <si>
    <t>MOT (Plain Text):
Mot manquant à répertorier dans le groupe attribué.</t>
  </si>
  <si>
    <t>PALABRA (Plain Text):
Palavra em falta a ser listada no grupo atribuído.</t>
  </si>
  <si>
    <t>PAROLA (Plain Text):
Parola mancante da elencare nel gruppo assegnato.</t>
  </si>
  <si>
    <t>PHOTO:
Si vous souhaitez inclure une image avant l'énoncé, placez ici le code suivant.
           &lt;img src = "" https: //…. /&gt;
Un saut de ligne est inclus.</t>
  </si>
  <si>
    <t>RESPUESTA CORRECTA:
Selecciona si la respuesta correcta es VERDADERO O FALSO.</t>
  </si>
  <si>
    <t>CORRECT ANSWER:
Select if the correct answer is TRUE OR FALSE.</t>
  </si>
  <si>
    <t>BONNE RÉPONSE:
Sélectionnez si la bonne réponse est VRAI OU FAUX.</t>
  </si>
  <si>
    <t>RESPOSTA CORRETA:
Selecione se a resposta correta é VERDADEIRA OU FALSA.</t>
  </si>
  <si>
    <t>RISPOSTA CORRETTA:
Seleziona se la risposta corretta è VERA O FALSA.</t>
  </si>
  <si>
    <t>RICHTIGE ANTWORT:
Wählen Sie aus, ob die richtige Antwort WAHR ODER FALSCH ist.</t>
  </si>
  <si>
    <t>FORMATO DE LA RESPUESTA:
Selecciona el formato con el que quieres que el alumno introduzca la respuesta.</t>
  </si>
  <si>
    <t>RESPONSE FORMAT:
Select the format with which you want the student to display the response.</t>
  </si>
  <si>
    <t>FORMAT DE RÉPONSE:
Sélectionnez le format avec lequel vous souhaitez que l'étudiant présente la réponse.</t>
  </si>
  <si>
    <t>FORMATO DE RESPOSTA:
Selecione o formato no qual deseja que o aluno insira a resposta.</t>
  </si>
  <si>
    <t>FORMATO DI RISPOSTA:
Seleziona il formato in cui vuoi che lo studente inserisca la risposta.</t>
  </si>
  <si>
    <t>ANTWORTFORMAT:
Wählen Sie das Format aus, in dem der Schüler die Antwort eingeben soll.</t>
  </si>
  <si>
    <t>REQUERIR TEXTO:
Puedes decidir si el alumno tiene que escribir algo o no.</t>
  </si>
  <si>
    <t>REQUIRE TEXT:
You can decide if the student has to write something or not.</t>
  </si>
  <si>
    <t>TEXTE REQUIS:
Vous pouvez décider si l'élève doit écrire quelque chose ou pas.</t>
  </si>
  <si>
    <t>REQUIRE TEXT:
Você pode decidir se o aluno deve escrever algo ou não.</t>
  </si>
  <si>
    <t>RICHIEDI TESTO:
Puoi decidere se lo studente deve scrivere qualcosa o no.</t>
  </si>
  <si>
    <t>ERFORDERLICHE TEXT:
Sie können entscheiden, ob der Schüler etwas schreiben soll oder nicht.</t>
  </si>
  <si>
    <t>PERMITIR ARCHIVOS:
Puedes decidir si el alumno debe subir un archivo o no.</t>
  </si>
  <si>
    <t>ALLOW FILES:
You can decide if the student should upload a file or not.</t>
  </si>
  <si>
    <t>AUTORISER LES FICHIERS:
Vous pouvez décider si l'étudiant doit transférer un fichier ou pas.</t>
  </si>
  <si>
    <t>PERMITIR ARQUIVOS:
Você pode decidir se o aluno deve enviar um arquivo ou não.</t>
  </si>
  <si>
    <t>CONSENTI FILE:
Puoi decidere se lo studente deve caricare un file o meno.</t>
  </si>
  <si>
    <t>DATEIEN ERLAUBEN:
Sie können entscheiden, ob der Schüler eine Datei hochladen soll oder nicht.</t>
  </si>
  <si>
    <t>TAMAÑO CAJA:
Puedes seleccionar el tamaño de la caja donde el alumno debe escribir la respuesta.</t>
  </si>
  <si>
    <t>BOX SIZE:
You can select the size of the box where the student should write the answer.</t>
  </si>
  <si>
    <t>TAILLE DE LA CASE:
Vous pouvez sélectionner la taille de la case où l'élève doit écrire sa réponse.</t>
  </si>
  <si>
    <t>TAMANHO DA CAIXA:
Você pode selecionar o tamanho da caixa onde o aluno deve escrever a resposta.</t>
  </si>
  <si>
    <t>DIMENSIONI SCATOLA:
Puoi selezionare la dimensione della casella in cui lo studente deve scrivere la risposta.</t>
  </si>
  <si>
    <t>BOXGRÖSSE:
Sie können die Größe des Kästchens auswählen, in das der Schüler die Antwort schreiben soll.</t>
  </si>
  <si>
    <t>ARCHIVOS ADJUNTAR:
Selecciona el número de archivos que el alumno puede adjuntar.</t>
  </si>
  <si>
    <t>FILES ATTACH:
Select the number of files the student can attach.</t>
  </si>
  <si>
    <t>JOINDRE DES FICHIERS:
Sélectionnez le nombre de fichiers que l'élève peut joindre.</t>
  </si>
  <si>
    <t>ANEXO DE ARQUIVOS:
Selecione o número de arquivos que o aluno pode anexar.</t>
  </si>
  <si>
    <t>FILE ALLEGATI:
Seleziona il numero di file che lo studente può allegare.</t>
  </si>
  <si>
    <t>DATEIEN ANHÄNGEN:
Wählen Sie die Anzahl der Dateien aus, die der Schüler anhängen kann.</t>
  </si>
  <si>
    <t>PLANTILLA RESPUESTA:
Puedes preparar una plantilla para ayudar al alumno a responder.</t>
  </si>
  <si>
    <t>ANSWER TEMPLATE:
You can prepare a template to guide the student's answers.</t>
  </si>
  <si>
    <t>TEMPLATE DE RÉPONSE:
Vous pouvez préparer une template pour guider l'élève pendant ses réponses.</t>
  </si>
  <si>
    <t>MODELO DE RESPOSTA:
Você pode preparar um modelo para ajudar o aluno a responder.</t>
  </si>
  <si>
    <t>MODELLO DI RISPOSTA:
Puoi preparare un modello per aiutare lo studente a rispondere.</t>
  </si>
  <si>
    <t>ANTWORTVORLAGE:
Sie können eine Vorlage vorbereiten, um den Schülern bei der Beantwortung zu helfen.</t>
  </si>
  <si>
    <t>INFORMACIÓN EVALUADOR:
Escribe la información que necesite el evaluador para poder corregir el ejercicio.</t>
  </si>
  <si>
    <t>EVALUATOR INFORMATION:
Write the information needed by the evaluator needs to correct the exercise.</t>
  </si>
  <si>
    <t>INFORMATIONS POUR L'ÉVALUATEUR:
Écrivez les informations dont l'évaluateur aura besoin pour corriger l'exercice.</t>
  </si>
  <si>
    <t>INFORMAÇÕES DO AVALIADOR:
Escreva as informações de que o avaliador precisa para poder corrigir o exercício.</t>
  </si>
  <si>
    <t>INFORMAZIONI PER IL VALUTATORE:
Scrivi le informazioni di cui il valutatore ha bisogno per poter correggere l'esercizio.</t>
  </si>
  <si>
    <t>EVALUATOR-INFORMATIONEN:
Schreiben Sie die Informationen auf, die der Evaluator benötigt, um die Übung korrigieren zu können.</t>
  </si>
  <si>
    <t>Um Leerzeichen einzugeben, haben Sie mehrere Möglichkeiten:
1 - Kopieren Sie den Code und schreiben Sie so viele " _ " wie Leerzeichen, die Sie behalten möchten.
2 - Tippe den Code ein
          &amp; nbsp;
für jeden anderen Raum, den Sie betreten möchten.
3 - Schreiben Sie am Anfang des Satzes
         &lt;PRE&gt;
Mit dieser Option wird das Format mit ALLEN Leerzeichen und Seitenumbrüchen beibehalten, die Sie schreiben. Außerdem bleibt die COURIER-Schriftart in Schwarz.</t>
  </si>
  <si>
    <t xml:space="preserve">Para poder EXPORTAR las preguntas a otro Excel, el archivo 
  -  </t>
  </si>
  <si>
    <t xml:space="preserve">
muss sich in dem VERZEICHNIS befinden, in dem Sie arbeiten:
      -</t>
  </si>
  <si>
    <t>SUCHEN SIE NACH DER DATEI UND KOPIEREN SIE SIE IN DIESES VERZEICHNIS, UM FORTFAHREN ZU KÖNNEN.</t>
  </si>
  <si>
    <t xml:space="preserve">Les données affichées dans le FORMULAIRE seront SAUVEGARDÉES en tant que NOUVELLE question.
Le numéro de la question est </t>
  </si>
  <si>
    <t>Schreiben Sie die Breite, die das Bild haben soll.
Wenn Sie nicht wissen, welche Größe Sie möchten, können Sie das Feld leer lassen. Die Standardbreite des Bildes wird übernommen, es kann jedoch nicht auf NULL GESETZT WERDEN (0).</t>
  </si>
  <si>
    <t>Schreiben Sie die Höhe, die das Bild haben soll.
Wenn Sie nicht wissen, welche Größe Sie möchten, können Sie das Feld leer lassen. Es nimmt die Standardbreite des Bildes an, kann jedoch nicht auf NULL GESETZT WERDEN (0).</t>
  </si>
  <si>
    <t xml:space="preserve">Revisa los datos en la pantalla
DATOS GENERALES.
</t>
  </si>
  <si>
    <t xml:space="preserve">Check the data on the screen
GENERAL DATA.
</t>
  </si>
  <si>
    <t xml:space="preserve">Vérifiez les données sur l'écran
DONNÉES GÉNÉRALES.
</t>
  </si>
  <si>
    <t xml:space="preserve">Verifique os dados na folha
DADOS GERAIS.
</t>
  </si>
  <si>
    <t xml:space="preserve">Verificare i dati sul foglio
DATI GENERALI.
</t>
  </si>
  <si>
    <t xml:space="preserve">Überprüfen Sie die Daten auf dem Blatt
ALLGEMEINE DATEN.
</t>
  </si>
  <si>
    <t xml:space="preserve">Sind Sie sicher, dass Sie die Formulardaten REINIGEN möchten?
Aus den Fragen werden KEINE Daten gelöscht.
</t>
  </si>
  <si>
    <t xml:space="preserve">Sind Sie sicher, dass Sie die Frage löschen möchten </t>
  </si>
  <si>
    <t xml:space="preserve"> has not been deleted from the Question Bank.
</t>
  </si>
  <si>
    <t xml:space="preserve"> wurde aus der Fragenbank entfernt.
</t>
  </si>
  <si>
    <t xml:space="preserve">wurde nicht aus der Fragenbank gelöscht.
</t>
  </si>
  <si>
    <t xml:space="preserve">Wenn Sie die Dropdown-Liste von anpassen möchten
          KATEGORIEN und UNTERKATEGORIEN
Tippen Sie auf AKTIVIEREN.
Wenn Sie es angepasst haben, klicken Sie auf DEAKTIVIEREN.
Sie können in der Dropdown-Liste haben:
   - Bis zu 20 KATEGORIEN-Namen
   - Bis zu 12 Namen von SUBCATEGORIES
             Denken Sie jedoch daran, [Strg + X] NICHT zu verwenden.
</t>
  </si>
  <si>
    <t xml:space="preserve">Wenn Sie VARIABLE CELLS für die Fragen verwenden möchten, klicken Sie auf ACTIVATE.
Wenn Sie sie NICHT verwenden möchten, klicken Sie auf DEAKTIVIEREN.
Sie können sie verwenden:
     - Als Wortvariablen
     - Als EXCEL-Zellen mit FORMELN
     - Alles andere, was Sie mit EXCEL tun können
          Denken Sie jedoch daran, [Strg + X] NICHT zu verwenden.
</t>
  </si>
  <si>
    <t xml:space="preserve">MÖCHTEN SIE DIE BESTEHENDE DATEI ERSETZEN?
</t>
  </si>
  <si>
    <t xml:space="preserve">THE FILE WILL BE REPLACED: </t>
  </si>
  <si>
    <t xml:space="preserve">O ARQUIVO SERÁ SUBSTITUÍDO: </t>
  </si>
  <si>
    <t xml:space="preserve">IL FILE VERRÀ SOSTITUITO: </t>
  </si>
  <si>
    <t xml:space="preserve">DIE DATEI WIRD ERSETZT: </t>
  </si>
  <si>
    <t xml:space="preserve">The file has been created with the name: </t>
  </si>
  <si>
    <t xml:space="preserve">Le fichier avec le nom a été créé: </t>
  </si>
  <si>
    <t xml:space="preserve">O arquivo com o nome foi criado: </t>
  </si>
  <si>
    <t xml:space="preserve">Il file con il nome è stato creato: </t>
  </si>
  <si>
    <t xml:space="preserve">Die Datei mit dem Namen wurde erstellt: </t>
  </si>
  <si>
    <t xml:space="preserve">Möchten Sie mit ALLEN Fragebögen ARBEITEN?
 - Wenn Sie JA auswählen, funktioniert dies mit ALLEN Fragebögen.
 - Wenn Sie NEIN auswählen: Die ausgewählten Fragen des Fragebogens werden bearbeitet:
</t>
  </si>
  <si>
    <t xml:space="preserve">Sie haben ausgewählt, Fragen aus einer anderen Datei zu IMPORTIEREN.
Möchten Sie die Fragen, die Sie derzeit haben, behalten und die Fragen stellen, die Sie als NÄCHSTES IMPORTIEREN möchten?
</t>
  </si>
  <si>
    <t xml:space="preserve">Do you want to KEEP the questions you currently have?
PS: You have selected SAVE Question Bank (the copy will be made in ANOTHER file). If you want to CLEAN the questions press NO.
</t>
  </si>
  <si>
    <t xml:space="preserve">Voulez-vous GARDER les questions que vous avez en ce moment?
PS: Vous avez sélectionné SAVE la Bank de Questions (la copie sera effectuée dans UN AUTRE fichier). Si vous voulez NETTOYER les questions, appuyez sur NON.
</t>
  </si>
  <si>
    <t xml:space="preserve">Quer MANTER as perguntas que tem atualmente?
PS: Você selecionou SAVE Question Bank (a cópia será feita em OUTRO arquivo). Se você quiser LIMPAR as perguntas, pressione NÃO.
</t>
  </si>
  <si>
    <t xml:space="preserve">Vuoi MANTENERE le domande che hai attualmente?
PS: hai selezionato SALVA banca delle domande (la copia verrà eseguita in UN ALTRO file). Se vuoi PULIRE le domande premi NO.
</t>
  </si>
  <si>
    <t xml:space="preserve">Möchten Sie die Fragen behalten, die Sie derzeit haben?
PS: Sie haben SAVE Question Bank ausgewählt (die Kopie wird in einer anderen Datei erstellt). Wenn Sie die Fragen REINIGEN möchten, drücken Sie NEIN.
</t>
  </si>
  <si>
    <t xml:space="preserve">Schreiben Sie, welches Trennzeichen Sie für die Paare des Typfragebogens setzen möchten:
</t>
  </si>
  <si>
    <t xml:space="preserve">MERKEN:
Wenn Sie in einer Version von MOODLE vor Version 3.8 arbeiten möchten, müssen Sie die XML-Datei mit dem NOTES BLOC öffnen und als UTF-8 speichern, da sonst die Fragen nicht importiert werden.
Wenn Sie nicht wissen, an welcher Version Sie arbeiten, die Fragen jedoch nicht importiert werden, speichern Sie sie in UTF-8, da sie in diesem Format für alle Versionen von MOODLE funktionieren.
</t>
  </si>
  <si>
    <t xml:space="preserve">¿Cuántas preguntas quieres guardar con estos datos aleatorios? 
[max  100]
</t>
  </si>
  <si>
    <t xml:space="preserve">How many questions do you want to save with this random data?
[max  100]
</t>
  </si>
  <si>
    <t xml:space="preserve">Combien de questions souhaitez-vous enregistrer avec ces données aléatoires?
[max  100]
</t>
  </si>
  <si>
    <t xml:space="preserve">Quantas perguntas você deseja salvar com esses dados aleatórios?
[max  100]
</t>
  </si>
  <si>
    <t xml:space="preserve">Quante domande vuoi salvare con questi dati casuali?
[max  100]
</t>
  </si>
  <si>
    <t xml:space="preserve">Wie viele Fragen möchten Sie mit diesen zufälligen Daten speichern?
[max  100]
</t>
  </si>
  <si>
    <t>Are you sure you want to DELETE the data in the Variable cells? Dato_01, Dato_02, etc.
NO data will be DELETED from the questions.</t>
  </si>
  <si>
    <t>Voulez-vous vraiment SUPPRIMER les données dans les cellules variables? Dato_01, Dato_02, etc.
AUCUNE donnée ne sera SUPPRIMÉE des questions.</t>
  </si>
  <si>
    <t>Tem certeza de que deseja EXCLUIR os dados nas células variáveis? Dato_01, Dato_02, etc.
NENHUM dado será EXCLUÍDO das perguntas.</t>
  </si>
  <si>
    <t>Sei sicuro di voler CANCELLARE i dati nelle celle Variabili? Dato_01, Dato_02, ecc.
NESSUN dato verrà ELIMINATO dalle domande.</t>
  </si>
  <si>
    <t>Möchten Sie die Daten in den Variablenzellen wirklich LÖSCHEN? Dato_01, Dato_02 usw.
Aus den Fragen werden KEINE Daten gelöscht.</t>
  </si>
  <si>
    <t>Preguntas y respuestas en orden.</t>
  </si>
  <si>
    <t>Questions and answers are in the right order.</t>
  </si>
  <si>
    <t>Les questions et les réponses sont dans l'ordre.</t>
  </si>
  <si>
    <t>Perguntas e respostas em ordem.</t>
  </si>
  <si>
    <t>Domande e risposte in ordine.</t>
  </si>
  <si>
    <t>Fragen und Antworten der Reihe nach.</t>
  </si>
  <si>
    <t>Preguntas y respuestas barajadas.</t>
  </si>
  <si>
    <t>Shuffled questions and answers.</t>
  </si>
  <si>
    <t>Les questions et les réponses sont mélangées.</t>
  </si>
  <si>
    <t>Perguntas e respostas embaralhadas.</t>
  </si>
  <si>
    <t>Domande e risposte mescolate.</t>
  </si>
  <si>
    <t>Gemischte Fragen und Antworten.</t>
  </si>
  <si>
    <t>Combien de lignes voulez-vous insérer?</t>
  </si>
  <si>
    <t>Quante righe vuoi inserire?</t>
  </si>
  <si>
    <t>Wie viele Zeilen möchten Sie einfügen?</t>
  </si>
  <si>
    <t xml:space="preserve">Quantas linhas você deseja inserir?
</t>
  </si>
  <si>
    <t xml:space="preserve">You are currently on the LINE: </t>
  </si>
  <si>
    <t xml:space="preserve">Vous êtes actuellement en LIGNE: </t>
  </si>
  <si>
    <t xml:space="preserve">Você está atualmente na LINHA: </t>
  </si>
  <si>
    <t xml:space="preserve">Attualmente sei in LINEA: </t>
  </si>
  <si>
    <t xml:space="preserve">Sie befinden sich derzeit auf der LINE: </t>
  </si>
  <si>
    <t xml:space="preserve">El ENUNCIADO de la pregunta es: </t>
  </si>
  <si>
    <t xml:space="preserve">The STATEMENT of the question is: </t>
  </si>
  <si>
    <t xml:space="preserve">L'ÉNONCÉ de la question est: </t>
  </si>
  <si>
    <t xml:space="preserve">A DECLARAÇÃO da questão é: </t>
  </si>
  <si>
    <t xml:space="preserve">La DICHIARAZIONE della domanda è: </t>
  </si>
  <si>
    <t xml:space="preserve">Die AUSSAGE der Frage lautet: </t>
  </si>
  <si>
    <t>&lt;strong&gt;</t>
  </si>
  <si>
    <t>&lt;/strong&gt;</t>
  </si>
  <si>
    <t>Haga clic en las etiquetas de texto para alternar el color: negro/gris. &lt;br&gt;
Haga clic en los botones para seleccionar la respuesta.</t>
  </si>
  <si>
    <t>Click on the text labels to toggle the color: black/grey. &lt;br&gt;
Click on the radio buttons to select the answer.</t>
  </si>
  <si>
    <t>Cliquez sur les étiquettes de texte pour changer leur couleur: noir/gris. &lt;br&gt;
Cliquez sur les boutons radio pour sélectionner la réponse.</t>
  </si>
  <si>
    <t>Clique nos rótulos de texto para alternar a cor: preto. &lt;br&gt;
Clique nos botões de opção para selecionar a resposta.</t>
  </si>
  <si>
    <t>Fare clic sulle etichette di testo per alternare il colore: nero. &lt;br&gt;
Fare clic sui pulsanti di opzione per selezionare la risposta.</t>
  </si>
  <si>
    <t>Klicken Sie auf die Textbeschriftungen, um die Farbe umzuschalten: Schwarz. &lt;br&gt;
Klicken Sie auf die Optionsfelder, um die Antwort auszuwählen.</t>
  </si>
  <si>
    <t>Klicken Sie auf die Textbeschriftungen, um umzuschalten: normal / wellig rot. &lt;br&gt;
Klicken Sie auf die Schaltflächen, um die Antwort auszuwählen.</t>
  </si>
  <si>
    <t xml:space="preserve">Haga clic en las etiquetas de texto para alternar: normal/rojo ondulado. &lt;br&gt;
Haga clic en los botones para seleccionar la respuesta. </t>
  </si>
  <si>
    <t>Click the text labels to toggle: normal / wavy red. &lt;br&gt;
Click the buttons to select the answer.</t>
  </si>
  <si>
    <t>Cliquez sur les étiquettes de texte pour basculer: rouge normal / ondulé. &lt;br&gt;
Cliquez sur les boutons pour sélectionner la réponse.</t>
  </si>
  <si>
    <t>Clique nos rótulos de texto para alternar: normal / vermelho ondulado. &lt;br&gt;
Clique nos botões para selecionar a resposta.</t>
  </si>
  <si>
    <t>Fare clic sulle etichette di testo per alternare: rosso normale / ondulato. &lt;br&gt;
Fare clic sui pulsanti per selezionare la risposta.</t>
  </si>
  <si>
    <t xml:space="preserve">NO HAY PREGUNTAS EN EL BANCO DE PREGUNTAS: </t>
  </si>
  <si>
    <t xml:space="preserve">NO QUESTIONS FROM THE QUESTION BANK: </t>
  </si>
  <si>
    <t xml:space="preserve">PAS DE QUESTIONS DE LA BANQUE DE QUESTIONS: </t>
  </si>
  <si>
    <t xml:space="preserve">SEM PERGUNTAS DO BANCO DE PERGUNTAS: </t>
  </si>
  <si>
    <t xml:space="preserve">NESSUNA DOMANDA DALLA BANCA DI QUESTION: </t>
  </si>
  <si>
    <t xml:space="preserve">KEINE FRAGEN VON DER FRAGENBANK: </t>
  </si>
  <si>
    <t>77_1</t>
  </si>
  <si>
    <t>77_2</t>
  </si>
  <si>
    <t>77_3</t>
  </si>
  <si>
    <t>77_4</t>
  </si>
  <si>
    <t>77_0</t>
  </si>
  <si>
    <t xml:space="preserve">¿Quieres que te indique los enlaces necesarios la aplicación? 
- Enlace a VIDEO TUTORIALES
- Enlace a MANUAL
- Enlace a DESCARGAR el JUEGO
</t>
  </si>
  <si>
    <t xml:space="preserve">Möchten Sie, dass die Anwendung die erforderlichen Links anzeigt?
- Link zu VIDEO-TUTORIALS
- Link zum HANDBUCH
- Link zum DOWNLOAD des SPIELS
</t>
  </si>
  <si>
    <t xml:space="preserve">Vuoi che l'applicazione indichi i link necessari?
- Link ai VIDEO TUTORIAL
- Link al MANUALE
- Link per SCARICARE IL GIOCO
</t>
  </si>
  <si>
    <t xml:space="preserve">Souhaitez-vous que l'application indique les liens nécessaires ?
- Lien vers les TUTORIELS VIDÉO
- Lien vers MANUEL
- Lien pour TÉLÉCHARGER le JEU
</t>
  </si>
  <si>
    <t xml:space="preserve">Quer que o aplicativo indique os links necessários?
- Link para VÍDEO TUTORIAIS
- Link para MANUAL
- Link para BAIXAR O JOGO
</t>
  </si>
  <si>
    <t xml:space="preserve">Do you want the application to indicate the necessary links?
- Link to VIDEO TUTORIALS
- Link to MANUAL
- Link to DOWNLOAD the GAME
</t>
  </si>
  <si>
    <t>In the following link, you have the
VIDEO-TUTORIAL
on how to use the questions in the game.
_____________________________</t>
  </si>
  <si>
    <t>Dans le lien suivant, vous avez le
DIDACTICIEL VIDÉO
sur la façon d'utiliser les questions dans le jeu.
_____________________________</t>
  </si>
  <si>
    <t>No link a seguir, você tem o
VÍDEO TUTORIAL
sobre como usar as perguntas no jogo.
_____________________________</t>
  </si>
  <si>
    <t>Nel seguente link, hai il
VIDEO-TUTORIAL
su come usare le domande nel gioco.
_____________________________</t>
  </si>
  <si>
    <t>Im folgenden Link haben Sie die
VIDEOANLEITUNG
wie man die Fragen im Spiel verwendet.
_____________________________</t>
  </si>
  <si>
    <t>In the following link, you have the
HANDBOOK
on how to use the questions in the game.
_____________________________</t>
  </si>
  <si>
    <t>Dans le lien suivant, vous avez le
MANUEL
sur la façon d'utiliser les questions dans le jeu.
_____________________________</t>
  </si>
  <si>
    <t>No link a seguir, você tem o
MANUAL
sobre como usar as perguntas no jogo.
_____________________________</t>
  </si>
  <si>
    <t>Nel seguente link, hai il
MANUALE
su come usare le domande nel gioco.
_____________________________</t>
  </si>
  <si>
    <t>Im folgenden Link haben Sie die
HANDBUCH
wie man die Fragen im Spiel verwendet.
_____________________________</t>
  </si>
  <si>
    <t>En el siguiente enlace, te puedes 
DESCARGAR EL JUEGO, 
la versión del 
PROFESOR.
_____________________________</t>
  </si>
  <si>
    <t>In the following link, you can
DOWNLOAD THE GAME,
the version of the
TEACHER.
_____________________________</t>
  </si>
  <si>
    <t>Dans le lien suivant, vous pouvez
TÉLÉCHARGER LE JEU,
la version du
PROF.
_____________________________</t>
  </si>
  <si>
    <t>No link a seguir, você pode
BAIXE O JOGO,
a versão do
PROFESSOR.
_____________________________</t>
  </si>
  <si>
    <t>Nel seguente link, puoi
SCARICA IL GIOCO,
la versione del
INSEGNANTE.
_____________________________</t>
  </si>
  <si>
    <t>Unter folgendem Link können Sie
LADE DAS SPIEL HERUNTER,
die Version von
LEHRER.
_____________________________</t>
  </si>
  <si>
    <t>In the following link, you can
DOWNLOAD THE GAME,
the version of the
PLAYER.
_____________________________</t>
  </si>
  <si>
    <t>Dans le lien suivant, vous pouvez
TÉLÉCHARGER LE JEU,
la version du
JOUEUR.
_____________________________</t>
  </si>
  <si>
    <t>No link a seguir, você pode
BAIXE O JOGO,
a versão do
JOGADOR.
_____________________________</t>
  </si>
  <si>
    <t>Nel seguente link, puoi
SCARICA IL GIOCO,
la versione del
GIOCATORE.
_____________________________</t>
  </si>
  <si>
    <t>Unter folgendem Link können Sie
LADE DAS SPIEL HERUNTER,
die Version von
SPIELER.
_____________________________</t>
  </si>
  <si>
    <t>En el siguiente enlace, tienes el 
VIDEO TUTORIAL 
sobre cómo utilizar las preguntas en el juego.
_____________________________</t>
  </si>
  <si>
    <t>En el siguiente enlace, tienes el 
MANUAL 
sobre cómo utilizar las preguntas en el juego.
_____________________________</t>
  </si>
  <si>
    <t>En el siguiente enlace, te puedes 
DESCARGAR EL JUEGO, 
la versión del 
JUGADOR.
_____________________________</t>
  </si>
  <si>
    <t>87_1</t>
  </si>
  <si>
    <t>87_2</t>
  </si>
  <si>
    <t>87_3</t>
  </si>
  <si>
    <t>87_4</t>
  </si>
  <si>
    <t>87_5</t>
  </si>
  <si>
    <t>87_6</t>
  </si>
  <si>
    <t>Escribe la URL de las PREGUNTAS que quieres utilizar.</t>
  </si>
  <si>
    <t>El codigo para usar las preguntas en el juego es:</t>
  </si>
  <si>
    <t>Código borrado con éxito.</t>
  </si>
  <si>
    <t>El identificador de la tabla no se encuentra registrado.</t>
  </si>
  <si>
    <t>87_7</t>
  </si>
  <si>
    <t>87_8</t>
  </si>
  <si>
    <t>Escribe la URL de las PREGUNTAS que deseas dejar de dar acceso. 
NO SE BORRARÁ EL ARCHIVO.</t>
  </si>
  <si>
    <t>La tabla debe estar compartida con TODOS.</t>
  </si>
  <si>
    <t>Debes UTILIZAR preguntas en GOOGLE DRIVE compartidas con TODOS.</t>
  </si>
  <si>
    <t>Você deve USAR perguntas no GOOGLE DRIVE compartilhadas com TODOS.</t>
  </si>
  <si>
    <t>Escreva a URL das PERGUNTAS que deseja usar.</t>
  </si>
  <si>
    <t>A mesa deve ser compartilhada com TODOS.</t>
  </si>
  <si>
    <t>O código para usar as perguntas no jogo é:</t>
  </si>
  <si>
    <t>Código apagado com sucesso.</t>
  </si>
  <si>
    <t>O identificador da tabela não está registrado.</t>
  </si>
  <si>
    <t>Escreva a URL das PERGUNTAS às quais deseja parar de conceder acesso.
O ARQUIVO NÃO SERÁ EXCLUÍDO.</t>
  </si>
  <si>
    <t>Vous devez UTILISER les questions sur GOOGLE DRIVE partagées avec TOUT LE MONDE.</t>
  </si>
  <si>
    <t>Écrivez l'URL des QUESTIONS que vous souhaitez utiliser.</t>
  </si>
  <si>
    <t>La table doit être partagée avec TOUS.</t>
  </si>
  <si>
    <t>Code effacé avec succès.</t>
  </si>
  <si>
    <t>L'identifiant de la table n'est pas enregistré.</t>
  </si>
  <si>
    <t>Écrivez l'URL des QUESTIONS auxquelles vous ne souhaitez plus donner accès. 
LE FICHIER NE SERA PAS SUPPRIMÉ.</t>
  </si>
  <si>
    <t>Devi USARE le domande su GOOGLE DRIVE condivise con TUTTI.</t>
  </si>
  <si>
    <t>Scrivi l'URL delle DOMANDE che vuoi utilizzare.</t>
  </si>
  <si>
    <t>Il tavolo deve essere condiviso con TUTTI.</t>
  </si>
  <si>
    <t>Il codice per utilizzare le domande nel gioco è:</t>
  </si>
  <si>
    <t>Codice cancellato con successo.</t>
  </si>
  <si>
    <t>L'identificatore della tabella non è registrato.</t>
  </si>
  <si>
    <t>Scrivi l'URL delle DOMANDE a cui non vuoi più dare accesso. 
IL FILE NON VERRÀ CANCELLATO.</t>
  </si>
  <si>
    <t>Sie müssen Fragen auf GOOGLE DRIVE VERWENDEN, die mit JEDER geteilt werden.</t>
  </si>
  <si>
    <t>Schreiben Sie die URL der QUESTIONS, die Sie verwenden möchten.</t>
  </si>
  <si>
    <t>Die Tabelle muss mit JEDEM geteilt werden.</t>
  </si>
  <si>
    <t>Der Code zur Verwendung der Fragen im Spiel lautet:</t>
  </si>
  <si>
    <t>Code erfolgreich gelöscht.</t>
  </si>
  <si>
    <t>Die Tabellenkennung ist nicht registriert.</t>
  </si>
  <si>
    <t>Schreiben Sie die URL der FRAGEN, denen Sie keinen Zugriff mehr gewähren möchten. 
DIE DATEI WIRD NICHT GELÖSCHT.</t>
  </si>
  <si>
    <t>You must USE questions on GOOGLE DRIVE shared with EVERYONE.</t>
  </si>
  <si>
    <t>Write the URL of the QUESTIONS you want to use.</t>
  </si>
  <si>
    <t>The table must be shared with EVERYONE.</t>
  </si>
  <si>
    <t>The code to use the questions in the game is:</t>
  </si>
  <si>
    <t>Code erased successfully.</t>
  </si>
  <si>
    <t>The table identifier is not registered.</t>
  </si>
  <si>
    <t>Write the URL of the QUESTIONS that you want to stop giving access. 
THE FILE WILL NOT BE DELETED.</t>
  </si>
  <si>
    <t xml:space="preserve">Wähle eine Option:
[1] EXPORT-Fragen:
Der Fragentyp MULTIPLE CHOICE 1R wird zur Verwendung im SPIEL exportiert.
Denken Sie daran: Wenn Sie Fragen unterschiedlichen Schwierigkeitsgrades (bis 2) haben, müssen Sie den Code in der erstellten Datei ändern.
[2] SIEHE Links:
Links zum Herunterladen und Erlernen der Verwendung der Anwendung werden angezeigt.
[3] CREATE-Code:
Der CODE wird generiert, um den Zugriff auf die Fragen zu ermöglichen.
[4] DELETE-Code:
Der CODE wird gelöscht, um den Zugriff auf die Fragen zu entfernen.
[5] BEENDEN:
Sie verlassen die Option EXPORT to GAME.
</t>
  </si>
  <si>
    <t xml:space="preserve">Selecciona una opción:
[1] EXPORTAR preguntas:
Se exportarán las preguntas tipo OPCIÓN MÚLTIPLE 1R para usar en el JUEGO. 
RECUERDA: Si tienes preguntas de diferente nivel de dificultar (hasta 2), debes cambiar el código en el archivo creado.
[2] VER enlaces:
Se muestran los enlaces para descargar y aprender a usar la aplicación.
[3] CREAR código:
Se generará el CÓDIGO para dar acceso a las preguntas.
[4] BORRAR código:
Se borrará el CÓDIGO para quitar el acceso a las preguntas.
[5] SALIR: 
Sales de la opción EXPORTAR a JUEGO.
</t>
  </si>
  <si>
    <t xml:space="preserve">Selecione uma opção:
[1] Perguntas sobre EXPORT:
As perguntas do tipo MULTIPLE CHOICE 1R serão exportadas para uso no JOGO.
LEMBRE-SE: Caso tenha dúvidas de diferentes níveis de dificuldade (até 2), deve-se alterar o código do arquivo criado.
[2] VER links:
Links para baixar e aprender a usar o aplicativo são exibidos.
[3] CRIAR código:
O CODE será gerado para dar acesso às questões.
[4] Código DELETE:
O CODE será apagado para remover o acesso às perguntas.
[5] SAÍDA:
Você sai da opção EXPORT to GAME.
</t>
  </si>
  <si>
    <t xml:space="preserve">Seleziona un'opzione:
[1] Domande sull'ESPORTAZIONE:
Le domande di tipo SCELTA MULTIPLA 1R verranno esportate per essere utilizzate nel GIOCO.
RICORDA: Se hai domande di diverso livello di difficoltà (fino a 2), devi cambiare il codice nel file creato.
[2] VEDI link:
Vengono visualizzati i collegamenti per scaricare e imparare a utilizzare l'applicazione.
[3] CREA codice:
Il CODICE verrà generato per dare accesso alle domande.
[4] CANCELLA codice:
Il CODICE verrà cancellato per rimuovere l'accesso alle domande.
[5] USCITA:
Esci dall'opzione ESPORTA in GIOCO.
</t>
  </si>
  <si>
    <t>MULTIPLE CHOICE QUESTION FORM 1A/SA</t>
  </si>
  <si>
    <t xml:space="preserve">Select an option:
[1] EXPORT questions:
The questions type MULTIPLE CHOICE 1A will be exported to use in the GAME.
REMEMBER: If you have questions of different difficulty level (up to 2), you must change the code in the created file.
[2] SEE links:
Links to download and learn how to use the application are displayed.
[3] CREATE code:
The CODE will be generated to give access to the questions.
[4] DELETE code:
The CODE will be erased to remove access to the questions.
[5] EXIT:
You exit the EXPORT to GAME option.
</t>
  </si>
  <si>
    <t xml:space="preserve">Opción Múltiple 1R </t>
  </si>
  <si>
    <t>Multiple Choice 1A</t>
  </si>
  <si>
    <t xml:space="preserve"> Kurzantwort</t>
  </si>
  <si>
    <t>Freitext</t>
  </si>
  <si>
    <t>Lückentextauswahl</t>
  </si>
  <si>
    <t>Zuordnung</t>
  </si>
  <si>
    <t>Risposta Multipla 1R</t>
  </si>
  <si>
    <t>Corrispondenza</t>
  </si>
  <si>
    <t>Parole Mancanti</t>
  </si>
  <si>
    <t>Choix Multiple 1R</t>
  </si>
  <si>
    <t>Appariement</t>
  </si>
  <si>
    <t>Mots Manquants</t>
  </si>
  <si>
    <t>Matching</t>
  </si>
  <si>
    <t xml:space="preserve">Opción Múltiple +R </t>
  </si>
  <si>
    <t>Multiple Choice +A</t>
  </si>
  <si>
    <t>Choix Multiple +R</t>
  </si>
  <si>
    <t>Múltipla Escolha +R</t>
  </si>
  <si>
    <t>Risposta Multipla +R</t>
  </si>
  <si>
    <t>Multiple Choice +R</t>
  </si>
  <si>
    <t>FORMULARIO OPCIÓN MÚLTIPLE 1R/+R</t>
  </si>
  <si>
    <t>FORMULAIRE CHOIX MULTIPLE 1R / +R</t>
  </si>
  <si>
    <t>FORMA DE OPÇÕES MÚLTIPLAS 1R / +R</t>
  </si>
  <si>
    <t>MODULO A OPZIONI MULTIPLE 1R / +R</t>
  </si>
  <si>
    <t>MEHRFACHOPTIONSFORMULAR 1R / +R</t>
  </si>
  <si>
    <t>GRUPO DE PALAVRAS:
Número do grupo para esta palavra.</t>
  </si>
  <si>
    <t xml:space="preserve">If you want to use the SPECIAL CODES: click on the one that interests you and a message will appear. Copy and paste it into the target cell.
You can insert:
    - FORMULAS:                \(    \)  ;  $$\     $$ 
    - SUPERSCRIPT:         ^{  }
    - SUB-SCRIPT:           _{  }
    - SKIP LINE:                          &lt;br&gt;   &lt;/p&gt;
    - CONCATENATE CELLS:        "&amp;"
    - BOLD:                                  _N{   } 
    - SPACES (+1): Moodle font colour: # def2f8
</t>
  </si>
  <si>
    <t>Actualmente están Activos los Cuestionarios Tipo: 
- Opción Múltiple (1 y Varias Respuesta)               - Ensayo
- Verdadero Falso                                                    - Palabra Perdida            
- Emparejar                                                               - Respuesta Corta
- Cloze: permite cálculos numéricos e intercalar distintos tipos de cuestiones en una sola pregunta. Muy útil para hacer muchos problemas con distintos datos muy rápidamente.</t>
  </si>
  <si>
    <t>The Questionnaire Types currently Active are:
- Multiple Choice (1 &amp; + Answer)                                   - Essay
- True False                                                                      - Lost Word
- Match                                                                            - Short Answer
- Cloze: allows numerical calculations and interleaving different types of questions in a single question. Very useful to set many problems with different data very quickly.</t>
  </si>
  <si>
    <t>Les questionnaires de type sont actuellement actifs:
- Choix multiple (1 &amp; + réponse)                              -  Composition
- Vrai Faux                                                                  - Mot perdu
- Match                                                                       - Réponse courte
- Cloze: permet des calculs numériques et entrelace différents types de questions dans une seule question. Très utile pour résoudre très rapidement de nombreux problèmes avec différentes données.</t>
  </si>
  <si>
    <t>Os questionários de tipo estão atualmente ativos:
- Múltipla escolha (1 &amp; + resposta)                      -  Texto Livre
- Verdadeiro Falso                                                 - Palavra Perdida
- Correspondência                                                 - Resposta curta
- Cloze: permite cálculos numéricos e intercalar diferentes tipos de questões em uma única questão. Muito útil para resolver muitos problemas com dados diferentes muito rapidamente.</t>
  </si>
  <si>
    <t>I questionari di tipo sono attualmente attivi:
- Scelta multipla (1 &amp; + risposta)                       - Domanda Componimento
- Vero Falso                                                         - Parola perduta
- Corrispondenza                                                - Risposta breve
- Cloze: consente calcoli numerici e interleaving diversi tipi di domande in una singola domanda. Molto utile per risolvere molti problemi con dati diversi molto rapidamente.</t>
  </si>
  <si>
    <t xml:space="preserve">Die Typ-Fragebögen sind derzeit aktiv:
- Multiple Choice (1 &amp; + Antwort)                    - Freitextfrage
- Richtig Falsch                                                   - Verlorenes Wort
- Match                                                               - Kurze Antwort
- Lückentext: Ermöglicht numerische Berechnungen und das Verschachteln verschiedener Arten von Fragen in einer einzigen Frage. Sehr nützlich, um viele Probleme mit verschiedenen Daten sehr schnell zu lösen.
</t>
  </si>
  <si>
    <t>True/False</t>
  </si>
  <si>
    <t>Verdadero/Falso</t>
  </si>
  <si>
    <t>Vrai/Faux</t>
  </si>
  <si>
    <t>Verdadeiro/Falso</t>
  </si>
  <si>
    <t>Vero/Falso</t>
  </si>
  <si>
    <t>Wahr/Falsch</t>
  </si>
  <si>
    <t>Múltipla Escolha 1R</t>
  </si>
  <si>
    <t>^{^</t>
  </si>
  <si>
    <t>_{_</t>
  </si>
  <si>
    <t>^}^</t>
  </si>
  <si>
    <t>_}_</t>
  </si>
  <si>
    <t xml:space="preserve">¿Has utilizado Códigos Especiales del MENÚ LATERAL?
[ ^{^ , _{_  , N{  …  ]
</t>
  </si>
  <si>
    <t xml:space="preserve">Have you used special codes from the SIDE MENU?
[ ^{^ , _{ _ , N{  , …  ]
</t>
  </si>
  <si>
    <t xml:space="preserve">Haben Sie spezielle Codes aus dem Seitenmenü verwendet?
[ ^{^,  _{_ , N{  ,  …  ]
</t>
  </si>
  <si>
    <t xml:space="preserve">Hai usato codici speciali dal MENU LATERALE?
[ ^{^ ,  _{_ ,  N{    ,  ...]
</t>
  </si>
  <si>
    <t xml:space="preserve">Você usou códigos especiais no MENU LATERAL?
[^{^, _{_, N{ , ...]
</t>
  </si>
  <si>
    <t xml:space="preserve">Avez-vous utilisé des codes spéciaux du MENU LATÉRAL?
[^{^, _{_, N{ , … ]
</t>
  </si>
  <si>
    <t>ALMACENAR FORMULAS</t>
  </si>
  <si>
    <t>Schreiben Sie den NAMEN, mit dem Sie die Formeln speichern möchten.
Die bereits vorhandenen Namen sind:</t>
  </si>
  <si>
    <t>Write the NUMBER of the option you want to recover.
(any other value to EXIT)
Possible options are:</t>
  </si>
  <si>
    <t>Escreva o NÚMERO da opção que deseja recuperar.
(qualquer outro valor para SAIR)
As opções possíveis são:</t>
  </si>
  <si>
    <t>Scrivi il NUMERO dell'opzione che vuoi recuperare.
(qualsiasi altro valore per EXIT)
Le opzioni possibili sono:</t>
  </si>
  <si>
    <t>Schreiben Sie die NUMMER der Option, die Sie wiederherstellen möchten.
(beliebiger anderer Wert für EXIT)
Mögliche Optionen sind:</t>
  </si>
  <si>
    <t>Escribe el NÚMERO de la opción que quieres BORRAR. 
(cualquier otro valor para SALIR)
Las posibles son:</t>
  </si>
  <si>
    <t>Write the NUMBER of the option you want to DELETE.
(any other value to EXIT)
The possible ones are:</t>
  </si>
  <si>
    <t>Escreva o NÚMERO da opção que deseja EXCLUIR.
(qualquer outro valor para SAIR)
Os possíveis são:</t>
  </si>
  <si>
    <t>Scrivi il NUMERO dell'opzione che vuoi ELIMINARE.
(qualsiasi altro valore per EXIT)
I possibili sono:</t>
  </si>
  <si>
    <t>Schreiben Sie die NUMMER der Option, die Sie LÖSCHEN möchten.
(beliebiger anderer Wert für EXIT)
Die möglichen sind:</t>
  </si>
  <si>
    <t>Ese nombre ya existe.</t>
  </si>
  <si>
    <t>That name already exists.</t>
  </si>
  <si>
    <t>Ce nom existe déjà.</t>
  </si>
  <si>
    <t>Esse nome já existe.</t>
  </si>
  <si>
    <t>Quel nome esiste già.</t>
  </si>
  <si>
    <t>Dieser Name existiert bereits.</t>
  </si>
  <si>
    <t>No hay nada que se pueda guardar.</t>
  </si>
  <si>
    <t>There is nothing that can be saved.</t>
  </si>
  <si>
    <t>Il n'y a rien qui puisse être sauvé.</t>
  </si>
  <si>
    <t>Não há nada que possa ser salvo.</t>
  </si>
  <si>
    <t>Non c'è niente che possa essere salvato.</t>
  </si>
  <si>
    <t>Es gibt nichts zu retten.</t>
  </si>
  <si>
    <t>No hay nada guardado que se pueda recuperar.</t>
  </si>
  <si>
    <t>There is nothing saved that can be recovered.</t>
  </si>
  <si>
    <t>Il n'y a rien de sauvegardé qui puisse être récupéré.</t>
  </si>
  <si>
    <t>Não há nada salvo que possa ser recuperado.</t>
  </si>
  <si>
    <t>Non c'è nulla di salvato che può essere recuperato.</t>
  </si>
  <si>
    <t>Es ist nichts gespeichert, was wiederhergestellt werden kann.</t>
  </si>
  <si>
    <t>No hay nada guardado que se pueda borrar.</t>
  </si>
  <si>
    <t>There is nothing saved that can be erased.</t>
  </si>
  <si>
    <t>Il n'y a rien de sauvegardé qui puisse être effacé.</t>
  </si>
  <si>
    <t>Não há nada salvo que possa ser apagado.</t>
  </si>
  <si>
    <t>Non c'è nulla di salvato che possa essere cancellato.</t>
  </si>
  <si>
    <t>Es ist nichts gespeichert, was gelöscht werden kann.</t>
  </si>
  <si>
    <t>88_1</t>
  </si>
  <si>
    <t>88_2</t>
  </si>
  <si>
    <t>88_3</t>
  </si>
  <si>
    <t>88_4</t>
  </si>
  <si>
    <t>88_5</t>
  </si>
  <si>
    <t>88_6</t>
  </si>
  <si>
    <t>88_7</t>
  </si>
  <si>
    <t>88_8</t>
  </si>
  <si>
    <t>Escribe el NÚMERO de la opción que quieres RECUPERAR. 
(cualquier otro valor para SALIR)
Las opciones posibles son:</t>
  </si>
  <si>
    <t>Escribe el NOMBRE con el que quieres GUARDAR las fórmulas.
Los nombres que ya están son:</t>
  </si>
  <si>
    <t>Write the NAME with which you want to SAVE the formulas.
The names that are already there are:</t>
  </si>
  <si>
    <t>Escreva o NOME com o qual deseja SALVAR as fórmulas.
Os nomes que já existem são:</t>
  </si>
  <si>
    <t>Scrivi il NOME con cui vuoi SALVARE le formule.
I nomi che ci sono già sono:</t>
  </si>
  <si>
    <t>FORMELN SPEICHERN</t>
  </si>
  <si>
    <t>NEGOZIO FORMULE</t>
  </si>
  <si>
    <t>ARMAZENAR FÓRMULAS</t>
  </si>
  <si>
    <t>FORMULES EN MAGASIN</t>
  </si>
  <si>
    <t>STORE FORMULAS</t>
  </si>
  <si>
    <t>DATOS VARIABLES</t>
  </si>
  <si>
    <t>DATOS FORMULARIO</t>
  </si>
  <si>
    <t>89_1</t>
  </si>
  <si>
    <t>89_2</t>
  </si>
  <si>
    <t>89_3</t>
  </si>
  <si>
    <t>Se han guardado:</t>
  </si>
  <si>
    <t xml:space="preserve">Fórmulas del FORMULARIO </t>
  </si>
  <si>
    <t>The following have been saved:</t>
  </si>
  <si>
    <t>FORM formulas</t>
  </si>
  <si>
    <t>Formules FORM</t>
  </si>
  <si>
    <t>Eles foram salvos:</t>
  </si>
  <si>
    <t>Fórmulas de FORMULÁRIO</t>
  </si>
  <si>
    <t>Sono stati salvati:</t>
  </si>
  <si>
    <t>Formule di FORMA</t>
  </si>
  <si>
    <t>Sie wurden gespeichert:</t>
  </si>
  <si>
    <t>FORM-Formeln</t>
  </si>
  <si>
    <t>Fórmulas de DATOS VARIABLES</t>
  </si>
  <si>
    <t>VARIABLE DATA formulas</t>
  </si>
  <si>
    <t>formules VARIABLE DATA</t>
  </si>
  <si>
    <t>Fórmulas de DADOS VARIÁVEIS</t>
  </si>
  <si>
    <t>DATI VARIABILI formule</t>
  </si>
  <si>
    <t>Formeln für variable Daten</t>
  </si>
  <si>
    <t>90_1</t>
  </si>
  <si>
    <t>90_2</t>
  </si>
  <si>
    <t xml:space="preserve">El FORMULARIO actual es: </t>
  </si>
  <si>
    <t>Selecciona el Tipo del que quieres recuperar las fórmulas de DATOS VARIABLES:</t>
  </si>
  <si>
    <t>The current FORM is:</t>
  </si>
  <si>
    <t>Select the Type from which you want to retrieve the VARIABLE DATA formulas:</t>
  </si>
  <si>
    <t>Das aktuelle FORMULAR ist:</t>
  </si>
  <si>
    <t>Wählen Sie den Typ aus, von dem Sie die VARIABLE DATA-Formeln abrufen möchten:</t>
  </si>
  <si>
    <t>Il FORM attuale è:</t>
  </si>
  <si>
    <t>Selezionare il Tipo da cui si vogliono recuperare le formule DATI VARIABILI:</t>
  </si>
  <si>
    <t>O FORM atual é:</t>
  </si>
  <si>
    <t>Selecione o tipo do qual deseja recuperar as fórmulas de DADOS VARIÁVEIS:</t>
  </si>
  <si>
    <t xml:space="preserve">Sélectionner une option:
[1] EXPORTATION questions :
Les questions de type CHOIX MULTIPLE 1R seront exportées pour être utilisées dans le JEU.
N'OUBLIEZ PAS: Si vous avez des questions de différents niveaux de difficulté (jusqu'à 2), vous devez modifier le code dans le fichier créé.
[2] VOIR les liens:
Des liens pour télécharger et apprendre à utiliser l'application sont affichés.
[3] CRÉER un code :
Le CODE sera généré pour donner accès aux questions.
[4] SUPPRIMER le code :
Le CODE sera effacé pour supprimer l'accès aux questions.
[5] SORTIE :
Vous quittez l'option EXPORTER vers JEU.
</t>
  </si>
  <si>
    <t>Le code pour utiliser les questions dans le jeu est:</t>
  </si>
  <si>
    <t>Écrivez le NOM avec lequel vous voulez ENREGISTRER les formules.
Les noms qui s'y trouvent déjà sont:</t>
  </si>
  <si>
    <t>Écrivez le NUMÉRO de l'option que vous souhaitez récupérer.
(toute autre valeur à EXIT)
Les options possibles sont:</t>
  </si>
  <si>
    <t>Écrivez le NUMÉRO de l'option que vous souhaitez SUPPRIMER.
(toute autre valeur à EXIT)
Les possibles sont:</t>
  </si>
  <si>
    <t>Ils ont été sauvés:</t>
  </si>
  <si>
    <t>La FORMULE actuelle est:</t>
  </si>
  <si>
    <t>Sélectionnez le Type à partir duquel vous souhaitez récupérer les formules VARIABLE DATA:</t>
  </si>
  <si>
    <t>Has seleccionado ir a FORMULARIO Tipo:</t>
  </si>
  <si>
    <t>You have selected to go to FORM Type:</t>
  </si>
  <si>
    <t>Vous avez choisi d'accéder au FORMULAIRE de type:</t>
  </si>
  <si>
    <t>Você optou por ir para o Tipo de FORMULÁRIO:</t>
  </si>
  <si>
    <t>Hai scelto di andare a MODULO Tipo:</t>
  </si>
  <si>
    <t>Sie haben gewählt, um zum FORM-Typ zu gehen:</t>
  </si>
  <si>
    <t>Ç</t>
  </si>
  <si>
    <t>ARCHIVOS FORMULAS</t>
  </si>
  <si>
    <t>FORMULAS FILES</t>
  </si>
  <si>
    <t>FICHIERS FORMULES</t>
  </si>
  <si>
    <t>ARQUIVOS FÒRMULAS</t>
  </si>
  <si>
    <t>FORMULES FILES</t>
  </si>
  <si>
    <t xml:space="preserve">FORMELN DATEIEN </t>
  </si>
  <si>
    <t>35_2</t>
  </si>
  <si>
    <t>V - 5.0  - 29/11/2021</t>
  </si>
  <si>
    <t>Escribe el NÚMERO de la opción que quieres realizar: 
1. GUARDAR Fórmulas
2. RECUPERAR Fórmulas FORMULARIO
3. RECUPERAR Fórmulas de VARIABLES
4. BORRAR Fórmulas 
5. EXPORTAR Fórmulas 
6. IMPORTAR Fórmulas 
(cualquier otro valor para SALIR)</t>
  </si>
  <si>
    <t>Write the NUMBER of the option you want to make:
1. SAVE Formulas
2. RECOVER Formulas FORM
3. RECOVER Formulas VARIABLES
4. DELETE Formulas
5. EXPORT Formulas
6. IMPORT Formulas
(any other value to EXIT)</t>
  </si>
  <si>
    <t>Schreiben Sie die NUMMER der Option, die Sie vornehmen möchten:
1. Formeln speichern
2. Formeln wiederherstellen BILDEN
3. Formeln wiederherstellen VARIABLEN
4. Formeln LÖSCHEN
5. Formeln EXPORTIEREN
6. Formeln IMPORTIEREN
(beliebiger anderer Wert zum BEENDEN)</t>
  </si>
  <si>
    <t>Écrivez le NUMÉRO de l'option que vous souhaitez faire :
1. ENREGISTRER les formules
2. RECUPERER les formules FORME
3. RECUPERER les formules VARIABLES
4. SUPPRIMER les formules
5. Formules d'EXPORTATION
6. Formules d'IMPORTATION
(toute autre valeur pour SORTIR)</t>
  </si>
  <si>
    <t>Escreva o NÚMERO da opção que deseja fazer:
1. SALVAR Fórmulas
2. RECUPERAR Fórmulas FORMATO
3. RECUPERAR Fórmulas VARIÁVEIS
4. DELETE Fórmulas
5. EXPORTAR Fórmulas
6. IMPORTAR Fórmulas
(qualquer outro valor para SAIR)</t>
  </si>
  <si>
    <t>Scrivi il NUMERO dell'opzione che vuoi fare:
1. SALVA Formule
2. RECUPERA Formule MODULO
3. RECUPERA Formule VARIABILI
4. ELIMINA formule
5. Formule di ESPORTAZIONE
6. Formule di IMPORTAZIONE
(qualsiasi altro valore per USCIRE)</t>
  </si>
  <si>
    <t xml:space="preserve">Si quieres usar los CÓDIGOS ESPECIALES: pulsa encima del que te interesa y aparece un mensaje. Copialo y pegalo en la celda que desees.
Puedes insertar: 
   - FÓRMULAS:                    \(    \)  ;  $$\     $$ 
   - SUPERÍNDICES:               ^{^ 2 ^}^
   - SUBÍNDICES:                    _{_ 2 _}_
   - SALTO DE LÍNEA:             &lt;br&gt;   ó    &lt;/p&gt;
   - CONCATENAR CELDAS:      "&amp;"  
   - NEGRITA:                          _N{   }
   - ROJO:                               _R{   }
   - AZUL:                                _A{   }
   - ESPACIOS (+1):                Color fondo Moodle: #def2f8
</t>
  </si>
  <si>
    <t xml:space="preserve">Si vous souhaitez utiliser les CODES SPÉCIAUX: cliquez sur celui que vous intéresse, un message apparaîtra. Vous pouvez le copier-coller dans la cellule cible.
Vous pouvez insérer:
    - FORMULES:                      \(    \)  ;  $$\     $$ 
    - SUPERINDICES:               ^{^ 2 ^}^
    - SOUS-INDICES:              _{_  2  _}_
    - SAUTER LA LIGNE:        &lt;br&gt;   
    - CONCATENER LES CELLULES: "&amp;"
    - GRAS:                            _N{   }
    - ESPACES (+1): Couleur de la police Moodle: # def2f8
</t>
  </si>
  <si>
    <t xml:space="preserve">Se desejar utilizar os CÓDIGOS ESPECIAIS, clicando em cada um, aparecerá uma mensagem para que você possa copiar e colar na célula desejada.
Você pode inserir:
    - FÓRMULAS:                 \(    \)  ;  $$\     $$ 
    - SUPERÍDICOS:              ^{^ 2 ^}^
    - SUB-ÍNDICES:               _{_  2 _}_
    - PULAR LINHA:                 &lt;/p&gt;
    - CÉLULAS CONCATENADAS: "&amp;"
    - NEGRITO:                           _N{  }
    - ESPAÇOS (+1): Cor da fonte Moodle: # def2f8
</t>
  </si>
  <si>
    <t xml:space="preserve">Se vuoi utilizzare i CODICI SPECIALI, cliccando su ognuno compare un messaggio in modo che tu possa copiarlo e incollarlo nella cella che desideri.
Puoi inserire:
    - FORMULE:                            \(    \)  ;  $$\     $$ 
    - SUPERINDICI:                       ^{^ 2 ^}^
    - SOTTOINDICI:                      _{_  2  _}_ 
    - SALTA LINEA:                         &lt;/p&gt;
    - CELLULE CONCATENATE:    "&amp;"
    - GRASSETTO:                           _N{ }
    - SPAZI (+1): Colore carattere Moodle: # def2f8
</t>
  </si>
  <si>
    <t xml:space="preserve">Wenn Sie die SPEZIALCODES verwenden möchten, wird durch Klicken auf die einzelnen Codes eine Meldung angezeigt, damit Sie sie kopieren und in die gewünschte Zelle einfügen können.
Sie können einfügen:
   - FORMELN:                              $$ \ $$
   - SUPERINDICES:                    ^{^ 2 ^}^
   - UNTERINDIZES:                    _{_  2  _}_
   - SKIP LINE:                                  &lt;br&gt;   ó   &lt;/p&gt;
   - KONZATENZELLEN:               "" &amp; ""
   - BOLD:                                       _N{   }
   - SPACES (+1): Moodle-Hintergrundfarbe: # def2f8
</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</si>
</sst>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mc:Ignorable="x14ac x16r2">
  <numFmts count="6">
    <numFmt numFmtId="164" formatCode="00"/>
    <numFmt numFmtId="165" formatCode="@\:\ "/>
    <numFmt numFmtId="166" formatCode="@\:"/>
    <numFmt numFmtId="167" formatCode="0.00000"/>
    <numFmt numFmtId="168" formatCode="0.0000"/>
    <numFmt numFmtId="170" formatCode="&quot;N. Form:&quot;\ 0"/>
  </numFmts>
  <fonts count="63" x14ac:knownFonts="1">
    <font>
      <sz val="11"/>
      <color theme="1"/>
      <name val="Calibri"/>
      <family val="2"/>
      <scheme val="minor"/>
    </font>
    <font>
      <u/>
      <sz val="11"/>
      <color theme="10"/>
      <name val="Calibri"/>
      <family val="2"/>
      <scheme val="minor"/>
    </font>
    <font>
      <b/>
      <sz val="11"/>
      <color rgb="FF005877"/>
      <name val="Calibri"/>
      <family val="2"/>
      <scheme val="minor"/>
    </font>
    <font>
      <b/>
      <u/>
      <sz val="11"/>
      <color rgb="FFFF0000"/>
      <name val="Calibri"/>
      <family val="2"/>
      <scheme val="minor"/>
    </font>
    <font>
      <b/>
      <sz val="11"/>
      <color theme="0"/>
      <name val="Calibri"/>
      <family val="2"/>
      <scheme val="minor"/>
    </font>
    <font>
      <b/>
      <sz val="11"/>
      <color theme="1"/>
      <name val="Calibri"/>
      <family val="2"/>
      <scheme val="minor"/>
    </font>
    <font>
      <sz val="11"/>
      <color theme="0"/>
      <name val="Calibri"/>
      <family val="2"/>
      <scheme val="minor"/>
    </font>
    <font>
      <sz val="11"/>
      <name val="Calibri"/>
      <family val="2"/>
      <scheme val="minor"/>
    </font>
    <font>
      <b/>
      <sz val="11"/>
      <name val="Calibri"/>
      <family val="2"/>
      <scheme val="minor"/>
    </font>
    <font>
      <sz val="11"/>
      <color rgb="FF005877"/>
      <name val="Calibri"/>
      <family val="2"/>
      <scheme val="minor"/>
    </font>
    <font>
      <b/>
      <sz val="10"/>
      <color rgb="FF005877"/>
      <name val="Calibri"/>
      <family val="2"/>
      <scheme val="minor"/>
    </font>
    <font>
      <b/>
      <sz val="11"/>
      <color rgb="FFFF0000"/>
      <name val="Calibri"/>
      <family val="2"/>
      <scheme val="minor"/>
    </font>
    <font>
      <b/>
      <sz val="11"/>
      <color theme="9" tint="0.59999389629810485"/>
      <name val="Calibri"/>
      <family val="2"/>
      <scheme val="minor"/>
    </font>
    <font>
      <sz val="10"/>
      <color theme="1"/>
      <name val="Calibri"/>
      <family val="2"/>
      <scheme val="minor"/>
    </font>
    <font>
      <sz val="11"/>
      <color theme="9" tint="0.59999389629810485"/>
      <name val="Calibri"/>
      <family val="2"/>
      <scheme val="minor"/>
    </font>
    <font>
      <b/>
      <sz val="9"/>
      <color rgb="FF005877"/>
      <name val="Calibri"/>
      <family val="2"/>
      <scheme val="minor"/>
    </font>
    <font>
      <u/>
      <sz val="11"/>
      <name val="Calibri"/>
      <family val="2"/>
      <scheme val="minor"/>
    </font>
    <font>
      <b/>
      <sz val="9"/>
      <color theme="0"/>
      <name val="Calibri"/>
      <family val="2"/>
      <scheme val="minor"/>
    </font>
    <font>
      <b/>
      <u/>
      <sz val="11"/>
      <color rgb="FFE87B00"/>
      <name val="Calibri"/>
      <family val="2"/>
      <scheme val="minor"/>
    </font>
    <font>
      <b/>
      <u/>
      <sz val="11"/>
      <color rgb="FF005877"/>
      <name val="Calibri"/>
      <family val="2"/>
      <scheme val="minor"/>
    </font>
    <font>
      <b/>
      <sz val="10"/>
      <color theme="0"/>
      <name val="Calibri"/>
      <family val="2"/>
      <scheme val="minor"/>
    </font>
    <font>
      <b/>
      <sz val="8"/>
      <color rgb="FF005877"/>
      <name val="Calibri"/>
      <family val="2"/>
      <scheme val="minor"/>
    </font>
    <font>
      <b/>
      <u/>
      <sz val="22"/>
      <color theme="0"/>
      <name val="Calibri"/>
      <family val="2"/>
      <scheme val="minor"/>
    </font>
    <font>
      <sz val="11"/>
      <color theme="0" tint="-0.14999847407452621"/>
      <name val="Calibri"/>
      <family val="2"/>
      <scheme val="minor"/>
    </font>
    <font>
      <u/>
      <sz val="11"/>
      <color rgb="FFE87B00"/>
      <name val="Calibri"/>
      <family val="2"/>
      <scheme val="minor"/>
    </font>
    <font>
      <b/>
      <sz val="11"/>
      <color theme="0" tint="-0.14999847407452621"/>
      <name val="Calibri"/>
      <family val="2"/>
      <scheme val="minor"/>
    </font>
    <font>
      <b/>
      <sz val="9"/>
      <color rgb="FFFF0000"/>
      <name val="Calibri"/>
      <family val="2"/>
      <scheme val="minor"/>
    </font>
    <font>
      <b/>
      <sz val="11"/>
      <color indexed="21"/>
      <name val="Calibri"/>
      <family val="2"/>
      <scheme val="minor"/>
    </font>
    <font>
      <b/>
      <sz val="8"/>
      <color theme="0"/>
      <name val="Calibri"/>
      <family val="2"/>
      <scheme val="minor"/>
    </font>
    <font>
      <sz val="9"/>
      <color theme="0"/>
      <name val="Calibri"/>
      <family val="2"/>
      <scheme val="minor"/>
    </font>
    <font>
      <sz val="9"/>
      <color rgb="FF005877"/>
      <name val="Calibri"/>
      <family val="2"/>
      <scheme val="minor"/>
    </font>
    <font>
      <b/>
      <sz val="11"/>
      <color theme="0" tint="-4.9989318521683403E-2"/>
      <name val="Calibri"/>
      <family val="2"/>
      <scheme val="minor"/>
    </font>
    <font>
      <sz val="8"/>
      <color theme="0" tint="-0.14999847407452621"/>
      <name val="Calibri"/>
      <family val="2"/>
      <scheme val="minor"/>
    </font>
    <font>
      <b/>
      <sz val="12"/>
      <color theme="0"/>
      <name val="Calibri"/>
      <family val="2"/>
      <scheme val="minor"/>
    </font>
    <font>
      <b/>
      <sz val="8"/>
      <color rgb="FFE87B00"/>
      <name val="Calibri"/>
      <family val="2"/>
      <scheme val="minor"/>
    </font>
    <font>
      <b/>
      <sz val="8"/>
      <color rgb="FFFF0000"/>
      <name val="Calibri"/>
      <family val="2"/>
      <scheme val="minor"/>
    </font>
    <font>
      <sz val="12"/>
      <color theme="1"/>
      <name val="Calibri"/>
      <family val="2"/>
      <scheme val="minor"/>
    </font>
    <font>
      <b/>
      <sz val="14"/>
      <color theme="0"/>
      <name val="Calibri"/>
      <family val="2"/>
      <scheme val="minor"/>
    </font>
    <font>
      <sz val="11"/>
      <color rgb="FFFF0000"/>
      <name val="Calibri"/>
      <family val="2"/>
      <scheme val="minor"/>
    </font>
    <font>
      <b/>
      <sz val="22"/>
      <color theme="0"/>
      <name val="Calibri"/>
      <family val="2"/>
      <scheme val="minor"/>
    </font>
    <font>
      <b/>
      <sz val="18"/>
      <color theme="0"/>
      <name val="Calibri"/>
      <family val="2"/>
      <scheme val="minor"/>
    </font>
    <font>
      <b/>
      <sz val="24"/>
      <color theme="0"/>
      <name val="Calibri"/>
      <family val="2"/>
      <scheme val="minor"/>
    </font>
    <font>
      <b/>
      <sz val="11"/>
      <color rgb="FFE87B00"/>
      <name val="Calibri"/>
      <family val="2"/>
      <scheme val="minor"/>
    </font>
    <font>
      <b/>
      <sz val="36"/>
      <color theme="0"/>
      <name val="Calibri"/>
      <family val="2"/>
      <scheme val="minor"/>
    </font>
    <font>
      <b/>
      <sz val="9"/>
      <color theme="0" tint="-0.14999847407452621"/>
      <name val="Calibri"/>
      <family val="2"/>
      <scheme val="minor"/>
    </font>
    <font>
      <sz val="8"/>
      <color theme="0"/>
      <name val="Calibri"/>
      <family val="2"/>
      <scheme val="minor"/>
    </font>
    <font>
      <b/>
      <sz val="7"/>
      <color rgb="FFFF0000"/>
      <name val="Calibri"/>
      <family val="2"/>
      <scheme val="minor"/>
    </font>
    <font>
      <strike/>
      <sz val="11"/>
      <color rgb="FFFF0000"/>
      <name val="Calibri"/>
      <family val="2"/>
      <scheme val="minor"/>
    </font>
    <font>
      <sz val="11"/>
      <color theme="0" tint="-0.499984740745262"/>
      <name val="Calibri"/>
      <family val="2"/>
      <scheme val="minor"/>
    </font>
    <font>
      <b/>
      <sz val="8"/>
      <color theme="0" tint="-0.14999847407452621"/>
      <name val="Calibri"/>
      <family val="2"/>
      <scheme val="minor"/>
    </font>
    <font>
      <b/>
      <u/>
      <sz val="8"/>
      <color rgb="FFFF0000"/>
      <name val="Calibri"/>
      <family val="2"/>
      <scheme val="minor"/>
    </font>
    <font>
      <b/>
      <sz val="7"/>
      <color theme="0"/>
      <name val="Calibri"/>
      <family val="2"/>
      <scheme val="minor"/>
    </font>
    <font>
      <b/>
      <sz val="6"/>
      <color rgb="FF005877"/>
      <name val="Calibri"/>
      <family val="2"/>
      <scheme val="minor"/>
    </font>
    <font>
      <sz val="9"/>
      <color theme="1"/>
      <name val="Calibri"/>
      <family val="2"/>
      <scheme val="minor"/>
    </font>
    <font>
      <sz val="8"/>
      <color rgb="FF005877"/>
      <name val="Calibri"/>
      <family val="2"/>
      <scheme val="minor"/>
    </font>
    <font>
      <b/>
      <sz val="11"/>
      <color rgb="FFFFFFFF"/>
      <name val="Calibri"/>
      <family val="2"/>
      <scheme val="minor"/>
    </font>
    <font>
      <b/>
      <sz val="9"/>
      <color rgb="FF005877"/>
      <name val="Calibri"/>
      <scheme val="minor"/>
    </font>
    <font>
      <b/>
      <sz val="9"/>
      <color theme="0"/>
      <name val="Calibri"/>
      <scheme val="minor"/>
    </font>
    <font>
      <sz val="9"/>
      <color rgb="FF005877"/>
      <name val="Calibri"/>
      <scheme val="minor"/>
    </font>
    <font>
      <sz val="9"/>
      <color theme="0"/>
      <name val="Calibri"/>
      <scheme val="minor"/>
    </font>
    <font>
      <b/>
      <sz val="11"/>
      <color rgb="FF005877"/>
      <name val="Calibri"/>
      <scheme val="minor"/>
    </font>
    <font>
      <b/>
      <sz val="11"/>
      <color theme="0"/>
      <name val="Calibri"/>
      <scheme val="minor"/>
    </font>
    <font>
      <sz val="11"/>
      <color rgb="FF005877"/>
      <name val="Calibri"/>
      <scheme val="minor"/>
    </font>
  </fonts>
  <fills count="26">
    <fill>
      <patternFill patternType="none"/>
    </fill>
    <fill>
      <patternFill patternType="gray125"/>
    </fill>
    <fill>
      <patternFill patternType="solid">
        <fgColor rgb="FFE87B00"/>
        <bgColor indexed="64"/>
      </patternFill>
    </fill>
    <fill>
      <patternFill patternType="solid">
        <fgColor theme="0"/>
        <bgColor indexed="64"/>
      </patternFill>
    </fill>
    <fill>
      <patternFill patternType="solid">
        <fgColor rgb="FFFFFF00"/>
        <bgColor indexed="64"/>
      </patternFill>
    </fill>
    <fill>
      <patternFill patternType="solid">
        <fgColor rgb="FF005877"/>
        <bgColor indexed="64"/>
      </patternFill>
    </fill>
    <fill>
      <patternFill patternType="solid">
        <fgColor rgb="FFFFC000"/>
        <bgColor indexed="64"/>
      </patternFill>
    </fill>
    <fill>
      <patternFill patternType="solid">
        <fgColor theme="4" tint="0.59999389629810485"/>
        <bgColor indexed="64"/>
      </patternFill>
    </fill>
    <fill>
      <patternFill patternType="solid">
        <fgColor theme="7" tint="0.39997558519241921"/>
        <bgColor indexed="64"/>
      </patternFill>
    </fill>
    <fill>
      <patternFill patternType="solid">
        <fgColor theme="7" tint="0.59999389629810485"/>
        <bgColor indexed="64"/>
      </patternFill>
    </fill>
    <fill>
      <patternFill patternType="solid">
        <fgColor theme="5" tint="0.39997558519241921"/>
        <bgColor indexed="64"/>
      </patternFill>
    </fill>
    <fill>
      <patternFill patternType="solid">
        <fgColor theme="5" tint="0.59999389629810485"/>
        <bgColor indexed="64"/>
      </patternFill>
    </fill>
    <fill>
      <patternFill patternType="solid">
        <fgColor theme="5" tint="0.79998168889431442"/>
        <bgColor indexed="64"/>
      </patternFill>
    </fill>
    <fill>
      <patternFill patternType="solid">
        <fgColor theme="4" tint="-0.249977111117893"/>
        <bgColor indexed="64"/>
      </patternFill>
    </fill>
    <fill>
      <patternFill patternType="solid">
        <fgColor theme="4" tint="0.39997558519241921"/>
        <bgColor indexed="64"/>
      </patternFill>
    </fill>
    <fill>
      <patternFill patternType="solid">
        <fgColor theme="4" tint="0.79998168889431442"/>
        <bgColor indexed="64"/>
      </patternFill>
    </fill>
    <fill>
      <patternFill patternType="solid">
        <fgColor theme="0" tint="-0.249977111117893"/>
        <bgColor indexed="64"/>
      </patternFill>
    </fill>
    <fill>
      <patternFill patternType="solid">
        <fgColor theme="0" tint="-0.14999847407452621"/>
        <bgColor indexed="64"/>
      </patternFill>
    </fill>
    <fill>
      <patternFill patternType="solid">
        <fgColor theme="0" tint="-4.9989318521683403E-2"/>
        <bgColor indexed="64"/>
      </patternFill>
    </fill>
    <fill>
      <patternFill patternType="solid">
        <fgColor theme="0" tint="-0.14999847407452621"/>
        <bgColor theme="0" tint="-0.14999847407452621"/>
      </patternFill>
    </fill>
    <fill>
      <patternFill patternType="solid">
        <fgColor theme="5"/>
        <bgColor rgb="FFE87B00"/>
      </patternFill>
    </fill>
    <fill>
      <patternFill patternType="solid">
        <fgColor theme="7"/>
        <bgColor indexed="64"/>
      </patternFill>
    </fill>
    <fill>
      <patternFill patternType="solid">
        <fgColor theme="7" tint="0.79998168889431442"/>
        <bgColor indexed="64"/>
      </patternFill>
    </fill>
    <fill>
      <patternFill patternType="solid">
        <fgColor rgb="FFFFFF00"/>
        <bgColor theme="0" tint="-0.14999847407452621"/>
      </patternFill>
    </fill>
    <fill>
      <patternFill patternType="solid">
        <fgColor rgb="FFED7D31"/>
        <bgColor indexed="64"/>
      </patternFill>
    </fill>
    <fill>
      <patternFill patternType="solid">
        <fgColor rgb="FFD9D9D9"/>
        <bgColor indexed="64"/>
      </patternFill>
    </fill>
  </fills>
  <borders count="70">
    <border>
      <left/>
      <right/>
      <top/>
      <bottom/>
      <diagonal/>
    </border>
    <border>
      <left style="thick">
        <color rgb="FF005877"/>
      </left>
      <right/>
      <top style="thick">
        <color rgb="FF005877"/>
      </top>
      <bottom/>
      <diagonal/>
    </border>
    <border>
      <left/>
      <right/>
      <top style="thick">
        <color rgb="FF005877"/>
      </top>
      <bottom/>
      <diagonal/>
    </border>
    <border>
      <left/>
      <right style="thick">
        <color rgb="FF005877"/>
      </right>
      <top style="thick">
        <color rgb="FF005877"/>
      </top>
      <bottom/>
      <diagonal/>
    </border>
    <border>
      <left style="thick">
        <color rgb="FF005877"/>
      </left>
      <right/>
      <top/>
      <bottom/>
      <diagonal/>
    </border>
    <border>
      <left/>
      <right style="thick">
        <color rgb="FF005877"/>
      </right>
      <top/>
      <bottom/>
      <diagonal/>
    </border>
    <border>
      <left style="thick">
        <color rgb="FF005877"/>
      </left>
      <right/>
      <top/>
      <bottom style="thick">
        <color rgb="FF005877"/>
      </bottom>
      <diagonal/>
    </border>
    <border>
      <left/>
      <right/>
      <top/>
      <bottom style="thick">
        <color rgb="FF005877"/>
      </bottom>
      <diagonal/>
    </border>
    <border>
      <left/>
      <right style="thick">
        <color rgb="FF005877"/>
      </right>
      <top/>
      <bottom style="thick">
        <color rgb="FF005877"/>
      </bottom>
      <diagonal/>
    </border>
    <border>
      <left style="medium">
        <color rgb="FF005877"/>
      </left>
      <right style="medium">
        <color rgb="FF005877"/>
      </right>
      <top/>
      <bottom style="medium">
        <color rgb="FF005877"/>
      </bottom>
      <diagonal/>
    </border>
    <border>
      <left style="medium">
        <color rgb="FF005877"/>
      </left>
      <right style="medium">
        <color rgb="FF005877"/>
      </right>
      <top/>
      <bottom/>
      <diagonal/>
    </border>
    <border>
      <left style="thin">
        <color indexed="64"/>
      </left>
      <right/>
      <top style="thin">
        <color indexed="64"/>
      </top>
      <bottom/>
      <diagonal/>
    </border>
    <border>
      <left/>
      <right style="thin">
        <color indexed="64"/>
      </right>
      <top style="thin">
        <color indexed="64"/>
      </top>
      <bottom/>
      <diagonal/>
    </border>
    <border>
      <left style="thin">
        <color indexed="64"/>
      </left>
      <right/>
      <top/>
      <bottom/>
      <diagonal/>
    </border>
    <border>
      <left/>
      <right style="thin">
        <color indexed="64"/>
      </right>
      <top/>
      <bottom/>
      <diagonal/>
    </border>
    <border>
      <left style="thin">
        <color indexed="64"/>
      </left>
      <right/>
      <top/>
      <bottom style="thin">
        <color indexed="64"/>
      </bottom>
      <diagonal/>
    </border>
    <border>
      <left/>
      <right style="thin">
        <color indexed="64"/>
      </right>
      <top/>
      <bottom style="thin">
        <color indexed="64"/>
      </bottom>
      <diagonal/>
    </border>
    <border>
      <left style="medium">
        <color rgb="FF005877"/>
      </left>
      <right/>
      <top style="medium">
        <color rgb="FF005877"/>
      </top>
      <bottom/>
      <diagonal/>
    </border>
    <border>
      <left style="medium">
        <color rgb="FF005877"/>
      </left>
      <right/>
      <top/>
      <bottom style="medium">
        <color rgb="FF005877"/>
      </bottom>
      <diagonal/>
    </border>
    <border>
      <left style="medium">
        <color rgb="FF005877"/>
      </left>
      <right/>
      <top/>
      <bottom/>
      <diagonal/>
    </border>
    <border>
      <left style="thin">
        <color indexed="64"/>
      </left>
      <right style="thin">
        <color indexed="64"/>
      </right>
      <top style="thin">
        <color indexed="64"/>
      </top>
      <bottom/>
      <diagonal/>
    </border>
    <border>
      <left style="thin">
        <color indexed="64"/>
      </left>
      <right style="thin">
        <color indexed="64"/>
      </right>
      <top/>
      <bottom/>
      <diagonal/>
    </border>
    <border>
      <left style="thin">
        <color indexed="64"/>
      </left>
      <right style="thin">
        <color indexed="64"/>
      </right>
      <top/>
      <bottom style="thin">
        <color indexed="64"/>
      </bottom>
      <diagonal/>
    </border>
    <border>
      <left/>
      <right/>
      <top style="medium">
        <color rgb="FF005877"/>
      </top>
      <bottom/>
      <diagonal/>
    </border>
    <border>
      <left/>
      <right style="medium">
        <color rgb="FF005877"/>
      </right>
      <top style="medium">
        <color rgb="FF005877"/>
      </top>
      <bottom/>
      <diagonal/>
    </border>
    <border>
      <left/>
      <right style="medium">
        <color rgb="FF005877"/>
      </right>
      <top/>
      <bottom/>
      <diagonal/>
    </border>
    <border>
      <left/>
      <right/>
      <top/>
      <bottom style="medium">
        <color rgb="FF005877"/>
      </bottom>
      <diagonal/>
    </border>
    <border>
      <left/>
      <right style="medium">
        <color rgb="FF005877"/>
      </right>
      <top/>
      <bottom style="medium">
        <color rgb="FF005877"/>
      </bottom>
      <diagonal/>
    </border>
    <border>
      <left style="medium">
        <color rgb="FF005877"/>
      </left>
      <right/>
      <top style="medium">
        <color rgb="FF005877"/>
      </top>
      <bottom style="medium">
        <color rgb="FF005877"/>
      </bottom>
      <diagonal/>
    </border>
    <border>
      <left/>
      <right/>
      <top style="medium">
        <color rgb="FF005877"/>
      </top>
      <bottom style="medium">
        <color rgb="FF005877"/>
      </bottom>
      <diagonal/>
    </border>
    <border>
      <left/>
      <right style="medium">
        <color rgb="FF005877"/>
      </right>
      <top style="medium">
        <color rgb="FF005877"/>
      </top>
      <bottom style="medium">
        <color rgb="FF005877"/>
      </bottom>
      <diagonal/>
    </border>
    <border>
      <left style="medium">
        <color rgb="FF005877"/>
      </left>
      <right style="medium">
        <color rgb="FF005877"/>
      </right>
      <top style="medium">
        <color rgb="FF005877"/>
      </top>
      <bottom/>
      <diagonal/>
    </border>
    <border>
      <left style="medium">
        <color rgb="FF005877"/>
      </left>
      <right/>
      <top style="thick">
        <color rgb="FF005877"/>
      </top>
      <bottom style="medium">
        <color rgb="FF005877"/>
      </bottom>
      <diagonal/>
    </border>
    <border>
      <left/>
      <right/>
      <top style="thick">
        <color rgb="FF005877"/>
      </top>
      <bottom style="medium">
        <color rgb="FF005877"/>
      </bottom>
      <diagonal/>
    </border>
    <border>
      <left/>
      <right style="medium">
        <color rgb="FF005877"/>
      </right>
      <top style="thick">
        <color rgb="FF005877"/>
      </top>
      <bottom style="medium">
        <color rgb="FF005877"/>
      </bottom>
      <diagonal/>
    </border>
    <border>
      <left style="thin">
        <color indexed="64"/>
      </left>
      <right style="medium">
        <color rgb="FF005877"/>
      </right>
      <top style="thick">
        <color rgb="FF005877"/>
      </top>
      <bottom style="medium">
        <color rgb="FF005877"/>
      </bottom>
      <diagonal/>
    </border>
    <border>
      <left style="medium">
        <color rgb="FF005877"/>
      </left>
      <right style="thick">
        <color rgb="FF005877"/>
      </right>
      <top/>
      <bottom/>
      <diagonal/>
    </border>
    <border>
      <left style="medium">
        <color rgb="FF005877"/>
      </left>
      <right style="thick">
        <color rgb="FF005877"/>
      </right>
      <top/>
      <bottom style="medium">
        <color rgb="FF005877"/>
      </bottom>
      <diagonal/>
    </border>
    <border>
      <left/>
      <right style="thick">
        <color rgb="FFE87B00"/>
      </right>
      <top/>
      <bottom/>
      <diagonal/>
    </border>
    <border>
      <left style="thick">
        <color rgb="FFE87B00"/>
      </left>
      <right style="thick">
        <color rgb="FFE87B00"/>
      </right>
      <top/>
      <bottom/>
      <diagonal/>
    </border>
    <border>
      <left style="thick">
        <color rgb="FFE87B00"/>
      </left>
      <right/>
      <top/>
      <bottom/>
      <diagonal/>
    </border>
    <border>
      <left style="medium">
        <color rgb="FF005877"/>
      </left>
      <right style="thick">
        <color rgb="FF005877"/>
      </right>
      <top style="medium">
        <color rgb="FF005877"/>
      </top>
      <bottom/>
      <diagonal/>
    </border>
    <border>
      <left style="thick">
        <color rgb="FF005877"/>
      </left>
      <right style="medium">
        <color rgb="FF005877"/>
      </right>
      <top style="medium">
        <color rgb="FF005877"/>
      </top>
      <bottom/>
      <diagonal/>
    </border>
    <border>
      <left style="thick">
        <color rgb="FF005877"/>
      </left>
      <right style="medium">
        <color rgb="FF005877"/>
      </right>
      <top/>
      <bottom/>
      <diagonal/>
    </border>
    <border>
      <left style="thick">
        <color rgb="FF005877"/>
      </left>
      <right style="medium">
        <color rgb="FF005877"/>
      </right>
      <top/>
      <bottom style="medium">
        <color rgb="FF005877"/>
      </bottom>
      <diagonal/>
    </border>
    <border>
      <left/>
      <right/>
      <top style="thin">
        <color indexed="64"/>
      </top>
      <bottom/>
      <diagonal/>
    </border>
    <border>
      <left/>
      <right/>
      <top/>
      <bottom style="thin">
        <color indexed="64"/>
      </bottom>
      <diagonal/>
    </border>
    <border>
      <left style="thick">
        <color theme="0" tint="-0.14996795556505021"/>
      </left>
      <right/>
      <top/>
      <bottom/>
      <diagonal/>
    </border>
    <border>
      <left style="thick">
        <color theme="0"/>
      </left>
      <right style="thick">
        <color theme="0"/>
      </right>
      <top/>
      <bottom/>
      <diagonal/>
    </border>
    <border>
      <left/>
      <right/>
      <top style="thick">
        <color theme="0" tint="-0.14996795556505021"/>
      </top>
      <bottom/>
      <diagonal/>
    </border>
    <border>
      <left/>
      <right/>
      <top/>
      <bottom style="thick">
        <color theme="0" tint="-0.14996795556505021"/>
      </bottom>
      <diagonal/>
    </border>
    <border>
      <left style="double">
        <color rgb="FF005877"/>
      </left>
      <right/>
      <top style="double">
        <color rgb="FF005877"/>
      </top>
      <bottom/>
      <diagonal/>
    </border>
    <border>
      <left/>
      <right/>
      <top style="double">
        <color rgb="FF005877"/>
      </top>
      <bottom/>
      <diagonal/>
    </border>
    <border>
      <left/>
      <right style="double">
        <color rgb="FF005877"/>
      </right>
      <top style="double">
        <color rgb="FF005877"/>
      </top>
      <bottom/>
      <diagonal/>
    </border>
    <border>
      <left style="double">
        <color rgb="FF005877"/>
      </left>
      <right/>
      <top/>
      <bottom/>
      <diagonal/>
    </border>
    <border>
      <left/>
      <right style="double">
        <color rgb="FF005877"/>
      </right>
      <top/>
      <bottom/>
      <diagonal/>
    </border>
    <border>
      <left style="double">
        <color rgb="FF005877"/>
      </left>
      <right/>
      <top/>
      <bottom style="double">
        <color rgb="FF005877"/>
      </bottom>
      <diagonal/>
    </border>
    <border>
      <left/>
      <right/>
      <top/>
      <bottom style="double">
        <color rgb="FF005877"/>
      </bottom>
      <diagonal/>
    </border>
    <border>
      <left/>
      <right style="double">
        <color rgb="FF005877"/>
      </right>
      <top/>
      <bottom style="double">
        <color rgb="FF005877"/>
      </bottom>
      <diagonal/>
    </border>
    <border>
      <left style="double">
        <color rgb="FF005877"/>
      </left>
      <right/>
      <top style="double">
        <color rgb="FF005877"/>
      </top>
      <bottom style="double">
        <color rgb="FF005877"/>
      </bottom>
      <diagonal/>
    </border>
    <border>
      <left/>
      <right/>
      <top style="double">
        <color rgb="FF005877"/>
      </top>
      <bottom style="double">
        <color rgb="FF005877"/>
      </bottom>
      <diagonal/>
    </border>
    <border>
      <left/>
      <right style="double">
        <color rgb="FF005877"/>
      </right>
      <top style="double">
        <color rgb="FF005877"/>
      </top>
      <bottom style="double">
        <color rgb="FF005877"/>
      </bottom>
      <diagonal/>
    </border>
    <border>
      <left/>
      <right style="thick">
        <color theme="0" tint="-0.14996795556505021"/>
      </right>
      <top/>
      <bottom/>
      <diagonal/>
    </border>
    <border>
      <left style="medium">
        <color rgb="FFE87B00"/>
      </left>
      <right style="medium">
        <color rgb="FFE87B00"/>
      </right>
      <top/>
      <bottom/>
      <diagonal/>
    </border>
    <border>
      <left style="thin">
        <color indexed="64"/>
      </left>
      <right style="thin">
        <color indexed="64"/>
      </right>
      <top style="thin">
        <color indexed="64"/>
      </top>
      <bottom style="thin">
        <color indexed="64"/>
      </bottom>
      <diagonal/>
    </border>
    <border>
      <left style="medium">
        <color theme="0"/>
      </left>
      <right style="medium">
        <color theme="0"/>
      </right>
      <top style="medium">
        <color theme="0"/>
      </top>
      <bottom style="medium">
        <color theme="0"/>
      </bottom>
      <diagonal/>
    </border>
    <border>
      <left style="medium">
        <color rgb="FFE87B00"/>
      </left>
      <right style="medium">
        <color rgb="FFE87B00"/>
      </right>
      <top/>
      <bottom style="medium">
        <color rgb="FFE87B00"/>
      </bottom>
      <diagonal/>
    </border>
    <border>
      <left style="thick">
        <color rgb="FFE87B00"/>
      </left>
      <right/>
      <top style="thick">
        <color rgb="FFE87B00"/>
      </top>
      <bottom style="thick">
        <color rgb="FFE87B00"/>
      </bottom>
      <diagonal/>
    </border>
    <border>
      <left/>
      <right/>
      <top style="thick">
        <color rgb="FFE87B00"/>
      </top>
      <bottom style="thick">
        <color rgb="FFE87B00"/>
      </bottom>
      <diagonal/>
    </border>
    <border>
      <left/>
      <right style="thick">
        <color rgb="FFE87B00"/>
      </right>
      <top style="thick">
        <color rgb="FFE87B00"/>
      </top>
      <bottom style="thick">
        <color rgb="FFE87B00"/>
      </bottom>
      <diagonal/>
    </border>
  </borders>
  <cellStyleXfs count="2">
    <xf numFmtId="0" fontId="0" fillId="0" borderId="0"/>
    <xf numFmtId="0" fontId="1" fillId="0" borderId="0" applyNumberFormat="0" applyFill="0" applyBorder="0" applyAlignment="0" applyProtection="0"/>
  </cellStyleXfs>
  <cellXfs count="914">
    <xf numFmtId="0" fontId="0" fillId="0" borderId="0" xfId="0"/>
    <xf numFmtId="0" fontId="5" fillId="0" borderId="0" xfId="0" applyFont="1" applyAlignment="1" applyProtection="1">
      <alignment horizontal="center" vertical="center" shrinkToFit="1"/>
      <protection locked="0"/>
    </xf>
    <xf numFmtId="0" fontId="0" fillId="3" borderId="9" xfId="0" applyFill="1" applyBorder="1" applyAlignment="1">
      <alignment shrinkToFit="1"/>
    </xf>
    <xf numFmtId="0" fontId="0" fillId="3" borderId="0" xfId="0" applyFill="1" applyProtection="1"/>
    <xf numFmtId="0" fontId="0" fillId="3" borderId="0" xfId="0" applyFill="1"/>
    <xf numFmtId="0" fontId="11" fillId="3" borderId="0" xfId="0" applyFont="1" applyFill="1" applyAlignment="1" applyProtection="1">
      <alignment horizontal="right"/>
    </xf>
    <xf numFmtId="0" fontId="0" fillId="3" borderId="0" xfId="0" applyFill="1" applyBorder="1" applyProtection="1"/>
    <xf numFmtId="0" fontId="0" fillId="0" borderId="0" xfId="0" applyFont="1" applyFill="1" applyBorder="1" applyAlignment="1" applyProtection="1">
      <alignment horizontal="right" vertical="center"/>
    </xf>
    <xf numFmtId="0" fontId="0" fillId="0" borderId="0" xfId="0" applyFont="1" applyBorder="1" applyAlignment="1" applyProtection="1">
      <alignment horizontal="center" vertical="center"/>
    </xf>
    <xf numFmtId="0" fontId="7" fillId="3" borderId="0" xfId="0" applyFont="1" applyFill="1" applyBorder="1" applyAlignment="1" applyProtection="1">
      <alignment shrinkToFit="1"/>
    </xf>
    <xf numFmtId="0" fontId="0" fillId="3" borderId="0" xfId="0" applyFill="1" applyBorder="1" applyAlignment="1" applyProtection="1">
      <alignment horizontal="center" vertical="center"/>
    </xf>
    <xf numFmtId="0" fontId="0" fillId="0" borderId="0" xfId="0" applyBorder="1"/>
    <xf numFmtId="0" fontId="0" fillId="0" borderId="0" xfId="0" applyBorder="1" applyProtection="1"/>
    <xf numFmtId="0" fontId="0" fillId="0" borderId="0" xfId="0" applyBorder="1" applyAlignment="1" applyProtection="1"/>
    <xf numFmtId="0" fontId="0" fillId="0" borderId="0" xfId="0" applyBorder="1" applyAlignment="1"/>
    <xf numFmtId="0" fontId="13" fillId="0" borderId="0" xfId="0" applyFont="1" applyBorder="1"/>
    <xf numFmtId="0" fontId="2" fillId="16" borderId="0" xfId="0" applyFont="1" applyFill="1" applyBorder="1" applyAlignment="1">
      <alignment horizontal="center" vertical="center" shrinkToFit="1"/>
    </xf>
    <xf numFmtId="0" fontId="0" fillId="3" borderId="0" xfId="0" applyFill="1" applyAlignment="1">
      <alignment shrinkToFit="1"/>
    </xf>
    <xf numFmtId="0" fontId="0" fillId="3" borderId="0" xfId="0" applyFill="1" applyAlignment="1" applyProtection="1">
      <alignment horizontal="center" vertical="center"/>
    </xf>
    <xf numFmtId="0" fontId="2" fillId="0" borderId="10" xfId="0" applyFont="1" applyFill="1" applyBorder="1" applyAlignment="1">
      <alignment horizontal="center" vertical="center"/>
    </xf>
    <xf numFmtId="0" fontId="0" fillId="3" borderId="10" xfId="0" applyFill="1" applyBorder="1" applyAlignment="1">
      <alignment horizontal="center" vertical="center" shrinkToFit="1"/>
    </xf>
    <xf numFmtId="0" fontId="0" fillId="0" borderId="0" xfId="0" applyProtection="1"/>
    <xf numFmtId="0" fontId="7" fillId="0" borderId="0" xfId="0" applyFont="1" applyAlignment="1" applyProtection="1">
      <alignment horizontal="left"/>
    </xf>
    <xf numFmtId="0" fontId="11" fillId="0" borderId="0" xfId="0" applyFont="1" applyAlignment="1" applyProtection="1">
      <alignment horizontal="left"/>
    </xf>
    <xf numFmtId="0" fontId="8" fillId="0" borderId="0" xfId="0" applyFont="1" applyAlignment="1" applyProtection="1">
      <alignment horizontal="left"/>
    </xf>
    <xf numFmtId="0" fontId="7" fillId="4" borderId="0" xfId="0" applyFont="1" applyFill="1" applyAlignment="1" applyProtection="1">
      <alignment horizontal="left"/>
    </xf>
    <xf numFmtId="3" fontId="8" fillId="0" borderId="0" xfId="0" quotePrefix="1" applyNumberFormat="1" applyFont="1" applyAlignment="1" applyProtection="1">
      <alignment horizontal="left"/>
    </xf>
    <xf numFmtId="0" fontId="8" fillId="0" borderId="0" xfId="0" quotePrefix="1" applyFont="1" applyAlignment="1" applyProtection="1">
      <alignment horizontal="left"/>
    </xf>
    <xf numFmtId="0" fontId="16" fillId="0" borderId="0" xfId="0" applyFont="1" applyAlignment="1" applyProtection="1">
      <alignment horizontal="left"/>
    </xf>
    <xf numFmtId="0" fontId="8" fillId="0" borderId="0" xfId="0" applyFont="1" applyAlignment="1" applyProtection="1">
      <alignment horizontal="left" vertical="center"/>
    </xf>
    <xf numFmtId="0" fontId="7" fillId="0" borderId="0" xfId="0" applyFont="1" applyAlignment="1" applyProtection="1">
      <alignment horizontal="left" vertical="center"/>
    </xf>
    <xf numFmtId="0" fontId="7" fillId="2" borderId="0" xfId="0" applyFont="1" applyFill="1" applyAlignment="1" applyProtection="1">
      <alignment horizontal="left"/>
    </xf>
    <xf numFmtId="0" fontId="7" fillId="4" borderId="0" xfId="0" applyFont="1" applyFill="1" applyAlignment="1" applyProtection="1">
      <alignment horizontal="left" vertical="center"/>
    </xf>
    <xf numFmtId="0" fontId="4" fillId="5" borderId="0" xfId="0" applyFont="1" applyFill="1" applyAlignment="1" applyProtection="1">
      <alignment horizontal="center" vertical="center"/>
    </xf>
    <xf numFmtId="0" fontId="11" fillId="0" borderId="0" xfId="0" applyFont="1" applyAlignment="1" applyProtection="1">
      <alignment horizontal="center" vertical="center"/>
    </xf>
    <xf numFmtId="0" fontId="5" fillId="0" borderId="0" xfId="0" applyFont="1" applyAlignment="1">
      <alignment horizontal="left" vertical="center"/>
    </xf>
    <xf numFmtId="0" fontId="0" fillId="4" borderId="0" xfId="0" applyFill="1" applyAlignment="1">
      <alignment horizontal="center" vertical="center"/>
    </xf>
    <xf numFmtId="0" fontId="0" fillId="0" borderId="0" xfId="0" applyAlignment="1">
      <alignment horizontal="left"/>
    </xf>
    <xf numFmtId="0" fontId="7" fillId="0" borderId="0" xfId="0" applyFont="1" applyFill="1" applyAlignment="1" applyProtection="1">
      <alignment horizontal="left"/>
    </xf>
    <xf numFmtId="0" fontId="2" fillId="16" borderId="0" xfId="0" applyFont="1" applyFill="1" applyBorder="1" applyAlignment="1" applyProtection="1">
      <alignment horizontal="center" vertical="center" shrinkToFit="1"/>
    </xf>
    <xf numFmtId="0" fontId="0" fillId="0" borderId="0" xfId="0" applyAlignment="1">
      <alignment horizontal="left" vertical="center"/>
    </xf>
    <xf numFmtId="0" fontId="5" fillId="0" borderId="0" xfId="0" applyFont="1" applyAlignment="1">
      <alignment horizontal="left"/>
    </xf>
    <xf numFmtId="0" fontId="0" fillId="0" borderId="0" xfId="0" applyAlignment="1">
      <alignment horizontal="right"/>
    </xf>
    <xf numFmtId="0" fontId="5" fillId="0" borderId="0" xfId="0" applyFont="1" applyAlignment="1">
      <alignment horizontal="center" vertical="center"/>
    </xf>
    <xf numFmtId="164" fontId="0" fillId="0" borderId="0" xfId="0" applyNumberFormat="1" applyAlignment="1">
      <alignment horizontal="right"/>
    </xf>
    <xf numFmtId="0" fontId="11" fillId="0" borderId="0" xfId="0" applyFont="1" applyAlignment="1">
      <alignment horizontal="left" vertical="center"/>
    </xf>
    <xf numFmtId="164" fontId="11" fillId="0" borderId="0" xfId="0" applyNumberFormat="1" applyFont="1" applyAlignment="1">
      <alignment horizontal="right"/>
    </xf>
    <xf numFmtId="0" fontId="0" fillId="0" borderId="0" xfId="0" applyBorder="1" applyAlignment="1" applyProtection="1">
      <alignment vertical="top"/>
    </xf>
    <xf numFmtId="0" fontId="0" fillId="3" borderId="0" xfId="0" applyFill="1" applyProtection="1">
      <protection locked="0"/>
    </xf>
    <xf numFmtId="0" fontId="0" fillId="17" borderId="4" xfId="0" applyFill="1" applyBorder="1"/>
    <xf numFmtId="0" fontId="0" fillId="17" borderId="0" xfId="0" applyFill="1" applyBorder="1"/>
    <xf numFmtId="0" fontId="0" fillId="17" borderId="5" xfId="0" applyFill="1" applyBorder="1"/>
    <xf numFmtId="0" fontId="1" fillId="17" borderId="0" xfId="1" applyFill="1" applyBorder="1" applyAlignment="1">
      <alignment vertical="center"/>
    </xf>
    <xf numFmtId="0" fontId="9" fillId="17" borderId="0" xfId="0" applyFont="1" applyFill="1" applyBorder="1" applyAlignment="1">
      <alignment vertical="top" wrapText="1"/>
    </xf>
    <xf numFmtId="0" fontId="0" fillId="17" borderId="7" xfId="0" applyFill="1" applyBorder="1"/>
    <xf numFmtId="0" fontId="0" fillId="17" borderId="4" xfId="0" applyFill="1" applyBorder="1" applyProtection="1"/>
    <xf numFmtId="0" fontId="0" fillId="17" borderId="0" xfId="0" applyFill="1" applyBorder="1" applyProtection="1"/>
    <xf numFmtId="0" fontId="9" fillId="17" borderId="0" xfId="0" applyFont="1" applyFill="1" applyBorder="1" applyAlignment="1" applyProtection="1">
      <alignment vertical="top" wrapText="1"/>
    </xf>
    <xf numFmtId="0" fontId="2" fillId="17" borderId="0" xfId="0" applyFont="1" applyFill="1" applyBorder="1" applyAlignment="1" applyProtection="1">
      <alignment vertical="center" wrapText="1"/>
    </xf>
    <xf numFmtId="0" fontId="0" fillId="17" borderId="7" xfId="0" applyFill="1" applyBorder="1" applyProtection="1"/>
    <xf numFmtId="0" fontId="14" fillId="17" borderId="4" xfId="0" applyFont="1" applyFill="1" applyBorder="1"/>
    <xf numFmtId="0" fontId="12" fillId="17" borderId="0" xfId="0" applyFont="1" applyFill="1" applyBorder="1" applyAlignment="1">
      <alignment horizontal="right" vertical="center"/>
    </xf>
    <xf numFmtId="0" fontId="14" fillId="17" borderId="0" xfId="0" applyFont="1" applyFill="1" applyBorder="1" applyAlignment="1">
      <alignment horizontal="center" vertical="center"/>
    </xf>
    <xf numFmtId="0" fontId="14" fillId="17" borderId="0" xfId="0" applyFont="1" applyFill="1" applyBorder="1" applyAlignment="1">
      <alignment vertical="center"/>
    </xf>
    <xf numFmtId="0" fontId="14" fillId="17" borderId="5" xfId="0" applyFont="1" applyFill="1" applyBorder="1" applyAlignment="1">
      <alignment vertical="center"/>
    </xf>
    <xf numFmtId="0" fontId="9" fillId="17" borderId="4" xfId="0" applyFont="1" applyFill="1" applyBorder="1"/>
    <xf numFmtId="0" fontId="2" fillId="17" borderId="0" xfId="0" applyFont="1" applyFill="1" applyBorder="1" applyAlignment="1">
      <alignment horizontal="right" vertical="center"/>
    </xf>
    <xf numFmtId="0" fontId="9" fillId="17" borderId="0" xfId="0" applyFont="1" applyFill="1" applyBorder="1" applyAlignment="1">
      <alignment vertical="center"/>
    </xf>
    <xf numFmtId="0" fontId="9" fillId="17" borderId="5" xfId="0" applyFont="1" applyFill="1" applyBorder="1" applyAlignment="1">
      <alignment vertical="center"/>
    </xf>
    <xf numFmtId="0" fontId="2" fillId="17" borderId="0" xfId="0" applyFont="1" applyFill="1" applyBorder="1" applyAlignment="1">
      <alignment vertical="center"/>
    </xf>
    <xf numFmtId="0" fontId="9" fillId="17" borderId="0" xfId="0" applyFont="1" applyFill="1" applyBorder="1" applyAlignment="1">
      <alignment horizontal="left" vertical="center" indent="1"/>
    </xf>
    <xf numFmtId="0" fontId="9" fillId="17" borderId="0" xfId="0" applyFont="1" applyFill="1" applyBorder="1" applyAlignment="1" applyProtection="1">
      <alignment horizontal="left" vertical="center" indent="1"/>
    </xf>
    <xf numFmtId="0" fontId="9" fillId="17" borderId="7" xfId="0" applyFont="1" applyFill="1" applyBorder="1" applyAlignment="1">
      <alignment vertical="center"/>
    </xf>
    <xf numFmtId="0" fontId="0" fillId="17" borderId="0" xfId="0" applyFill="1"/>
    <xf numFmtId="0" fontId="15" fillId="17" borderId="0" xfId="0" applyFont="1" applyFill="1" applyBorder="1" applyAlignment="1">
      <alignment horizontal="right" vertical="center"/>
    </xf>
    <xf numFmtId="0" fontId="23" fillId="17" borderId="4" xfId="0" applyFont="1" applyFill="1" applyBorder="1"/>
    <xf numFmtId="0" fontId="25" fillId="17" borderId="0" xfId="0" applyFont="1" applyFill="1" applyBorder="1" applyAlignment="1">
      <alignment vertical="center"/>
    </xf>
    <xf numFmtId="0" fontId="25" fillId="17" borderId="0" xfId="0" applyFont="1" applyFill="1" applyBorder="1" applyAlignment="1">
      <alignment horizontal="right" vertical="center"/>
    </xf>
    <xf numFmtId="0" fontId="23" fillId="17" borderId="0" xfId="0" applyFont="1" applyFill="1" applyBorder="1" applyAlignment="1">
      <alignment horizontal="center" vertical="center"/>
    </xf>
    <xf numFmtId="0" fontId="23" fillId="17" borderId="0" xfId="0" applyFont="1" applyFill="1" applyBorder="1" applyAlignment="1">
      <alignment vertical="center"/>
    </xf>
    <xf numFmtId="0" fontId="23" fillId="17" borderId="5" xfId="0" applyFont="1" applyFill="1" applyBorder="1" applyAlignment="1">
      <alignment vertical="center"/>
    </xf>
    <xf numFmtId="0" fontId="9" fillId="17" borderId="0" xfId="0" applyFont="1" applyFill="1" applyBorder="1" applyAlignment="1" applyProtection="1">
      <alignment vertical="center"/>
    </xf>
    <xf numFmtId="0" fontId="2" fillId="17" borderId="0" xfId="0" applyFont="1" applyFill="1" applyBorder="1" applyAlignment="1" applyProtection="1">
      <alignment horizontal="right" vertical="center"/>
    </xf>
    <xf numFmtId="0" fontId="12" fillId="17" borderId="0" xfId="0" applyFont="1" applyFill="1" applyBorder="1" applyAlignment="1" applyProtection="1">
      <alignment horizontal="right" vertical="center"/>
    </xf>
    <xf numFmtId="0" fontId="14" fillId="17" borderId="0" xfId="0" applyFont="1" applyFill="1" applyBorder="1" applyAlignment="1" applyProtection="1">
      <alignment horizontal="center" vertical="center"/>
    </xf>
    <xf numFmtId="0" fontId="14" fillId="17" borderId="0" xfId="0" applyFont="1" applyFill="1" applyBorder="1" applyAlignment="1" applyProtection="1">
      <alignment vertical="center"/>
    </xf>
    <xf numFmtId="0" fontId="0" fillId="17" borderId="0" xfId="0" applyFill="1" applyProtection="1"/>
    <xf numFmtId="0" fontId="15" fillId="17" borderId="0" xfId="0" applyFont="1" applyFill="1" applyBorder="1" applyAlignment="1" applyProtection="1">
      <alignment horizontal="right" vertical="center"/>
    </xf>
    <xf numFmtId="0" fontId="19" fillId="17" borderId="0" xfId="0" applyFont="1" applyFill="1" applyBorder="1" applyAlignment="1" applyProtection="1">
      <alignment horizontal="right"/>
    </xf>
    <xf numFmtId="0" fontId="14" fillId="17" borderId="0" xfId="0" applyFont="1" applyFill="1" applyBorder="1" applyAlignment="1" applyProtection="1">
      <alignment horizontal="left" vertical="center" indent="1"/>
    </xf>
    <xf numFmtId="0" fontId="18" fillId="17" borderId="0" xfId="0" applyFont="1" applyFill="1" applyBorder="1" applyAlignment="1" applyProtection="1">
      <alignment horizontal="right"/>
    </xf>
    <xf numFmtId="0" fontId="23" fillId="17" borderId="0" xfId="0" applyFont="1" applyFill="1" applyBorder="1" applyAlignment="1" applyProtection="1">
      <alignment horizontal="center" vertical="center"/>
    </xf>
    <xf numFmtId="0" fontId="2" fillId="17" borderId="0" xfId="0" applyFont="1" applyFill="1" applyBorder="1" applyAlignment="1">
      <alignment vertical="top"/>
    </xf>
    <xf numFmtId="0" fontId="0" fillId="3" borderId="0" xfId="0" applyFill="1" applyBorder="1"/>
    <xf numFmtId="0" fontId="27" fillId="3" borderId="0" xfId="0" applyFont="1" applyFill="1" applyBorder="1"/>
    <xf numFmtId="0" fontId="0" fillId="3" borderId="17" xfId="0" applyFill="1" applyBorder="1" applyProtection="1"/>
    <xf numFmtId="0" fontId="0" fillId="3" borderId="23" xfId="0" applyFill="1" applyBorder="1" applyProtection="1"/>
    <xf numFmtId="0" fontId="0" fillId="0" borderId="23" xfId="0" applyFont="1" applyFill="1" applyBorder="1" applyAlignment="1" applyProtection="1">
      <alignment horizontal="right" vertical="center"/>
    </xf>
    <xf numFmtId="0" fontId="0" fillId="3" borderId="23" xfId="0" applyFill="1" applyBorder="1" applyAlignment="1" applyProtection="1">
      <alignment horizontal="center" vertical="center"/>
    </xf>
    <xf numFmtId="0" fontId="7" fillId="3" borderId="24" xfId="0" applyFont="1" applyFill="1" applyBorder="1" applyAlignment="1" applyProtection="1">
      <alignment shrinkToFit="1"/>
    </xf>
    <xf numFmtId="0" fontId="0" fillId="3" borderId="19" xfId="0" applyFill="1" applyBorder="1" applyProtection="1"/>
    <xf numFmtId="0" fontId="7" fillId="3" borderId="25" xfId="0" applyFont="1" applyFill="1" applyBorder="1" applyAlignment="1" applyProtection="1">
      <alignment shrinkToFit="1"/>
    </xf>
    <xf numFmtId="0" fontId="4" fillId="2" borderId="28" xfId="0" applyFont="1" applyFill="1" applyBorder="1" applyProtection="1">
      <protection locked="0"/>
    </xf>
    <xf numFmtId="0" fontId="6" fillId="2" borderId="29" xfId="0" applyFont="1" applyFill="1" applyBorder="1" applyProtection="1"/>
    <xf numFmtId="0" fontId="4" fillId="2" borderId="29" xfId="0" applyFont="1" applyFill="1" applyBorder="1" applyAlignment="1" applyProtection="1">
      <alignment horizontal="right"/>
    </xf>
    <xf numFmtId="164" fontId="4" fillId="2" borderId="29" xfId="0" applyNumberFormat="1" applyFont="1" applyFill="1" applyBorder="1" applyAlignment="1" applyProtection="1">
      <alignment horizontal="right" vertical="center"/>
    </xf>
    <xf numFmtId="164" fontId="4" fillId="2" borderId="29" xfId="0" applyNumberFormat="1" applyFont="1" applyFill="1" applyBorder="1" applyAlignment="1" applyProtection="1">
      <alignment horizontal="center" vertical="center"/>
    </xf>
    <xf numFmtId="0" fontId="6" fillId="2" borderId="29" xfId="0" applyFont="1" applyFill="1" applyBorder="1" applyAlignment="1" applyProtection="1">
      <alignment horizontal="center"/>
    </xf>
    <xf numFmtId="0" fontId="4" fillId="5" borderId="29" xfId="0" applyFont="1" applyFill="1" applyBorder="1" applyAlignment="1" applyProtection="1">
      <alignment horizontal="center" vertical="center"/>
      <protection locked="0"/>
    </xf>
    <xf numFmtId="0" fontId="4" fillId="2" borderId="29" xfId="0" applyFont="1" applyFill="1" applyBorder="1" applyProtection="1"/>
    <xf numFmtId="0" fontId="4" fillId="2" borderId="30" xfId="0" applyNumberFormat="1" applyFont="1" applyFill="1" applyBorder="1" applyAlignment="1" applyProtection="1">
      <alignment horizontal="center" vertical="center" shrinkToFit="1"/>
    </xf>
    <xf numFmtId="0" fontId="0" fillId="0" borderId="17" xfId="0" applyFont="1" applyBorder="1" applyAlignment="1" applyProtection="1">
      <alignment horizontal="center" vertical="center"/>
    </xf>
    <xf numFmtId="0" fontId="0" fillId="0" borderId="19" xfId="0" applyFont="1" applyBorder="1" applyAlignment="1" applyProtection="1">
      <alignment horizontal="center" vertical="center"/>
    </xf>
    <xf numFmtId="0" fontId="0" fillId="0" borderId="18" xfId="0" applyFont="1" applyBorder="1" applyAlignment="1" applyProtection="1">
      <alignment horizontal="center" vertical="center"/>
    </xf>
    <xf numFmtId="0" fontId="0" fillId="3" borderId="26" xfId="0" applyFill="1" applyBorder="1" applyProtection="1"/>
    <xf numFmtId="0" fontId="0" fillId="3" borderId="26" xfId="0" applyFill="1" applyBorder="1" applyAlignment="1" applyProtection="1">
      <alignment shrinkToFit="1"/>
    </xf>
    <xf numFmtId="0" fontId="0" fillId="3" borderId="27" xfId="0" applyFill="1" applyBorder="1" applyProtection="1"/>
    <xf numFmtId="0" fontId="11" fillId="4" borderId="17" xfId="0" applyFont="1" applyFill="1" applyBorder="1" applyProtection="1">
      <protection locked="0"/>
    </xf>
    <xf numFmtId="0" fontId="11" fillId="4" borderId="24" xfId="0" applyFont="1" applyFill="1" applyBorder="1" applyProtection="1">
      <protection locked="0"/>
    </xf>
    <xf numFmtId="0" fontId="11" fillId="4" borderId="19" xfId="0" applyFont="1" applyFill="1" applyBorder="1" applyProtection="1">
      <protection locked="0"/>
    </xf>
    <xf numFmtId="0" fontId="11" fillId="4" borderId="25" xfId="0" applyFont="1" applyFill="1" applyBorder="1" applyProtection="1">
      <protection locked="0"/>
    </xf>
    <xf numFmtId="164" fontId="0" fillId="0" borderId="17" xfId="0" applyNumberFormat="1" applyBorder="1" applyAlignment="1" applyProtection="1">
      <alignment horizontal="center" vertical="center"/>
    </xf>
    <xf numFmtId="164" fontId="0" fillId="0" borderId="24" xfId="0" applyNumberFormat="1" applyBorder="1" applyAlignment="1" applyProtection="1">
      <alignment horizontal="center" vertical="center"/>
    </xf>
    <xf numFmtId="164" fontId="0" fillId="0" borderId="19" xfId="0" applyNumberFormat="1" applyBorder="1" applyAlignment="1" applyProtection="1">
      <alignment horizontal="center" vertical="center"/>
    </xf>
    <xf numFmtId="164" fontId="0" fillId="0" borderId="25" xfId="0" applyNumberFormat="1" applyBorder="1" applyAlignment="1" applyProtection="1">
      <alignment horizontal="center" vertical="center"/>
    </xf>
    <xf numFmtId="0" fontId="0" fillId="3" borderId="24" xfId="0" applyFill="1" applyBorder="1" applyAlignment="1" applyProtection="1">
      <alignment horizontal="center"/>
    </xf>
    <xf numFmtId="0" fontId="0" fillId="3" borderId="25" xfId="0" applyFill="1" applyBorder="1" applyAlignment="1" applyProtection="1">
      <alignment horizontal="center"/>
    </xf>
    <xf numFmtId="0" fontId="0" fillId="3" borderId="18" xfId="0" applyFill="1" applyBorder="1" applyProtection="1"/>
    <xf numFmtId="0" fontId="0" fillId="0" borderId="26" xfId="0" applyFont="1" applyFill="1" applyBorder="1" applyAlignment="1" applyProtection="1">
      <alignment horizontal="right" vertical="center"/>
    </xf>
    <xf numFmtId="0" fontId="0" fillId="3" borderId="27" xfId="0" applyFill="1" applyBorder="1" applyAlignment="1" applyProtection="1">
      <alignment horizontal="center"/>
    </xf>
    <xf numFmtId="0" fontId="0" fillId="3" borderId="32" xfId="0" applyFill="1" applyBorder="1" applyProtection="1"/>
    <xf numFmtId="0" fontId="11" fillId="3" borderId="33" xfId="0" applyFont="1" applyFill="1" applyBorder="1" applyAlignment="1" applyProtection="1">
      <alignment horizontal="center"/>
    </xf>
    <xf numFmtId="0" fontId="0" fillId="3" borderId="33" xfId="0" applyFill="1" applyBorder="1" applyProtection="1"/>
    <xf numFmtId="0" fontId="5" fillId="3" borderId="33" xfId="0" applyFont="1" applyFill="1" applyBorder="1" applyAlignment="1" applyProtection="1">
      <alignment horizontal="right"/>
    </xf>
    <xf numFmtId="0" fontId="5" fillId="3" borderId="33" xfId="0" applyFont="1" applyFill="1" applyBorder="1" applyAlignment="1" applyProtection="1">
      <alignment horizontal="left"/>
    </xf>
    <xf numFmtId="0" fontId="0" fillId="3" borderId="34" xfId="0" applyFill="1" applyBorder="1" applyProtection="1"/>
    <xf numFmtId="0" fontId="5" fillId="3" borderId="32" xfId="0" applyFont="1" applyFill="1" applyBorder="1" applyProtection="1"/>
    <xf numFmtId="0" fontId="5" fillId="3" borderId="33" xfId="0" applyFont="1" applyFill="1" applyBorder="1" applyAlignment="1" applyProtection="1">
      <alignment horizontal="center" vertical="center" wrapText="1"/>
    </xf>
    <xf numFmtId="0" fontId="11" fillId="3" borderId="32" xfId="0" applyFont="1" applyFill="1" applyBorder="1" applyAlignment="1" applyProtection="1">
      <alignment horizontal="center" vertical="center" wrapText="1"/>
    </xf>
    <xf numFmtId="0" fontId="11" fillId="0" borderId="34" xfId="0" applyFont="1" applyFill="1" applyBorder="1" applyAlignment="1" applyProtection="1">
      <alignment horizontal="center" wrapText="1"/>
    </xf>
    <xf numFmtId="0" fontId="0" fillId="3" borderId="35" xfId="0" applyFill="1" applyBorder="1" applyProtection="1"/>
    <xf numFmtId="0" fontId="0" fillId="3" borderId="26" xfId="0" applyFill="1" applyBorder="1" applyAlignment="1" applyProtection="1">
      <alignment horizontal="center"/>
    </xf>
    <xf numFmtId="0" fontId="17" fillId="2" borderId="0" xfId="0" applyFont="1" applyFill="1" applyBorder="1" applyAlignment="1" applyProtection="1">
      <alignment horizontal="center" vertical="center"/>
      <protection locked="0"/>
    </xf>
    <xf numFmtId="0" fontId="15" fillId="4" borderId="0" xfId="0" applyFont="1" applyFill="1" applyBorder="1" applyAlignment="1" applyProtection="1">
      <alignment horizontal="center" vertical="center"/>
      <protection locked="0"/>
    </xf>
    <xf numFmtId="0" fontId="17" fillId="2" borderId="0" xfId="0" applyFont="1" applyFill="1" applyBorder="1" applyAlignment="1" applyProtection="1">
      <alignment horizontal="left" vertical="center" wrapText="1"/>
      <protection locked="0"/>
    </xf>
    <xf numFmtId="0" fontId="15" fillId="16" borderId="0" xfId="0" applyFont="1" applyFill="1" applyBorder="1" applyAlignment="1" applyProtection="1">
      <alignment horizontal="left" vertical="center"/>
    </xf>
    <xf numFmtId="0" fontId="29" fillId="2" borderId="0" xfId="0" applyFont="1" applyFill="1" applyBorder="1" applyAlignment="1" applyProtection="1">
      <alignment horizontal="center" vertical="center"/>
      <protection locked="0"/>
    </xf>
    <xf numFmtId="0" fontId="30" fillId="4" borderId="0" xfId="0" applyFont="1" applyFill="1" applyBorder="1" applyAlignment="1" applyProtection="1">
      <alignment horizontal="center" vertical="center"/>
      <protection locked="0"/>
    </xf>
    <xf numFmtId="0" fontId="30" fillId="3" borderId="0" xfId="0" applyFont="1" applyFill="1" applyBorder="1" applyAlignment="1" applyProtection="1">
      <alignment horizontal="left" vertical="center"/>
      <protection locked="0"/>
    </xf>
    <xf numFmtId="0" fontId="6" fillId="2" borderId="0" xfId="0" applyFont="1" applyFill="1" applyBorder="1" applyAlignment="1" applyProtection="1">
      <alignment horizontal="center" vertical="center"/>
      <protection locked="0"/>
    </xf>
    <xf numFmtId="0" fontId="30" fillId="6" borderId="0" xfId="0" applyFont="1" applyFill="1" applyBorder="1" applyAlignment="1" applyProtection="1">
      <alignment horizontal="left" vertical="center"/>
      <protection locked="0"/>
    </xf>
    <xf numFmtId="0" fontId="30" fillId="8" borderId="0" xfId="0" applyFont="1" applyFill="1" applyBorder="1" applyAlignment="1" applyProtection="1">
      <alignment horizontal="left" vertical="center"/>
      <protection locked="0"/>
    </xf>
    <xf numFmtId="0" fontId="30" fillId="9" borderId="0" xfId="0" applyFont="1" applyFill="1" applyBorder="1" applyAlignment="1" applyProtection="1">
      <alignment horizontal="left" vertical="center"/>
      <protection locked="0"/>
    </xf>
    <xf numFmtId="0" fontId="30" fillId="10" borderId="0" xfId="0" applyFont="1" applyFill="1" applyBorder="1" applyAlignment="1" applyProtection="1">
      <alignment horizontal="left" vertical="center"/>
      <protection locked="0"/>
    </xf>
    <xf numFmtId="0" fontId="30" fillId="11" borderId="0" xfId="0" applyFont="1" applyFill="1" applyBorder="1" applyAlignment="1" applyProtection="1">
      <alignment horizontal="left" vertical="center"/>
      <protection locked="0"/>
    </xf>
    <xf numFmtId="0" fontId="30" fillId="12" borderId="0" xfId="0" applyFont="1" applyFill="1" applyBorder="1" applyAlignment="1" applyProtection="1">
      <alignment horizontal="left" vertical="center"/>
      <protection locked="0"/>
    </xf>
    <xf numFmtId="0" fontId="30" fillId="13" borderId="0" xfId="0" applyFont="1" applyFill="1" applyBorder="1" applyAlignment="1" applyProtection="1">
      <alignment horizontal="left" vertical="center"/>
      <protection locked="0"/>
    </xf>
    <xf numFmtId="0" fontId="30" fillId="14" borderId="0" xfId="0" applyFont="1" applyFill="1" applyBorder="1" applyAlignment="1" applyProtection="1">
      <alignment horizontal="left" vertical="center"/>
      <protection locked="0"/>
    </xf>
    <xf numFmtId="0" fontId="30" fillId="7" borderId="0" xfId="0" applyFont="1" applyFill="1" applyBorder="1" applyAlignment="1" applyProtection="1">
      <alignment horizontal="left" vertical="center"/>
      <protection locked="0"/>
    </xf>
    <xf numFmtId="0" fontId="30" fillId="15" borderId="0" xfId="0" applyFont="1" applyFill="1" applyBorder="1" applyAlignment="1" applyProtection="1">
      <alignment horizontal="left" vertical="center"/>
      <protection locked="0"/>
    </xf>
    <xf numFmtId="0" fontId="30" fillId="6" borderId="0" xfId="0" applyFont="1" applyFill="1" applyBorder="1" applyAlignment="1" applyProtection="1">
      <alignment horizontal="left" vertical="center" wrapText="1"/>
      <protection locked="0"/>
    </xf>
    <xf numFmtId="0" fontId="30" fillId="8" borderId="0" xfId="0" applyFont="1" applyFill="1" applyBorder="1" applyAlignment="1" applyProtection="1">
      <alignment horizontal="left" vertical="center" wrapText="1"/>
      <protection locked="0"/>
    </xf>
    <xf numFmtId="0" fontId="30" fillId="9" borderId="0" xfId="0" applyFont="1" applyFill="1" applyBorder="1" applyAlignment="1" applyProtection="1">
      <alignment horizontal="left" vertical="center" wrapText="1"/>
      <protection locked="0"/>
    </xf>
    <xf numFmtId="0" fontId="30" fillId="10" borderId="0" xfId="0" applyFont="1" applyFill="1" applyBorder="1" applyAlignment="1" applyProtection="1">
      <alignment horizontal="left" vertical="center" wrapText="1"/>
      <protection locked="0"/>
    </xf>
    <xf numFmtId="0" fontId="30" fillId="11" borderId="0" xfId="0" applyFont="1" applyFill="1" applyBorder="1" applyAlignment="1" applyProtection="1">
      <alignment horizontal="left" vertical="center" wrapText="1"/>
      <protection locked="0"/>
    </xf>
    <xf numFmtId="0" fontId="30" fillId="12" borderId="0" xfId="0" applyFont="1" applyFill="1" applyBorder="1" applyAlignment="1" applyProtection="1">
      <alignment horizontal="left" vertical="center" wrapText="1"/>
      <protection locked="0"/>
    </xf>
    <xf numFmtId="0" fontId="5" fillId="4" borderId="0" xfId="0" applyFont="1" applyFill="1" applyAlignment="1" applyProtection="1">
      <alignment horizontal="center" vertical="center"/>
      <protection locked="0"/>
    </xf>
    <xf numFmtId="164" fontId="0" fillId="3" borderId="31" xfId="0" applyNumberFormat="1" applyFill="1" applyBorder="1" applyAlignment="1" applyProtection="1">
      <alignment horizontal="center" vertical="center"/>
    </xf>
    <xf numFmtId="164" fontId="0" fillId="3" borderId="10" xfId="0" applyNumberFormat="1" applyFill="1" applyBorder="1" applyAlignment="1" applyProtection="1">
      <alignment horizontal="center" vertical="center"/>
    </xf>
    <xf numFmtId="164" fontId="0" fillId="3" borderId="9" xfId="0" applyNumberFormat="1" applyFill="1" applyBorder="1" applyAlignment="1" applyProtection="1">
      <alignment horizontal="center" vertical="center"/>
    </xf>
    <xf numFmtId="0" fontId="9" fillId="17" borderId="0" xfId="0" applyFont="1" applyFill="1" applyBorder="1" applyAlignment="1">
      <alignment horizontal="left" vertical="top" wrapText="1"/>
    </xf>
    <xf numFmtId="0" fontId="0" fillId="2" borderId="1" xfId="0" applyFill="1" applyBorder="1"/>
    <xf numFmtId="0" fontId="0" fillId="2" borderId="2" xfId="0" applyFill="1" applyBorder="1"/>
    <xf numFmtId="0" fontId="0" fillId="2" borderId="3" xfId="0" applyFill="1" applyBorder="1"/>
    <xf numFmtId="0" fontId="22" fillId="2" borderId="4" xfId="1" applyFont="1" applyFill="1" applyBorder="1" applyAlignment="1">
      <alignment vertical="center"/>
    </xf>
    <xf numFmtId="0" fontId="0" fillId="2" borderId="4" xfId="0" applyFill="1" applyBorder="1"/>
    <xf numFmtId="0" fontId="0" fillId="2" borderId="0" xfId="0" applyFill="1" applyBorder="1"/>
    <xf numFmtId="0" fontId="0" fillId="2" borderId="5" xfId="0" applyFill="1" applyBorder="1"/>
    <xf numFmtId="0" fontId="2" fillId="17" borderId="0" xfId="0" applyFont="1" applyFill="1" applyBorder="1" applyAlignment="1">
      <alignment horizontal="left" vertical="top"/>
    </xf>
    <xf numFmtId="0" fontId="0" fillId="17" borderId="0" xfId="0" applyFill="1" applyBorder="1" applyAlignment="1"/>
    <xf numFmtId="0" fontId="0" fillId="17" borderId="5" xfId="0" applyFill="1" applyBorder="1" applyAlignment="1"/>
    <xf numFmtId="0" fontId="0" fillId="17" borderId="7" xfId="0" applyFill="1" applyBorder="1" applyAlignment="1"/>
    <xf numFmtId="0" fontId="23" fillId="17" borderId="4" xfId="0" applyFont="1" applyFill="1" applyBorder="1" applyProtection="1"/>
    <xf numFmtId="0" fontId="23" fillId="17" borderId="0" xfId="0" applyFont="1" applyFill="1" applyBorder="1" applyProtection="1"/>
    <xf numFmtId="0" fontId="23" fillId="17" borderId="0" xfId="0" applyFont="1" applyFill="1" applyBorder="1"/>
    <xf numFmtId="0" fontId="23" fillId="17" borderId="5" xfId="0" applyFont="1" applyFill="1" applyBorder="1"/>
    <xf numFmtId="0" fontId="23" fillId="17" borderId="0" xfId="0" applyFont="1" applyFill="1" applyBorder="1" applyAlignment="1">
      <alignment vertical="top" wrapText="1"/>
    </xf>
    <xf numFmtId="0" fontId="34" fillId="2" borderId="0" xfId="1" applyFont="1" applyFill="1" applyBorder="1" applyAlignment="1">
      <alignment horizontal="center" vertical="center" wrapText="1" shrinkToFit="1"/>
    </xf>
    <xf numFmtId="0" fontId="34" fillId="2" borderId="0" xfId="1" applyFont="1" applyFill="1" applyBorder="1" applyAlignment="1">
      <alignment horizontal="center" vertical="center" shrinkToFit="1"/>
    </xf>
    <xf numFmtId="0" fontId="34" fillId="2" borderId="0" xfId="1" applyFont="1" applyFill="1" applyBorder="1" applyAlignment="1">
      <alignment horizontal="center" vertical="center" wrapText="1"/>
    </xf>
    <xf numFmtId="0" fontId="34" fillId="2" borderId="0" xfId="1" applyFont="1" applyFill="1" applyBorder="1" applyAlignment="1">
      <alignment horizontal="center" vertical="center"/>
    </xf>
    <xf numFmtId="0" fontId="24" fillId="2" borderId="5" xfId="1" applyFont="1" applyFill="1" applyBorder="1" applyAlignment="1">
      <alignment vertical="center"/>
    </xf>
    <xf numFmtId="0" fontId="10" fillId="3" borderId="37" xfId="0" applyFont="1" applyFill="1" applyBorder="1" applyAlignment="1">
      <alignment vertical="center" wrapText="1"/>
    </xf>
    <xf numFmtId="0" fontId="9" fillId="0" borderId="0" xfId="0" applyFont="1" applyFill="1" applyBorder="1" applyAlignment="1" applyProtection="1">
      <alignment vertical="center"/>
      <protection locked="0"/>
    </xf>
    <xf numFmtId="0" fontId="17" fillId="5" borderId="10" xfId="0" applyFont="1" applyFill="1" applyBorder="1" applyAlignment="1">
      <alignment horizontal="center" vertical="center" shrinkToFit="1"/>
    </xf>
    <xf numFmtId="0" fontId="15" fillId="3" borderId="5" xfId="0" applyFont="1" applyFill="1" applyBorder="1" applyAlignment="1">
      <alignment vertical="center" wrapText="1"/>
    </xf>
    <xf numFmtId="0" fontId="15" fillId="3" borderId="0" xfId="0" applyFont="1" applyFill="1" applyBorder="1" applyAlignment="1">
      <alignment vertical="center" wrapText="1"/>
    </xf>
    <xf numFmtId="0" fontId="2" fillId="0" borderId="19" xfId="0" applyFont="1" applyFill="1" applyBorder="1" applyAlignment="1">
      <alignment horizontal="center" vertical="center"/>
    </xf>
    <xf numFmtId="0" fontId="17" fillId="3" borderId="19" xfId="0" applyFont="1" applyFill="1" applyBorder="1" applyAlignment="1" applyProtection="1">
      <alignment horizontal="center" vertical="center" shrinkToFit="1"/>
    </xf>
    <xf numFmtId="0" fontId="36" fillId="3" borderId="0" xfId="0" applyFont="1" applyFill="1" applyBorder="1" applyProtection="1"/>
    <xf numFmtId="0" fontId="9" fillId="0" borderId="0" xfId="0" applyFont="1" applyFill="1"/>
    <xf numFmtId="0" fontId="38" fillId="0" borderId="0" xfId="0" applyFont="1"/>
    <xf numFmtId="0" fontId="39" fillId="2" borderId="2" xfId="1" applyFont="1" applyFill="1" applyBorder="1" applyAlignment="1">
      <alignment vertical="center" shrinkToFit="1"/>
    </xf>
    <xf numFmtId="0" fontId="39" fillId="2" borderId="0" xfId="1" applyFont="1" applyFill="1" applyBorder="1" applyAlignment="1">
      <alignment vertical="center" shrinkToFit="1"/>
    </xf>
    <xf numFmtId="0" fontId="6" fillId="3" borderId="0" xfId="0" applyFont="1" applyFill="1" applyProtection="1"/>
    <xf numFmtId="0" fontId="5" fillId="4" borderId="0" xfId="0" applyFont="1" applyFill="1" applyAlignment="1">
      <alignment horizontal="center" vertical="center"/>
    </xf>
    <xf numFmtId="0" fontId="4" fillId="2" borderId="0" xfId="0" applyFont="1" applyFill="1" applyBorder="1" applyAlignment="1" applyProtection="1">
      <alignment horizontal="left" vertical="center" wrapText="1"/>
    </xf>
    <xf numFmtId="0" fontId="11" fillId="5" borderId="0" xfId="0" applyFont="1" applyFill="1" applyBorder="1" applyAlignment="1" applyProtection="1">
      <alignment vertical="center"/>
    </xf>
    <xf numFmtId="0" fontId="11" fillId="5" borderId="0" xfId="0" applyFont="1" applyFill="1" applyBorder="1" applyAlignment="1" applyProtection="1">
      <alignment horizontal="left" vertical="center" indent="1"/>
    </xf>
    <xf numFmtId="0" fontId="9" fillId="17" borderId="6" xfId="0" applyFont="1" applyFill="1" applyBorder="1" applyAlignment="1">
      <alignment horizontal="center" vertical="center" shrinkToFit="1"/>
    </xf>
    <xf numFmtId="0" fontId="40" fillId="2" borderId="0" xfId="1" applyFont="1" applyFill="1" applyBorder="1" applyAlignment="1">
      <alignment vertical="center" shrinkToFit="1"/>
    </xf>
    <xf numFmtId="0" fontId="33" fillId="2" borderId="5" xfId="1" applyFont="1" applyFill="1" applyBorder="1" applyAlignment="1">
      <alignment vertical="center"/>
    </xf>
    <xf numFmtId="0" fontId="0" fillId="0" borderId="0" xfId="0" applyFont="1" applyBorder="1"/>
    <xf numFmtId="0" fontId="4" fillId="2" borderId="0" xfId="0" applyFont="1" applyFill="1" applyBorder="1"/>
    <xf numFmtId="0" fontId="4" fillId="2" borderId="0" xfId="0" applyFont="1" applyFill="1" applyBorder="1" applyAlignment="1">
      <alignment horizontal="right"/>
    </xf>
    <xf numFmtId="165" fontId="2" fillId="17" borderId="0" xfId="0" applyNumberFormat="1" applyFont="1" applyFill="1" applyBorder="1" applyAlignment="1" applyProtection="1">
      <alignment horizontal="right" vertical="top"/>
    </xf>
    <xf numFmtId="0" fontId="9" fillId="17" borderId="0" xfId="0" applyFont="1" applyFill="1" applyBorder="1" applyAlignment="1" applyProtection="1">
      <alignment horizontal="right" vertical="top" wrapText="1"/>
    </xf>
    <xf numFmtId="0" fontId="25" fillId="17" borderId="0" xfId="0" applyNumberFormat="1" applyFont="1" applyFill="1" applyBorder="1" applyAlignment="1" applyProtection="1">
      <alignment horizontal="right" vertical="top"/>
    </xf>
    <xf numFmtId="0" fontId="15" fillId="6" borderId="0" xfId="0" applyFont="1" applyFill="1" applyBorder="1" applyAlignment="1" applyProtection="1">
      <alignment horizontal="center" vertical="center" wrapText="1"/>
    </xf>
    <xf numFmtId="0" fontId="15" fillId="8" borderId="0" xfId="0" applyFont="1" applyFill="1" applyBorder="1" applyAlignment="1" applyProtection="1">
      <alignment horizontal="center" vertical="center" wrapText="1"/>
    </xf>
    <xf numFmtId="0" fontId="15" fillId="9" borderId="0" xfId="0" applyFont="1" applyFill="1" applyBorder="1" applyAlignment="1" applyProtection="1">
      <alignment horizontal="center" vertical="center" wrapText="1"/>
    </xf>
    <xf numFmtId="0" fontId="15" fillId="10" borderId="0" xfId="0" applyFont="1" applyFill="1" applyBorder="1" applyAlignment="1" applyProtection="1">
      <alignment horizontal="center" vertical="center" wrapText="1"/>
    </xf>
    <xf numFmtId="0" fontId="15" fillId="11" borderId="0" xfId="0" applyFont="1" applyFill="1" applyBorder="1" applyAlignment="1" applyProtection="1">
      <alignment horizontal="center" vertical="center" wrapText="1"/>
    </xf>
    <xf numFmtId="0" fontId="15" fillId="12" borderId="0" xfId="0" applyFont="1" applyFill="1" applyBorder="1" applyAlignment="1" applyProtection="1">
      <alignment horizontal="center" vertical="center" wrapText="1"/>
    </xf>
    <xf numFmtId="0" fontId="25" fillId="17" borderId="0" xfId="0" quotePrefix="1" applyFont="1" applyFill="1" applyBorder="1" applyAlignment="1">
      <alignment vertical="center"/>
    </xf>
    <xf numFmtId="0" fontId="25" fillId="17" borderId="0" xfId="0" quotePrefix="1" applyFont="1" applyFill="1" applyBorder="1" applyAlignment="1">
      <alignment horizontal="right" vertical="center"/>
    </xf>
    <xf numFmtId="0" fontId="7" fillId="0" borderId="0" xfId="0" applyFont="1" applyFill="1" applyBorder="1" applyAlignment="1">
      <alignment vertical="top"/>
    </xf>
    <xf numFmtId="0" fontId="7" fillId="0" borderId="0" xfId="0" applyFont="1" applyFill="1" applyBorder="1" applyAlignment="1">
      <alignment horizontal="center" vertical="top"/>
    </xf>
    <xf numFmtId="0" fontId="7" fillId="0" borderId="0" xfId="0" applyFont="1" applyFill="1" applyBorder="1" applyAlignment="1">
      <alignment horizontal="right" vertical="top"/>
    </xf>
    <xf numFmtId="0" fontId="7" fillId="0" borderId="0" xfId="0" applyFont="1" applyAlignment="1" applyProtection="1">
      <alignment horizontal="center" vertical="center"/>
      <protection locked="0"/>
    </xf>
    <xf numFmtId="0" fontId="2" fillId="0" borderId="0" xfId="0" applyFont="1" applyFill="1" applyBorder="1" applyAlignment="1">
      <alignment vertical="top"/>
    </xf>
    <xf numFmtId="0" fontId="2" fillId="0" borderId="0" xfId="0" applyFont="1" applyFill="1" applyBorder="1" applyAlignment="1">
      <alignment horizontal="left" vertical="top"/>
    </xf>
    <xf numFmtId="0" fontId="0" fillId="0" borderId="0" xfId="0" applyProtection="1">
      <protection locked="0"/>
    </xf>
    <xf numFmtId="0" fontId="23" fillId="17" borderId="7" xfId="0" applyFont="1" applyFill="1" applyBorder="1" applyAlignment="1">
      <alignment vertical="center"/>
    </xf>
    <xf numFmtId="0" fontId="32" fillId="17" borderId="0" xfId="0" applyFont="1" applyFill="1"/>
    <xf numFmtId="0" fontId="25" fillId="17" borderId="0" xfId="0" applyFont="1" applyFill="1" applyBorder="1" applyAlignment="1">
      <alignment horizontal="left" vertical="center"/>
    </xf>
    <xf numFmtId="0" fontId="23" fillId="17" borderId="0" xfId="0" applyFont="1" applyFill="1" applyBorder="1" applyAlignment="1">
      <alignment horizontal="left" vertical="center"/>
    </xf>
    <xf numFmtId="0" fontId="15" fillId="8" borderId="0" xfId="0" applyFont="1" applyFill="1" applyBorder="1" applyAlignment="1" applyProtection="1">
      <alignment horizontal="center" vertical="center" wrapText="1"/>
      <protection locked="0"/>
    </xf>
    <xf numFmtId="0" fontId="2" fillId="17" borderId="0" xfId="0" applyNumberFormat="1" applyFont="1" applyFill="1" applyBorder="1" applyAlignment="1" applyProtection="1">
      <alignment horizontal="right" vertical="top"/>
    </xf>
    <xf numFmtId="0" fontId="12" fillId="17" borderId="0" xfId="0" applyNumberFormat="1" applyFont="1" applyFill="1" applyBorder="1" applyAlignment="1">
      <alignment horizontal="right" vertical="center"/>
    </xf>
    <xf numFmtId="0" fontId="15" fillId="16" borderId="0" xfId="0" applyFont="1" applyFill="1" applyBorder="1" applyAlignment="1" applyProtection="1">
      <alignment horizontal="center" vertical="center"/>
    </xf>
    <xf numFmtId="0" fontId="32" fillId="17" borderId="5" xfId="0" applyFont="1" applyFill="1" applyBorder="1" applyAlignment="1">
      <alignment vertical="center"/>
    </xf>
    <xf numFmtId="0" fontId="15" fillId="6" borderId="0" xfId="0" applyFont="1" applyFill="1" applyBorder="1" applyAlignment="1" applyProtection="1">
      <alignment horizontal="center" vertical="center" wrapText="1"/>
      <protection locked="0"/>
    </xf>
    <xf numFmtId="0" fontId="15" fillId="9" borderId="0" xfId="0" applyFont="1" applyFill="1" applyBorder="1" applyAlignment="1" applyProtection="1">
      <alignment horizontal="center" vertical="center" wrapText="1"/>
      <protection locked="0"/>
    </xf>
    <xf numFmtId="0" fontId="15" fillId="10" borderId="0" xfId="0" applyFont="1" applyFill="1" applyBorder="1" applyAlignment="1" applyProtection="1">
      <alignment horizontal="center" vertical="center" wrapText="1"/>
      <protection locked="0"/>
    </xf>
    <xf numFmtId="0" fontId="15" fillId="11" borderId="0" xfId="0" applyFont="1" applyFill="1" applyBorder="1" applyAlignment="1" applyProtection="1">
      <alignment horizontal="center" vertical="center" wrapText="1"/>
      <protection locked="0"/>
    </xf>
    <xf numFmtId="0" fontId="15" fillId="12" borderId="0" xfId="0" applyFont="1" applyFill="1" applyBorder="1" applyAlignment="1" applyProtection="1">
      <alignment horizontal="center" vertical="center" wrapText="1"/>
      <protection locked="0"/>
    </xf>
    <xf numFmtId="1" fontId="9" fillId="0" borderId="0" xfId="0" applyNumberFormat="1" applyFont="1" applyFill="1" applyBorder="1" applyAlignment="1" applyProtection="1">
      <alignment horizontal="center" vertical="center" shrinkToFit="1"/>
      <protection locked="0"/>
    </xf>
    <xf numFmtId="0" fontId="9" fillId="6" borderId="0" xfId="0" applyFont="1" applyFill="1" applyBorder="1" applyAlignment="1" applyProtection="1">
      <alignment horizontal="center" vertical="center" wrapText="1"/>
      <protection locked="0"/>
    </xf>
    <xf numFmtId="0" fontId="9" fillId="6" borderId="0" xfId="0" applyFont="1" applyFill="1" applyBorder="1" applyAlignment="1" applyProtection="1">
      <alignment horizontal="center" vertical="center"/>
      <protection locked="0"/>
    </xf>
    <xf numFmtId="0" fontId="9" fillId="8" borderId="0" xfId="0" applyFont="1" applyFill="1" applyBorder="1" applyAlignment="1" applyProtection="1">
      <alignment horizontal="center" vertical="center" wrapText="1"/>
      <protection locked="0"/>
    </xf>
    <xf numFmtId="0" fontId="9" fillId="8" borderId="0" xfId="0" applyFont="1" applyFill="1" applyBorder="1" applyAlignment="1" applyProtection="1">
      <alignment horizontal="center" vertical="center"/>
      <protection locked="0"/>
    </xf>
    <xf numFmtId="0" fontId="9" fillId="10" borderId="0" xfId="0" applyFont="1" applyFill="1" applyBorder="1" applyAlignment="1" applyProtection="1">
      <alignment horizontal="center" vertical="center" wrapText="1"/>
      <protection locked="0"/>
    </xf>
    <xf numFmtId="0" fontId="9" fillId="10" borderId="0" xfId="0" applyFont="1" applyFill="1" applyBorder="1" applyAlignment="1" applyProtection="1">
      <alignment horizontal="center" vertical="center"/>
      <protection locked="0"/>
    </xf>
    <xf numFmtId="0" fontId="9" fillId="11" borderId="0" xfId="0" applyFont="1" applyFill="1" applyBorder="1" applyAlignment="1" applyProtection="1">
      <alignment horizontal="center" vertical="center" wrapText="1"/>
      <protection locked="0"/>
    </xf>
    <xf numFmtId="0" fontId="9" fillId="11" borderId="0" xfId="0" applyFont="1" applyFill="1" applyBorder="1" applyAlignment="1" applyProtection="1">
      <alignment horizontal="center" vertical="center"/>
      <protection locked="0"/>
    </xf>
    <xf numFmtId="0" fontId="9" fillId="12" borderId="0" xfId="0" applyFont="1" applyFill="1" applyBorder="1" applyAlignment="1" applyProtection="1">
      <alignment horizontal="center" vertical="center" wrapText="1"/>
      <protection locked="0"/>
    </xf>
    <xf numFmtId="0" fontId="9" fillId="12" borderId="0" xfId="0" applyFont="1" applyFill="1" applyBorder="1" applyAlignment="1" applyProtection="1">
      <alignment horizontal="center" vertical="center"/>
      <protection locked="0"/>
    </xf>
    <xf numFmtId="0" fontId="33" fillId="2" borderId="5" xfId="1" applyFont="1" applyFill="1" applyBorder="1" applyAlignment="1">
      <alignment horizontal="center" vertical="center"/>
    </xf>
    <xf numFmtId="2" fontId="9" fillId="0" borderId="0" xfId="0" applyNumberFormat="1" applyFont="1" applyFill="1" applyBorder="1" applyAlignment="1" applyProtection="1">
      <alignment horizontal="center" vertical="center"/>
      <protection locked="0"/>
    </xf>
    <xf numFmtId="0" fontId="23" fillId="17" borderId="0" xfId="0" applyFont="1" applyFill="1" applyBorder="1" applyAlignment="1">
      <alignment horizontal="left" vertical="center" indent="1"/>
    </xf>
    <xf numFmtId="165" fontId="25" fillId="17" borderId="0" xfId="0" applyNumberFormat="1" applyFont="1" applyFill="1" applyBorder="1" applyAlignment="1" applyProtection="1">
      <alignment horizontal="right" vertical="top"/>
    </xf>
    <xf numFmtId="0" fontId="23" fillId="17" borderId="0" xfId="0" applyFont="1" applyFill="1" applyBorder="1" applyAlignment="1" applyProtection="1">
      <alignment horizontal="left" vertical="center" indent="1"/>
    </xf>
    <xf numFmtId="0" fontId="25" fillId="17" borderId="0" xfId="0" applyFont="1" applyFill="1" applyBorder="1" applyAlignment="1" applyProtection="1">
      <alignment vertical="center"/>
    </xf>
    <xf numFmtId="0" fontId="2" fillId="17" borderId="0" xfId="0" applyFont="1" applyFill="1" applyBorder="1" applyAlignment="1">
      <alignment horizontal="left" vertical="center" indent="1"/>
    </xf>
    <xf numFmtId="0" fontId="25" fillId="17" borderId="0" xfId="0" applyNumberFormat="1" applyFont="1" applyFill="1" applyBorder="1" applyAlignment="1" applyProtection="1">
      <alignment vertical="top"/>
    </xf>
    <xf numFmtId="0" fontId="0" fillId="3" borderId="45" xfId="0" applyFill="1" applyBorder="1" applyProtection="1"/>
    <xf numFmtId="0" fontId="0" fillId="3" borderId="12" xfId="0" applyFill="1" applyBorder="1" applyProtection="1"/>
    <xf numFmtId="0" fontId="0" fillId="3" borderId="14" xfId="0" applyFill="1" applyBorder="1" applyProtection="1"/>
    <xf numFmtId="0" fontId="0" fillId="3" borderId="46" xfId="0" applyFill="1" applyBorder="1" applyProtection="1"/>
    <xf numFmtId="0" fontId="0" fillId="3" borderId="16" xfId="0" applyFill="1" applyBorder="1" applyProtection="1"/>
    <xf numFmtId="0" fontId="0" fillId="3" borderId="20" xfId="0" quotePrefix="1" applyFill="1" applyBorder="1" applyAlignment="1" applyProtection="1">
      <alignment horizontal="center" vertical="center"/>
    </xf>
    <xf numFmtId="0" fontId="0" fillId="3" borderId="21" xfId="0" quotePrefix="1" applyFill="1" applyBorder="1" applyAlignment="1" applyProtection="1">
      <alignment horizontal="center" vertical="center"/>
    </xf>
    <xf numFmtId="0" fontId="0" fillId="3" borderId="22" xfId="0" quotePrefix="1" applyFill="1" applyBorder="1" applyAlignment="1" applyProtection="1">
      <alignment horizontal="center" vertical="center"/>
    </xf>
    <xf numFmtId="0" fontId="0" fillId="3" borderId="0" xfId="0" applyFill="1" applyBorder="1" applyAlignment="1" applyProtection="1">
      <alignment horizontal="center"/>
    </xf>
    <xf numFmtId="0" fontId="0" fillId="3" borderId="45" xfId="0" applyFill="1" applyBorder="1" applyAlignment="1" applyProtection="1">
      <alignment horizontal="center"/>
    </xf>
    <xf numFmtId="0" fontId="0" fillId="3" borderId="20" xfId="0" applyFill="1" applyBorder="1" applyAlignment="1" applyProtection="1">
      <alignment horizontal="center" vertical="center"/>
    </xf>
    <xf numFmtId="0" fontId="0" fillId="3" borderId="21" xfId="0" applyFill="1" applyBorder="1" applyAlignment="1" applyProtection="1">
      <alignment horizontal="center" vertical="center"/>
    </xf>
    <xf numFmtId="0" fontId="0" fillId="3" borderId="0" xfId="0" applyFill="1" applyAlignment="1" applyProtection="1">
      <alignment horizontal="right"/>
    </xf>
    <xf numFmtId="0" fontId="0" fillId="3" borderId="46" xfId="0" applyFill="1" applyBorder="1" applyAlignment="1" applyProtection="1">
      <alignment horizontal="center"/>
    </xf>
    <xf numFmtId="0" fontId="0" fillId="3" borderId="22" xfId="0" applyFill="1" applyBorder="1" applyAlignment="1" applyProtection="1">
      <alignment horizontal="center" vertical="center"/>
    </xf>
    <xf numFmtId="0" fontId="0" fillId="3" borderId="0" xfId="0" quotePrefix="1" applyFill="1" applyAlignment="1" applyProtection="1">
      <alignment horizontal="center" vertical="center"/>
    </xf>
    <xf numFmtId="0" fontId="0" fillId="3" borderId="0" xfId="0" applyNumberFormat="1" applyFill="1" applyAlignment="1" applyProtection="1">
      <alignment horizontal="right" vertical="center"/>
    </xf>
    <xf numFmtId="0" fontId="0" fillId="3" borderId="0" xfId="0" quotePrefix="1" applyFill="1" applyProtection="1"/>
    <xf numFmtId="0" fontId="0" fillId="3" borderId="0" xfId="0" quotePrefix="1" applyFill="1" applyBorder="1" applyProtection="1"/>
    <xf numFmtId="4" fontId="8" fillId="0" borderId="0" xfId="0" quotePrefix="1" applyNumberFormat="1" applyFont="1" applyAlignment="1" applyProtection="1">
      <alignment horizontal="left"/>
    </xf>
    <xf numFmtId="0" fontId="0" fillId="3" borderId="45" xfId="0" applyFill="1" applyBorder="1" applyAlignment="1" applyProtection="1">
      <alignment horizontal="left"/>
    </xf>
    <xf numFmtId="0" fontId="0" fillId="3" borderId="0" xfId="0" applyFill="1" applyBorder="1" applyAlignment="1" applyProtection="1">
      <alignment horizontal="left"/>
    </xf>
    <xf numFmtId="0" fontId="0" fillId="3" borderId="46" xfId="0" applyFill="1" applyBorder="1" applyAlignment="1" applyProtection="1">
      <alignment horizontal="left"/>
    </xf>
    <xf numFmtId="0" fontId="35" fillId="0" borderId="0" xfId="0" applyFont="1" applyFill="1" applyBorder="1" applyAlignment="1">
      <alignment horizontal="center" vertical="center" wrapText="1"/>
    </xf>
    <xf numFmtId="0" fontId="0" fillId="0" borderId="0" xfId="0" applyFill="1"/>
    <xf numFmtId="0" fontId="0" fillId="0" borderId="0" xfId="0" applyFill="1" applyProtection="1"/>
    <xf numFmtId="0" fontId="35" fillId="0" borderId="0" xfId="0" applyFont="1" applyFill="1" applyBorder="1" applyAlignment="1" applyProtection="1">
      <alignment horizontal="center" vertical="center" wrapText="1"/>
    </xf>
    <xf numFmtId="0" fontId="17" fillId="2" borderId="0" xfId="0" applyFont="1" applyFill="1" applyBorder="1" applyAlignment="1" applyProtection="1">
      <alignment vertical="center" wrapText="1"/>
      <protection locked="0"/>
    </xf>
    <xf numFmtId="0" fontId="17" fillId="0" borderId="0" xfId="0" applyFont="1" applyFill="1" applyBorder="1" applyAlignment="1" applyProtection="1">
      <alignment vertical="center" wrapText="1"/>
      <protection locked="0"/>
    </xf>
    <xf numFmtId="0" fontId="0" fillId="2" borderId="0" xfId="0" applyFill="1" applyAlignment="1">
      <alignment vertical="center"/>
    </xf>
    <xf numFmtId="0" fontId="0" fillId="0" borderId="0" xfId="0" applyAlignment="1">
      <alignment vertical="center"/>
    </xf>
    <xf numFmtId="0" fontId="45" fillId="0" borderId="0" xfId="0" applyFont="1" applyFill="1" applyAlignment="1" applyProtection="1">
      <alignment horizontal="center" vertical="center"/>
    </xf>
    <xf numFmtId="0" fontId="6" fillId="0" borderId="0" xfId="0" applyFont="1" applyFill="1" applyAlignment="1" applyProtection="1">
      <alignment vertical="center"/>
    </xf>
    <xf numFmtId="0" fontId="38" fillId="0" borderId="0" xfId="0" applyFont="1" applyAlignment="1">
      <alignment vertical="center"/>
    </xf>
    <xf numFmtId="0" fontId="28" fillId="3" borderId="0" xfId="0" applyFont="1" applyFill="1" applyAlignment="1">
      <alignment horizontal="center" vertical="center"/>
    </xf>
    <xf numFmtId="0" fontId="0" fillId="3" borderId="0" xfId="0" applyFill="1" applyAlignment="1" applyProtection="1">
      <alignment horizontal="center" vertical="center" shrinkToFit="1"/>
      <protection locked="0"/>
    </xf>
    <xf numFmtId="0" fontId="0" fillId="3" borderId="0" xfId="0" applyFill="1" applyAlignment="1" applyProtection="1">
      <alignment shrinkToFit="1"/>
      <protection locked="0"/>
    </xf>
    <xf numFmtId="0" fontId="0" fillId="3" borderId="0" xfId="0" applyFill="1" applyAlignment="1" applyProtection="1">
      <alignment shrinkToFit="1"/>
      <protection locked="0" hidden="1"/>
    </xf>
    <xf numFmtId="0" fontId="0" fillId="0" borderId="0" xfId="0" applyAlignment="1"/>
    <xf numFmtId="0" fontId="6" fillId="5" borderId="0" xfId="0" applyFont="1" applyFill="1" applyAlignment="1" applyProtection="1"/>
    <xf numFmtId="0" fontId="0" fillId="0" borderId="0" xfId="0" applyAlignment="1" applyProtection="1"/>
    <xf numFmtId="0" fontId="48" fillId="0" borderId="0" xfId="0" applyFont="1" applyAlignment="1"/>
    <xf numFmtId="0" fontId="47" fillId="0" borderId="0" xfId="0" applyFont="1" applyAlignment="1" applyProtection="1"/>
    <xf numFmtId="0" fontId="11" fillId="0" borderId="0" xfId="0" applyFont="1" applyAlignment="1"/>
    <xf numFmtId="0" fontId="0" fillId="0" borderId="0" xfId="0" applyFont="1" applyAlignment="1"/>
    <xf numFmtId="0" fontId="0" fillId="0" borderId="0" xfId="0" quotePrefix="1" applyAlignment="1"/>
    <xf numFmtId="0" fontId="17" fillId="21" borderId="0" xfId="0" applyFont="1" applyFill="1" applyBorder="1" applyAlignment="1" applyProtection="1">
      <alignment horizontal="center" vertical="center" wrapText="1"/>
      <protection locked="0"/>
    </xf>
    <xf numFmtId="0" fontId="28" fillId="5" borderId="0" xfId="1" applyFont="1" applyFill="1" applyBorder="1" applyAlignment="1">
      <alignment horizontal="center" vertical="center" wrapText="1"/>
    </xf>
    <xf numFmtId="0" fontId="17" fillId="3" borderId="0" xfId="0" applyFont="1" applyFill="1" applyBorder="1" applyAlignment="1" applyProtection="1">
      <alignment horizontal="center" vertical="center" shrinkToFit="1"/>
    </xf>
    <xf numFmtId="0" fontId="21" fillId="17" borderId="6" xfId="0" applyFont="1" applyFill="1" applyBorder="1" applyAlignment="1">
      <alignment horizontal="left" vertical="center"/>
    </xf>
    <xf numFmtId="0" fontId="20" fillId="5" borderId="0" xfId="0" applyFont="1" applyFill="1" applyBorder="1" applyAlignment="1" applyProtection="1">
      <alignment vertical="center"/>
    </xf>
    <xf numFmtId="0" fontId="20" fillId="5" borderId="0" xfId="0" applyFont="1" applyFill="1" applyBorder="1" applyAlignment="1" applyProtection="1">
      <alignment horizontal="left"/>
    </xf>
    <xf numFmtId="0" fontId="2" fillId="0" borderId="0" xfId="0" applyFont="1" applyFill="1" applyBorder="1" applyAlignment="1" applyProtection="1">
      <alignment horizontal="left"/>
    </xf>
    <xf numFmtId="0" fontId="28" fillId="5" borderId="48" xfId="0" applyFont="1" applyFill="1" applyBorder="1" applyAlignment="1" applyProtection="1">
      <alignment horizontal="center" vertical="center" wrapText="1"/>
    </xf>
    <xf numFmtId="0" fontId="10" fillId="0" borderId="0" xfId="0" applyFont="1" applyFill="1" applyBorder="1" applyAlignment="1" applyProtection="1">
      <alignment horizontal="left" vertical="top" wrapText="1"/>
    </xf>
    <xf numFmtId="0" fontId="2" fillId="0" borderId="0" xfId="0" applyFont="1" applyFill="1" applyBorder="1" applyAlignment="1" applyProtection="1">
      <alignment horizontal="right" vertical="top" indent="1"/>
    </xf>
    <xf numFmtId="164" fontId="0" fillId="3" borderId="0" xfId="0" applyNumberFormat="1" applyFill="1" applyProtection="1"/>
    <xf numFmtId="0" fontId="4" fillId="5" borderId="0" xfId="0" applyFont="1" applyFill="1"/>
    <xf numFmtId="0" fontId="11" fillId="0" borderId="0" xfId="0" applyFont="1" applyFill="1"/>
    <xf numFmtId="165" fontId="2" fillId="17" borderId="0" xfId="0" applyNumberFormat="1" applyFont="1" applyFill="1" applyBorder="1" applyAlignment="1" applyProtection="1">
      <alignment horizontal="right" vertical="top" shrinkToFit="1"/>
    </xf>
    <xf numFmtId="0" fontId="17" fillId="5" borderId="19" xfId="0" applyFont="1" applyFill="1" applyBorder="1" applyAlignment="1">
      <alignment horizontal="center" vertical="center" shrinkToFit="1"/>
    </xf>
    <xf numFmtId="0" fontId="25" fillId="17" borderId="4" xfId="0" applyFont="1" applyFill="1" applyBorder="1" applyAlignment="1">
      <alignment horizontal="right" vertical="center"/>
    </xf>
    <xf numFmtId="0" fontId="10" fillId="16" borderId="0" xfId="0" applyFont="1" applyFill="1" applyBorder="1" applyAlignment="1">
      <alignment horizontal="left" vertical="center" shrinkToFit="1"/>
    </xf>
    <xf numFmtId="0" fontId="2" fillId="16" borderId="62" xfId="0" applyFont="1" applyFill="1" applyBorder="1" applyAlignment="1">
      <alignment horizontal="center" vertical="center" shrinkToFit="1"/>
    </xf>
    <xf numFmtId="0" fontId="23" fillId="17" borderId="0" xfId="0" applyFont="1" applyFill="1" applyBorder="1" applyAlignment="1">
      <alignment horizontal="center" vertical="center"/>
    </xf>
    <xf numFmtId="165" fontId="2" fillId="17" borderId="0" xfId="0" applyNumberFormat="1" applyFont="1" applyFill="1" applyBorder="1" applyAlignment="1" applyProtection="1">
      <alignment horizontal="right" vertical="top" shrinkToFit="1"/>
    </xf>
    <xf numFmtId="0" fontId="0" fillId="3" borderId="0" xfId="0" applyFill="1" applyAlignment="1" applyProtection="1">
      <alignment horizontal="center" shrinkToFit="1"/>
    </xf>
    <xf numFmtId="0" fontId="7" fillId="0" borderId="0" xfId="0" applyFont="1" applyFill="1" applyBorder="1" applyAlignment="1">
      <alignment vertical="center" shrinkToFit="1"/>
    </xf>
    <xf numFmtId="0" fontId="23" fillId="17" borderId="0" xfId="0" applyFont="1" applyFill="1" applyBorder="1" applyAlignment="1" applyProtection="1">
      <alignment vertical="center"/>
    </xf>
    <xf numFmtId="0" fontId="10" fillId="16" borderId="0" xfId="0" applyFont="1" applyFill="1" applyBorder="1" applyAlignment="1" applyProtection="1">
      <alignment horizontal="left" vertical="center" shrinkToFit="1"/>
    </xf>
    <xf numFmtId="0" fontId="21" fillId="17" borderId="7" xfId="0" applyFont="1" applyFill="1" applyBorder="1" applyAlignment="1">
      <alignment horizontal="left" vertical="center"/>
    </xf>
    <xf numFmtId="0" fontId="21" fillId="17" borderId="0" xfId="0" applyFont="1" applyFill="1" applyBorder="1" applyAlignment="1">
      <alignment horizontal="left" vertical="top"/>
    </xf>
    <xf numFmtId="0" fontId="9" fillId="0" borderId="0" xfId="0" applyFont="1" applyAlignment="1" applyProtection="1">
      <alignment horizontal="left"/>
    </xf>
    <xf numFmtId="0" fontId="0" fillId="0" borderId="0" xfId="0" applyFont="1" applyAlignment="1" applyProtection="1"/>
    <xf numFmtId="0" fontId="4" fillId="20" borderId="63" xfId="0" applyFont="1" applyFill="1" applyBorder="1" applyAlignment="1" applyProtection="1">
      <alignment vertical="top"/>
    </xf>
    <xf numFmtId="0" fontId="9" fillId="19" borderId="63" xfId="0" applyFont="1" applyFill="1" applyBorder="1" applyAlignment="1" applyProtection="1">
      <alignment vertical="top"/>
    </xf>
    <xf numFmtId="0" fontId="9" fillId="0" borderId="63" xfId="0" applyFont="1" applyFill="1" applyBorder="1" applyAlignment="1" applyProtection="1">
      <alignment vertical="top"/>
    </xf>
    <xf numFmtId="0" fontId="0" fillId="0" borderId="0" xfId="0" applyFill="1" applyAlignment="1">
      <alignment horizontal="center" vertical="center"/>
    </xf>
    <xf numFmtId="0" fontId="0" fillId="0" borderId="64" xfId="0" applyBorder="1" applyAlignment="1" applyProtection="1">
      <alignment horizontal="center" vertical="center" shrinkToFit="1"/>
    </xf>
    <xf numFmtId="0" fontId="15" fillId="16" borderId="0" xfId="0" applyFont="1" applyFill="1" applyBorder="1" applyAlignment="1">
      <alignment horizontal="left" vertical="center"/>
    </xf>
    <xf numFmtId="0" fontId="15" fillId="16" borderId="7" xfId="0" applyFont="1" applyFill="1" applyBorder="1" applyAlignment="1" applyProtection="1">
      <alignment horizontal="center" vertical="center"/>
    </xf>
    <xf numFmtId="0" fontId="15" fillId="16" borderId="7" xfId="0" applyFont="1" applyFill="1" applyBorder="1" applyAlignment="1" applyProtection="1">
      <alignment horizontal="center" vertical="center" wrapText="1"/>
    </xf>
    <xf numFmtId="0" fontId="17" fillId="2" borderId="7" xfId="0" applyFont="1" applyFill="1" applyBorder="1" applyAlignment="1" applyProtection="1">
      <alignment horizontal="center" vertical="center"/>
      <protection locked="0"/>
    </xf>
    <xf numFmtId="0" fontId="15" fillId="4" borderId="7" xfId="0" applyFont="1" applyFill="1" applyBorder="1" applyAlignment="1" applyProtection="1">
      <alignment horizontal="center" vertical="center"/>
      <protection locked="0"/>
    </xf>
    <xf numFmtId="0" fontId="29" fillId="2" borderId="7" xfId="0" applyFont="1" applyFill="1" applyBorder="1" applyAlignment="1" applyProtection="1">
      <alignment horizontal="center" vertical="center"/>
      <protection locked="0"/>
    </xf>
    <xf numFmtId="0" fontId="30" fillId="4" borderId="7" xfId="0" applyFont="1" applyFill="1" applyBorder="1" applyAlignment="1" applyProtection="1">
      <alignment horizontal="center" vertical="center"/>
      <protection locked="0"/>
    </xf>
    <xf numFmtId="0" fontId="21" fillId="16" borderId="7" xfId="0" applyFont="1" applyFill="1" applyBorder="1" applyAlignment="1" applyProtection="1">
      <alignment horizontal="center" vertical="center" textRotation="90"/>
    </xf>
    <xf numFmtId="0" fontId="15" fillId="16" borderId="0" xfId="0" applyFont="1" applyFill="1" applyBorder="1" applyAlignment="1" applyProtection="1">
      <alignment horizontal="left" vertical="center" wrapText="1"/>
    </xf>
    <xf numFmtId="0" fontId="15" fillId="16" borderId="7" xfId="0" applyFont="1" applyFill="1" applyBorder="1" applyAlignment="1" applyProtection="1">
      <alignment horizontal="left" vertical="center" wrapText="1"/>
    </xf>
    <xf numFmtId="0" fontId="28" fillId="2" borderId="7" xfId="0" applyFont="1" applyFill="1" applyBorder="1" applyAlignment="1" applyProtection="1">
      <alignment horizontal="center" vertical="center"/>
      <protection locked="0"/>
    </xf>
    <xf numFmtId="0" fontId="21" fillId="4" borderId="7" xfId="0" applyFont="1" applyFill="1" applyBorder="1" applyAlignment="1" applyProtection="1">
      <alignment horizontal="center" vertical="center"/>
      <protection locked="0"/>
    </xf>
    <xf numFmtId="0" fontId="30" fillId="3" borderId="7" xfId="0" applyFont="1" applyFill="1" applyBorder="1" applyAlignment="1" applyProtection="1">
      <alignment horizontal="left" vertical="center"/>
    </xf>
    <xf numFmtId="0" fontId="17" fillId="2" borderId="7" xfId="0" applyFont="1" applyFill="1" applyBorder="1" applyAlignment="1" applyProtection="1">
      <alignment horizontal="left" vertical="center" wrapText="1"/>
    </xf>
    <xf numFmtId="0" fontId="30" fillId="9" borderId="7" xfId="0" applyFont="1" applyFill="1" applyBorder="1" applyAlignment="1" applyProtection="1">
      <alignment horizontal="left" vertical="center"/>
    </xf>
    <xf numFmtId="0" fontId="30" fillId="13" borderId="7" xfId="0" applyFont="1" applyFill="1" applyBorder="1" applyAlignment="1" applyProtection="1">
      <alignment horizontal="left" vertical="center"/>
    </xf>
    <xf numFmtId="0" fontId="30" fillId="14" borderId="7" xfId="0" applyFont="1" applyFill="1" applyBorder="1" applyAlignment="1" applyProtection="1">
      <alignment horizontal="left" vertical="center"/>
    </xf>
    <xf numFmtId="0" fontId="30" fillId="7" borderId="7" xfId="0" applyFont="1" applyFill="1" applyBorder="1" applyAlignment="1" applyProtection="1">
      <alignment horizontal="left" vertical="center"/>
    </xf>
    <xf numFmtId="0" fontId="30" fillId="15" borderId="7" xfId="0" applyFont="1" applyFill="1" applyBorder="1" applyAlignment="1" applyProtection="1">
      <alignment horizontal="left" vertical="center"/>
    </xf>
    <xf numFmtId="0" fontId="4" fillId="0" borderId="0" xfId="0" applyFont="1" applyFill="1" applyBorder="1" applyAlignment="1" applyProtection="1">
      <alignment horizontal="right" vertical="top" indent="1"/>
    </xf>
    <xf numFmtId="0" fontId="2" fillId="4" borderId="0" xfId="0" applyFont="1" applyFill="1" applyBorder="1" applyAlignment="1">
      <alignment horizontal="center" vertical="center"/>
    </xf>
    <xf numFmtId="0" fontId="9" fillId="19" borderId="0" xfId="0" applyFont="1" applyFill="1" applyBorder="1"/>
    <xf numFmtId="0" fontId="9" fillId="19" borderId="0" xfId="0" applyFont="1" applyFill="1" applyBorder="1" applyAlignment="1">
      <alignment horizontal="left"/>
    </xf>
    <xf numFmtId="0" fontId="15" fillId="3" borderId="7" xfId="0" applyFont="1" applyFill="1" applyBorder="1" applyAlignment="1" applyProtection="1">
      <alignment horizontal="left" vertical="center"/>
    </xf>
    <xf numFmtId="0" fontId="15" fillId="13" borderId="7" xfId="0" applyFont="1" applyFill="1" applyBorder="1" applyAlignment="1" applyProtection="1">
      <alignment horizontal="left" vertical="center"/>
    </xf>
    <xf numFmtId="0" fontId="15" fillId="14" borderId="7" xfId="0" applyFont="1" applyFill="1" applyBorder="1" applyAlignment="1" applyProtection="1">
      <alignment horizontal="left" vertical="center"/>
    </xf>
    <xf numFmtId="0" fontId="15" fillId="7" borderId="7" xfId="0" applyFont="1" applyFill="1" applyBorder="1" applyAlignment="1" applyProtection="1">
      <alignment horizontal="left" vertical="center"/>
    </xf>
    <xf numFmtId="0" fontId="15" fillId="15" borderId="7" xfId="0" applyFont="1" applyFill="1" applyBorder="1" applyAlignment="1" applyProtection="1">
      <alignment horizontal="left" vertical="center"/>
    </xf>
    <xf numFmtId="0" fontId="15" fillId="9" borderId="7" xfId="0" applyFont="1" applyFill="1" applyBorder="1" applyAlignment="1" applyProtection="1">
      <alignment horizontal="left" vertical="center"/>
    </xf>
    <xf numFmtId="0" fontId="28" fillId="2" borderId="7" xfId="0" applyFont="1" applyFill="1" applyBorder="1" applyAlignment="1" applyProtection="1">
      <alignment horizontal="center" vertical="center" textRotation="90"/>
    </xf>
    <xf numFmtId="0" fontId="2" fillId="6" borderId="7" xfId="0" applyFont="1" applyFill="1" applyBorder="1" applyAlignment="1" applyProtection="1">
      <alignment horizontal="center" vertical="center" wrapText="1"/>
    </xf>
    <xf numFmtId="0" fontId="2" fillId="6" borderId="7" xfId="0" applyFont="1" applyFill="1" applyBorder="1" applyAlignment="1" applyProtection="1">
      <alignment horizontal="center" vertical="center"/>
    </xf>
    <xf numFmtId="0" fontId="2" fillId="8" borderId="7" xfId="0" applyFont="1" applyFill="1" applyBorder="1" applyAlignment="1" applyProtection="1">
      <alignment horizontal="center" vertical="center" wrapText="1"/>
    </xf>
    <xf numFmtId="0" fontId="2" fillId="8" borderId="7" xfId="0" applyFont="1" applyFill="1" applyBorder="1" applyAlignment="1" applyProtection="1">
      <alignment horizontal="center" vertical="center"/>
    </xf>
    <xf numFmtId="0" fontId="2" fillId="10" borderId="7" xfId="0" applyFont="1" applyFill="1" applyBorder="1" applyAlignment="1" applyProtection="1">
      <alignment horizontal="center" vertical="center" wrapText="1"/>
    </xf>
    <xf numFmtId="0" fontId="2" fillId="10" borderId="7" xfId="0" applyFont="1" applyFill="1" applyBorder="1" applyAlignment="1" applyProtection="1">
      <alignment horizontal="center" vertical="center"/>
    </xf>
    <xf numFmtId="0" fontId="2" fillId="11" borderId="7" xfId="0" applyFont="1" applyFill="1" applyBorder="1" applyAlignment="1" applyProtection="1">
      <alignment horizontal="center" vertical="center" wrapText="1"/>
    </xf>
    <xf numFmtId="0" fontId="2" fillId="11" borderId="7" xfId="0" applyFont="1" applyFill="1" applyBorder="1" applyAlignment="1" applyProtection="1">
      <alignment horizontal="center" vertical="center"/>
    </xf>
    <xf numFmtId="0" fontId="2" fillId="12" borderId="7" xfId="0" applyFont="1" applyFill="1" applyBorder="1" applyAlignment="1" applyProtection="1">
      <alignment horizontal="center" vertical="center" wrapText="1"/>
    </xf>
    <xf numFmtId="0" fontId="2" fillId="12" borderId="7" xfId="0" applyFont="1" applyFill="1" applyBorder="1" applyAlignment="1" applyProtection="1">
      <alignment horizontal="center" vertical="center"/>
    </xf>
    <xf numFmtId="0" fontId="9" fillId="6" borderId="7" xfId="0" applyFont="1" applyFill="1" applyBorder="1" applyAlignment="1" applyProtection="1">
      <alignment horizontal="center" vertical="center" wrapText="1"/>
    </xf>
    <xf numFmtId="0" fontId="9" fillId="8" borderId="7" xfId="0" applyFont="1" applyFill="1" applyBorder="1" applyAlignment="1" applyProtection="1">
      <alignment horizontal="center" vertical="center" wrapText="1"/>
    </xf>
    <xf numFmtId="0" fontId="15" fillId="6" borderId="7" xfId="0" applyFont="1" applyFill="1" applyBorder="1" applyAlignment="1" applyProtection="1">
      <alignment horizontal="left" vertical="center"/>
    </xf>
    <xf numFmtId="0" fontId="15" fillId="8" borderId="7" xfId="0" applyFont="1" applyFill="1" applyBorder="1" applyAlignment="1" applyProtection="1">
      <alignment horizontal="left" vertical="center"/>
    </xf>
    <xf numFmtId="0" fontId="15" fillId="10" borderId="7" xfId="0" applyFont="1" applyFill="1" applyBorder="1" applyAlignment="1" applyProtection="1">
      <alignment horizontal="left" vertical="center"/>
    </xf>
    <xf numFmtId="0" fontId="15" fillId="11" borderId="7" xfId="0" applyFont="1" applyFill="1" applyBorder="1" applyAlignment="1" applyProtection="1">
      <alignment horizontal="left" vertical="center"/>
    </xf>
    <xf numFmtId="0" fontId="15" fillId="12" borderId="7" xfId="0" applyFont="1" applyFill="1" applyBorder="1" applyAlignment="1" applyProtection="1">
      <alignment horizontal="left" vertical="center"/>
    </xf>
    <xf numFmtId="0" fontId="15" fillId="3" borderId="0" xfId="0" applyFont="1" applyFill="1" applyBorder="1" applyAlignment="1" applyProtection="1">
      <alignment horizontal="left" vertical="center"/>
    </xf>
    <xf numFmtId="0" fontId="17" fillId="2" borderId="0" xfId="0" applyFont="1" applyFill="1" applyBorder="1" applyAlignment="1" applyProtection="1">
      <alignment vertical="center" wrapText="1"/>
    </xf>
    <xf numFmtId="0" fontId="17" fillId="21" borderId="0" xfId="0" applyFont="1" applyFill="1" applyBorder="1" applyAlignment="1" applyProtection="1">
      <alignment horizontal="center" vertical="center" wrapText="1"/>
    </xf>
    <xf numFmtId="0" fontId="17" fillId="0" borderId="0" xfId="0" applyFont="1" applyFill="1" applyBorder="1" applyAlignment="1" applyProtection="1">
      <alignment vertical="center" wrapText="1"/>
    </xf>
    <xf numFmtId="0" fontId="15" fillId="10" borderId="0" xfId="0" applyFont="1" applyFill="1" applyBorder="1" applyAlignment="1" applyProtection="1">
      <alignment horizontal="left" vertical="center"/>
    </xf>
    <xf numFmtId="0" fontId="15" fillId="11" borderId="0" xfId="0" applyFont="1" applyFill="1" applyBorder="1" applyAlignment="1" applyProtection="1">
      <alignment horizontal="left" vertical="center"/>
    </xf>
    <xf numFmtId="0" fontId="15" fillId="12" borderId="0" xfId="0" applyFont="1" applyFill="1" applyBorder="1" applyAlignment="1" applyProtection="1">
      <alignment horizontal="left" vertical="center"/>
    </xf>
    <xf numFmtId="0" fontId="15" fillId="6" borderId="0" xfId="0" applyFont="1" applyFill="1" applyBorder="1" applyAlignment="1" applyProtection="1">
      <alignment horizontal="left" vertical="center"/>
    </xf>
    <xf numFmtId="0" fontId="15" fillId="8" borderId="0" xfId="0" applyFont="1" applyFill="1" applyBorder="1" applyAlignment="1" applyProtection="1">
      <alignment horizontal="left" vertical="center"/>
    </xf>
    <xf numFmtId="0" fontId="15" fillId="9" borderId="0" xfId="0" applyFont="1" applyFill="1" applyBorder="1" applyAlignment="1" applyProtection="1">
      <alignment horizontal="left" vertical="center"/>
    </xf>
    <xf numFmtId="0" fontId="15" fillId="13" borderId="0" xfId="0" applyFont="1" applyFill="1" applyBorder="1" applyAlignment="1" applyProtection="1">
      <alignment horizontal="left" vertical="center"/>
    </xf>
    <xf numFmtId="0" fontId="15" fillId="14" borderId="0" xfId="0" applyFont="1" applyFill="1" applyBorder="1" applyAlignment="1" applyProtection="1">
      <alignment horizontal="left" vertical="center"/>
    </xf>
    <xf numFmtId="0" fontId="15" fillId="7" borderId="0" xfId="0" applyFont="1" applyFill="1" applyBorder="1" applyAlignment="1" applyProtection="1">
      <alignment horizontal="left" vertical="center"/>
    </xf>
    <xf numFmtId="0" fontId="15" fillId="15" borderId="0" xfId="0" applyFont="1" applyFill="1" applyBorder="1" applyAlignment="1" applyProtection="1">
      <alignment horizontal="left" vertical="center"/>
    </xf>
    <xf numFmtId="0" fontId="2" fillId="4" borderId="0" xfId="0" applyFont="1" applyFill="1" applyAlignment="1">
      <alignment horizontal="center" vertical="center"/>
    </xf>
    <xf numFmtId="168" fontId="9" fillId="19" borderId="0" xfId="0" applyNumberFormat="1" applyFont="1" applyFill="1" applyAlignment="1">
      <alignment horizontal="left" shrinkToFit="1"/>
    </xf>
    <xf numFmtId="0" fontId="0" fillId="0" borderId="0" xfId="0" applyFont="1"/>
    <xf numFmtId="0" fontId="2" fillId="0" borderId="0" xfId="0" applyFont="1" applyFill="1" applyBorder="1" applyAlignment="1">
      <alignment horizontal="center" vertical="top"/>
    </xf>
    <xf numFmtId="0" fontId="2" fillId="0" borderId="0" xfId="0" applyFont="1" applyFill="1" applyBorder="1" applyAlignment="1">
      <alignment horizontal="center"/>
    </xf>
    <xf numFmtId="0" fontId="4" fillId="20" borderId="63" xfId="0" applyFont="1" applyFill="1" applyBorder="1" applyAlignment="1" applyProtection="1">
      <alignment vertical="top" shrinkToFit="1"/>
    </xf>
    <xf numFmtId="0" fontId="9" fillId="19" borderId="63" xfId="0" applyFont="1" applyFill="1" applyBorder="1" applyAlignment="1" applyProtection="1">
      <alignment vertical="top" shrinkToFit="1"/>
    </xf>
    <xf numFmtId="0" fontId="9" fillId="0" borderId="63" xfId="0" applyFont="1" applyFill="1" applyBorder="1" applyAlignment="1" applyProtection="1">
      <alignment vertical="top" shrinkToFit="1"/>
    </xf>
    <xf numFmtId="0" fontId="9" fillId="0" borderId="63" xfId="0" applyFont="1" applyFill="1" applyBorder="1" applyAlignment="1" applyProtection="1">
      <alignment horizontal="left" vertical="top" shrinkToFit="1"/>
    </xf>
    <xf numFmtId="0" fontId="4" fillId="0" borderId="0" xfId="0" applyFont="1" applyFill="1" applyBorder="1" applyAlignment="1">
      <alignment horizontal="center" vertical="center"/>
    </xf>
    <xf numFmtId="0" fontId="15" fillId="16" borderId="0" xfId="0" applyFont="1" applyFill="1" applyBorder="1" applyAlignment="1">
      <alignment horizontal="center" vertical="center"/>
    </xf>
    <xf numFmtId="0" fontId="30" fillId="6" borderId="0" xfId="0" applyFont="1" applyFill="1" applyBorder="1" applyAlignment="1" applyProtection="1">
      <alignment horizontal="center" vertical="center" wrapText="1"/>
      <protection locked="0"/>
    </xf>
    <xf numFmtId="0" fontId="30" fillId="8" borderId="0" xfId="0" applyFont="1" applyFill="1" applyBorder="1" applyAlignment="1" applyProtection="1">
      <alignment horizontal="center" vertical="center" wrapText="1"/>
      <protection locked="0"/>
    </xf>
    <xf numFmtId="0" fontId="30" fillId="10" borderId="0" xfId="0" applyFont="1" applyFill="1" applyBorder="1" applyAlignment="1" applyProtection="1">
      <alignment horizontal="center" vertical="center" wrapText="1"/>
      <protection locked="0"/>
    </xf>
    <xf numFmtId="0" fontId="30" fillId="11" borderId="0" xfId="0" applyFont="1" applyFill="1" applyBorder="1" applyAlignment="1" applyProtection="1">
      <alignment horizontal="center" vertical="center" wrapText="1"/>
      <protection locked="0"/>
    </xf>
    <xf numFmtId="0" fontId="30" fillId="12" borderId="0" xfId="0" applyFont="1" applyFill="1" applyBorder="1" applyAlignment="1" applyProtection="1">
      <alignment horizontal="center" vertical="center" wrapText="1"/>
      <protection locked="0"/>
    </xf>
    <xf numFmtId="0" fontId="29" fillId="2" borderId="0" xfId="0" applyFont="1" applyFill="1" applyBorder="1" applyAlignment="1" applyProtection="1">
      <alignment horizontal="left" vertical="center" wrapText="1"/>
      <protection locked="0"/>
    </xf>
    <xf numFmtId="0" fontId="9" fillId="19" borderId="63" xfId="0" applyFont="1" applyFill="1" applyBorder="1" applyAlignment="1" applyProtection="1">
      <alignment horizontal="left" vertical="top" shrinkToFit="1"/>
    </xf>
    <xf numFmtId="0" fontId="9" fillId="19" borderId="63" xfId="0" quotePrefix="1" applyFont="1" applyFill="1" applyBorder="1" applyAlignment="1" applyProtection="1">
      <alignment vertical="top" shrinkToFit="1"/>
    </xf>
    <xf numFmtId="0" fontId="9" fillId="23" borderId="63" xfId="0" applyFont="1" applyFill="1" applyBorder="1" applyAlignment="1" applyProtection="1">
      <alignment vertical="top" shrinkToFit="1"/>
    </xf>
    <xf numFmtId="0" fontId="15" fillId="3" borderId="0" xfId="0" applyFont="1" applyFill="1" applyBorder="1" applyAlignment="1">
      <alignment horizontal="left" vertical="center"/>
    </xf>
    <xf numFmtId="0" fontId="17" fillId="2" borderId="0" xfId="0" applyFont="1" applyFill="1" applyBorder="1" applyAlignment="1">
      <alignment horizontal="left" vertical="center" wrapText="1"/>
    </xf>
    <xf numFmtId="0" fontId="15" fillId="6" borderId="0" xfId="0" applyFont="1" applyFill="1" applyBorder="1" applyAlignment="1">
      <alignment horizontal="left" vertical="center" wrapText="1"/>
    </xf>
    <xf numFmtId="0" fontId="15" fillId="8" borderId="0" xfId="0" applyFont="1" applyFill="1" applyBorder="1" applyAlignment="1">
      <alignment horizontal="left" vertical="center" wrapText="1"/>
    </xf>
    <xf numFmtId="0" fontId="15" fillId="9" borderId="0" xfId="0" applyFont="1" applyFill="1" applyBorder="1" applyAlignment="1">
      <alignment horizontal="left" vertical="center" wrapText="1"/>
    </xf>
    <xf numFmtId="0" fontId="15" fillId="10" borderId="0" xfId="0" applyFont="1" applyFill="1" applyBorder="1" applyAlignment="1">
      <alignment horizontal="left" vertical="center" wrapText="1"/>
    </xf>
    <xf numFmtId="0" fontId="15" fillId="11" borderId="0" xfId="0" applyFont="1" applyFill="1" applyBorder="1" applyAlignment="1">
      <alignment horizontal="left" vertical="center" wrapText="1"/>
    </xf>
    <xf numFmtId="0" fontId="15" fillId="12" borderId="0" xfId="0" applyFont="1" applyFill="1" applyBorder="1" applyAlignment="1">
      <alignment horizontal="left" vertical="center" wrapText="1"/>
    </xf>
    <xf numFmtId="0" fontId="15" fillId="6" borderId="0" xfId="0" applyFont="1" applyFill="1" applyBorder="1" applyAlignment="1">
      <alignment horizontal="left" vertical="center"/>
    </xf>
    <xf numFmtId="0" fontId="15" fillId="8" borderId="0" xfId="0" applyFont="1" applyFill="1" applyBorder="1" applyAlignment="1">
      <alignment horizontal="left" vertical="center"/>
    </xf>
    <xf numFmtId="0" fontId="15" fillId="9" borderId="0" xfId="0" applyFont="1" applyFill="1" applyBorder="1" applyAlignment="1">
      <alignment horizontal="left" vertical="center"/>
    </xf>
    <xf numFmtId="0" fontId="15" fillId="10" borderId="0" xfId="0" applyFont="1" applyFill="1" applyBorder="1" applyAlignment="1">
      <alignment horizontal="left" vertical="center"/>
    </xf>
    <xf numFmtId="0" fontId="15" fillId="11" borderId="0" xfId="0" applyFont="1" applyFill="1" applyBorder="1" applyAlignment="1">
      <alignment horizontal="left" vertical="center"/>
    </xf>
    <xf numFmtId="0" fontId="15" fillId="12" borderId="0" xfId="0" applyFont="1" applyFill="1" applyBorder="1" applyAlignment="1">
      <alignment horizontal="left" vertical="center"/>
    </xf>
    <xf numFmtId="0" fontId="15" fillId="6" borderId="0" xfId="0" applyFont="1" applyFill="1" applyBorder="1" applyAlignment="1">
      <alignment horizontal="center" vertical="center" wrapText="1"/>
    </xf>
    <xf numFmtId="0" fontId="15" fillId="8" borderId="0" xfId="0" applyFont="1" applyFill="1" applyBorder="1" applyAlignment="1">
      <alignment horizontal="center" vertical="center" wrapText="1"/>
    </xf>
    <xf numFmtId="0" fontId="15" fillId="9" borderId="0" xfId="0" applyFont="1" applyFill="1" applyBorder="1" applyAlignment="1">
      <alignment horizontal="center" vertical="center" wrapText="1"/>
    </xf>
    <xf numFmtId="0" fontId="15" fillId="10" borderId="0" xfId="0" applyFont="1" applyFill="1" applyBorder="1" applyAlignment="1">
      <alignment horizontal="center" vertical="center" wrapText="1"/>
    </xf>
    <xf numFmtId="0" fontId="15" fillId="11" borderId="0" xfId="0" applyFont="1" applyFill="1" applyBorder="1" applyAlignment="1">
      <alignment horizontal="center" vertical="center" wrapText="1"/>
    </xf>
    <xf numFmtId="0" fontId="15" fillId="12" borderId="0" xfId="0" applyFont="1" applyFill="1" applyBorder="1" applyAlignment="1">
      <alignment horizontal="center" vertical="center" wrapText="1"/>
    </xf>
    <xf numFmtId="0" fontId="15" fillId="13" borderId="0" xfId="0" applyFont="1" applyFill="1" applyBorder="1" applyAlignment="1">
      <alignment horizontal="left" vertical="center"/>
    </xf>
    <xf numFmtId="0" fontId="15" fillId="14" borderId="0" xfId="0" applyFont="1" applyFill="1" applyBorder="1" applyAlignment="1">
      <alignment horizontal="left" vertical="center"/>
    </xf>
    <xf numFmtId="0" fontId="15" fillId="7" borderId="0" xfId="0" applyFont="1" applyFill="1" applyBorder="1" applyAlignment="1">
      <alignment horizontal="left" vertical="center"/>
    </xf>
    <xf numFmtId="0" fontId="15" fillId="15" borderId="0" xfId="0" applyFont="1" applyFill="1" applyBorder="1" applyAlignment="1">
      <alignment horizontal="left" vertical="center"/>
    </xf>
    <xf numFmtId="0" fontId="15" fillId="3" borderId="0" xfId="0" applyFont="1" applyFill="1" applyBorder="1" applyAlignment="1">
      <alignment horizontal="right" vertical="center"/>
    </xf>
    <xf numFmtId="0" fontId="2" fillId="6" borderId="0" xfId="0" applyFont="1" applyFill="1" applyBorder="1" applyAlignment="1">
      <alignment horizontal="left" vertical="center" wrapText="1"/>
    </xf>
    <xf numFmtId="0" fontId="2" fillId="8" borderId="0" xfId="0" applyFont="1" applyFill="1" applyBorder="1" applyAlignment="1">
      <alignment horizontal="left" vertical="center" wrapText="1"/>
    </xf>
    <xf numFmtId="0" fontId="9" fillId="16" borderId="0" xfId="0" applyFont="1" applyFill="1" applyBorder="1" applyAlignment="1">
      <alignment horizontal="center" vertical="center"/>
    </xf>
    <xf numFmtId="0" fontId="2" fillId="16" borderId="0" xfId="0" applyFont="1" applyFill="1" applyBorder="1" applyAlignment="1">
      <alignment horizontal="center" vertical="center"/>
    </xf>
    <xf numFmtId="0" fontId="30" fillId="16" borderId="0" xfId="0" applyFont="1" applyFill="1" applyBorder="1" applyAlignment="1">
      <alignment horizontal="left" vertical="center"/>
    </xf>
    <xf numFmtId="0" fontId="2" fillId="6" borderId="0" xfId="0" applyFont="1" applyFill="1" applyBorder="1" applyAlignment="1">
      <alignment horizontal="left" vertical="center"/>
    </xf>
    <xf numFmtId="0" fontId="2" fillId="8" borderId="0" xfId="0" applyFont="1" applyFill="1" applyBorder="1" applyAlignment="1">
      <alignment horizontal="left" vertical="center"/>
    </xf>
    <xf numFmtId="0" fontId="6" fillId="0" borderId="0" xfId="0" applyFont="1" applyFill="1" applyBorder="1" applyAlignment="1" applyProtection="1">
      <alignment horizontal="right" vertical="top" indent="1"/>
    </xf>
    <xf numFmtId="0" fontId="30" fillId="0" borderId="0" xfId="0" applyFont="1" applyBorder="1" applyAlignment="1">
      <alignment horizontal="left" vertical="center"/>
    </xf>
    <xf numFmtId="0" fontId="4" fillId="20" borderId="2" xfId="0" applyFont="1" applyFill="1" applyBorder="1"/>
    <xf numFmtId="0" fontId="30" fillId="0" borderId="0" xfId="0" applyFont="1" applyFill="1" applyBorder="1" applyAlignment="1" applyProtection="1">
      <alignment horizontal="center" vertical="center"/>
    </xf>
    <xf numFmtId="0" fontId="30" fillId="6" borderId="0" xfId="0" applyFont="1" applyFill="1" applyBorder="1" applyAlignment="1" applyProtection="1">
      <alignment horizontal="center" vertical="center"/>
      <protection locked="0"/>
    </xf>
    <xf numFmtId="0" fontId="30" fillId="3" borderId="0" xfId="0" applyFont="1" applyFill="1" applyBorder="1" applyAlignment="1" applyProtection="1">
      <alignment horizontal="center" vertical="center"/>
    </xf>
    <xf numFmtId="0" fontId="30" fillId="3" borderId="0" xfId="0" applyFont="1" applyFill="1" applyBorder="1" applyAlignment="1" applyProtection="1">
      <alignment horizontal="center" vertical="center"/>
      <protection locked="0"/>
    </xf>
    <xf numFmtId="0" fontId="30" fillId="3" borderId="0" xfId="0" applyFont="1" applyFill="1" applyBorder="1" applyAlignment="1" applyProtection="1">
      <alignment horizontal="right" vertical="center"/>
    </xf>
    <xf numFmtId="0" fontId="30" fillId="3" borderId="0" xfId="0" applyFont="1" applyFill="1" applyBorder="1" applyAlignment="1" applyProtection="1">
      <alignment horizontal="right" vertical="center"/>
      <protection locked="0"/>
    </xf>
    <xf numFmtId="0" fontId="15" fillId="3" borderId="0" xfId="0" applyFont="1" applyFill="1" applyBorder="1" applyAlignment="1">
      <alignment horizontal="center" vertical="center"/>
    </xf>
    <xf numFmtId="0" fontId="30" fillId="3" borderId="0" xfId="0" applyFont="1" applyFill="1" applyBorder="1" applyAlignment="1">
      <alignment horizontal="right" vertical="center"/>
    </xf>
    <xf numFmtId="0" fontId="15" fillId="0" borderId="0" xfId="0" applyFont="1" applyFill="1" applyBorder="1" applyAlignment="1" applyProtection="1">
      <alignment horizontal="right" vertical="top" indent="1"/>
    </xf>
    <xf numFmtId="0" fontId="15" fillId="0" borderId="0" xfId="0" applyFont="1" applyFill="1" applyBorder="1" applyAlignment="1" applyProtection="1">
      <alignment horizontal="center" vertical="center"/>
    </xf>
    <xf numFmtId="0" fontId="17" fillId="5" borderId="0" xfId="0" applyFont="1" applyFill="1" applyBorder="1" applyAlignment="1" applyProtection="1">
      <alignment horizontal="center" vertical="center"/>
    </xf>
    <xf numFmtId="0" fontId="53" fillId="0" borderId="0" xfId="0" applyFont="1" applyBorder="1" applyAlignment="1" applyProtection="1">
      <alignment vertical="center"/>
    </xf>
    <xf numFmtId="0" fontId="53" fillId="0" borderId="0" xfId="0" applyFont="1" applyBorder="1" applyAlignment="1">
      <alignment vertical="center"/>
    </xf>
    <xf numFmtId="0" fontId="53" fillId="0" borderId="0" xfId="0" applyFont="1" applyBorder="1"/>
    <xf numFmtId="0" fontId="30" fillId="8" borderId="0" xfId="0" applyFont="1" applyFill="1" applyBorder="1" applyAlignment="1" applyProtection="1">
      <alignment horizontal="center" vertical="center"/>
      <protection locked="0"/>
    </xf>
    <xf numFmtId="0" fontId="30" fillId="10" borderId="0" xfId="0" applyFont="1" applyFill="1" applyBorder="1" applyAlignment="1" applyProtection="1">
      <alignment horizontal="center" vertical="center"/>
      <protection locked="0"/>
    </xf>
    <xf numFmtId="0" fontId="30" fillId="11" borderId="0" xfId="0" applyFont="1" applyFill="1" applyBorder="1" applyAlignment="1" applyProtection="1">
      <alignment horizontal="center" vertical="center"/>
      <protection locked="0"/>
    </xf>
    <xf numFmtId="0" fontId="30" fillId="12" borderId="0" xfId="0" applyFont="1" applyFill="1" applyBorder="1" applyAlignment="1" applyProtection="1">
      <alignment horizontal="center" vertical="center"/>
      <protection locked="0"/>
    </xf>
    <xf numFmtId="0" fontId="15" fillId="0" borderId="0" xfId="0" applyFont="1" applyBorder="1" applyAlignment="1" applyProtection="1">
      <alignment horizontal="center" vertical="center"/>
    </xf>
    <xf numFmtId="0" fontId="15" fillId="6" borderId="7" xfId="0" applyFont="1" applyFill="1" applyBorder="1" applyAlignment="1" applyProtection="1">
      <alignment horizontal="left" vertical="center" wrapText="1"/>
    </xf>
    <xf numFmtId="0" fontId="15" fillId="8" borderId="7" xfId="0" applyFont="1" applyFill="1" applyBorder="1" applyAlignment="1" applyProtection="1">
      <alignment horizontal="left" vertical="center" wrapText="1"/>
    </xf>
    <xf numFmtId="0" fontId="15" fillId="9" borderId="7" xfId="0" applyFont="1" applyFill="1" applyBorder="1" applyAlignment="1" applyProtection="1">
      <alignment horizontal="left" vertical="center" wrapText="1"/>
    </xf>
    <xf numFmtId="0" fontId="15" fillId="10" borderId="7" xfId="0" applyFont="1" applyFill="1" applyBorder="1" applyAlignment="1" applyProtection="1">
      <alignment horizontal="left" vertical="center" wrapText="1"/>
    </xf>
    <xf numFmtId="0" fontId="15" fillId="11" borderId="7" xfId="0" applyFont="1" applyFill="1" applyBorder="1" applyAlignment="1" applyProtection="1">
      <alignment horizontal="left" vertical="center" wrapText="1"/>
    </xf>
    <xf numFmtId="0" fontId="15" fillId="12" borderId="7" xfId="0" applyFont="1" applyFill="1" applyBorder="1" applyAlignment="1" applyProtection="1">
      <alignment horizontal="left" vertical="center" wrapText="1"/>
    </xf>
    <xf numFmtId="0" fontId="21" fillId="16" borderId="7" xfId="0" applyFont="1" applyFill="1" applyBorder="1" applyAlignment="1" applyProtection="1">
      <alignment horizontal="center" vertical="center" textRotation="90" wrapText="1"/>
    </xf>
    <xf numFmtId="0" fontId="52" fillId="16" borderId="7" xfId="0" applyFont="1" applyFill="1" applyBorder="1" applyAlignment="1" applyProtection="1">
      <alignment horizontal="center" vertical="center" textRotation="90" wrapText="1"/>
    </xf>
    <xf numFmtId="0" fontId="15" fillId="6" borderId="7" xfId="0" applyFont="1" applyFill="1" applyBorder="1" applyAlignment="1" applyProtection="1">
      <alignment horizontal="center" vertical="center" wrapText="1"/>
    </xf>
    <xf numFmtId="0" fontId="15" fillId="8" borderId="7" xfId="0" applyFont="1" applyFill="1" applyBorder="1" applyAlignment="1" applyProtection="1">
      <alignment horizontal="center" vertical="center" wrapText="1"/>
    </xf>
    <xf numFmtId="0" fontId="15" fillId="9" borderId="7" xfId="0" applyFont="1" applyFill="1" applyBorder="1" applyAlignment="1" applyProtection="1">
      <alignment horizontal="center" vertical="center" wrapText="1"/>
    </xf>
    <xf numFmtId="0" fontId="15" fillId="10" borderId="7" xfId="0" applyFont="1" applyFill="1" applyBorder="1" applyAlignment="1" applyProtection="1">
      <alignment horizontal="center" vertical="center" wrapText="1"/>
    </xf>
    <xf numFmtId="0" fontId="15" fillId="11" borderId="7" xfId="0" applyFont="1" applyFill="1" applyBorder="1" applyAlignment="1" applyProtection="1">
      <alignment horizontal="center" vertical="center" wrapText="1"/>
    </xf>
    <xf numFmtId="0" fontId="15" fillId="12" borderId="7" xfId="0" applyFont="1" applyFill="1" applyBorder="1" applyAlignment="1" applyProtection="1">
      <alignment horizontal="center" vertical="center" wrapText="1"/>
    </xf>
    <xf numFmtId="0" fontId="0" fillId="0" borderId="7" xfId="0" applyBorder="1" applyAlignment="1" applyProtection="1"/>
    <xf numFmtId="168" fontId="9" fillId="19" borderId="0" xfId="0" applyNumberFormat="1" applyFont="1" applyFill="1" applyAlignment="1">
      <alignment horizontal="left"/>
    </xf>
    <xf numFmtId="167" fontId="9" fillId="19" borderId="0" xfId="0" applyNumberFormat="1" applyFont="1" applyFill="1" applyAlignment="1">
      <alignment horizontal="left"/>
    </xf>
    <xf numFmtId="1" fontId="4" fillId="5" borderId="0" xfId="0" applyNumberFormat="1" applyFont="1" applyFill="1" applyBorder="1" applyAlignment="1">
      <alignment horizontal="center" vertical="center"/>
    </xf>
    <xf numFmtId="0" fontId="4" fillId="5" borderId="0" xfId="0" applyFont="1" applyFill="1" applyBorder="1"/>
    <xf numFmtId="164" fontId="6" fillId="2" borderId="29" xfId="0" applyNumberFormat="1" applyFont="1" applyFill="1" applyBorder="1" applyAlignment="1" applyProtection="1">
      <alignment horizontal="center" vertical="center"/>
    </xf>
    <xf numFmtId="0" fontId="4" fillId="2" borderId="0" xfId="0" applyFont="1" applyFill="1" applyAlignment="1">
      <alignment horizontal="center" vertical="center"/>
    </xf>
    <xf numFmtId="0" fontId="9" fillId="19" borderId="0" xfId="0" applyFont="1" applyFill="1" applyAlignment="1">
      <alignment horizontal="center" vertical="center"/>
    </xf>
    <xf numFmtId="0" fontId="30" fillId="16" borderId="0" xfId="0" applyFont="1" applyFill="1" applyBorder="1" applyAlignment="1" applyProtection="1">
      <alignment horizontal="left" vertical="center"/>
    </xf>
    <xf numFmtId="0" fontId="17" fillId="16" borderId="7" xfId="0" applyFont="1" applyFill="1" applyBorder="1" applyAlignment="1" applyProtection="1">
      <alignment horizontal="center" vertical="center"/>
      <protection locked="0"/>
    </xf>
    <xf numFmtId="0" fontId="15" fillId="0" borderId="7" xfId="0" applyFont="1" applyFill="1" applyBorder="1" applyAlignment="1" applyProtection="1">
      <alignment horizontal="center" vertical="center"/>
      <protection locked="0"/>
    </xf>
    <xf numFmtId="0" fontId="30" fillId="16" borderId="0" xfId="0" applyFont="1" applyFill="1" applyBorder="1" applyAlignment="1" applyProtection="1">
      <alignment horizontal="left" vertical="center"/>
      <protection locked="0"/>
    </xf>
    <xf numFmtId="0" fontId="0" fillId="0" borderId="0" xfId="0" applyFill="1" applyAlignment="1">
      <alignment wrapText="1"/>
    </xf>
    <xf numFmtId="0" fontId="9" fillId="0" borderId="0" xfId="0" applyFont="1" applyAlignment="1">
      <alignment horizontal="center"/>
    </xf>
    <xf numFmtId="0" fontId="4" fillId="2" borderId="0" xfId="0" applyFont="1" applyFill="1" applyAlignment="1">
      <alignment horizontal="center" vertical="center"/>
    </xf>
    <xf numFmtId="0" fontId="9" fillId="0" borderId="0" xfId="0" applyFont="1" applyAlignment="1" applyProtection="1">
      <alignment horizontal="center" vertical="center"/>
    </xf>
    <xf numFmtId="0" fontId="9" fillId="0" borderId="0" xfId="0" applyFont="1" applyAlignment="1" applyProtection="1">
      <alignment horizontal="left" vertical="center"/>
    </xf>
    <xf numFmtId="0" fontId="0" fillId="0" borderId="0" xfId="0" applyFont="1" applyAlignment="1" applyProtection="1">
      <alignment horizontal="center" vertical="center"/>
    </xf>
    <xf numFmtId="0" fontId="4" fillId="5" borderId="65" xfId="0" applyFont="1" applyFill="1" applyBorder="1" applyAlignment="1">
      <alignment horizontal="center" vertical="center"/>
    </xf>
    <xf numFmtId="0" fontId="2" fillId="9" borderId="7" xfId="0" applyFont="1" applyFill="1" applyBorder="1" applyAlignment="1" applyProtection="1">
      <alignment horizontal="center" vertical="center" wrapText="1"/>
    </xf>
    <xf numFmtId="0" fontId="2" fillId="9" borderId="7" xfId="0" applyFont="1" applyFill="1" applyBorder="1" applyAlignment="1" applyProtection="1">
      <alignment horizontal="center" vertical="center"/>
    </xf>
    <xf numFmtId="0" fontId="15" fillId="13" borderId="7" xfId="0" applyFont="1" applyFill="1" applyBorder="1" applyAlignment="1" applyProtection="1">
      <alignment horizontal="left" vertical="center" wrapText="1"/>
    </xf>
    <xf numFmtId="0" fontId="15" fillId="14" borderId="7" xfId="0" applyFont="1" applyFill="1" applyBorder="1" applyAlignment="1" applyProtection="1">
      <alignment horizontal="left" vertical="center" wrapText="1"/>
    </xf>
    <xf numFmtId="0" fontId="15" fillId="7" borderId="7" xfId="0" applyFont="1" applyFill="1" applyBorder="1" applyAlignment="1" applyProtection="1">
      <alignment horizontal="left" vertical="center" wrapText="1"/>
    </xf>
    <xf numFmtId="0" fontId="15" fillId="15" borderId="7" xfId="0" applyFont="1" applyFill="1" applyBorder="1" applyAlignment="1" applyProtection="1">
      <alignment horizontal="left" vertical="center" wrapText="1"/>
    </xf>
    <xf numFmtId="0" fontId="9" fillId="23" borderId="63" xfId="0" applyFont="1" applyFill="1" applyBorder="1" applyAlignment="1" applyProtection="1">
      <alignment vertical="top"/>
    </xf>
    <xf numFmtId="0" fontId="4" fillId="2" borderId="0" xfId="0" applyFont="1" applyFill="1" applyBorder="1" applyAlignment="1" applyProtection="1">
      <alignment horizontal="center" vertical="center"/>
    </xf>
    <xf numFmtId="0" fontId="4" fillId="2" borderId="0" xfId="0" quotePrefix="1" applyFont="1" applyFill="1" applyBorder="1" applyAlignment="1" applyProtection="1">
      <alignment horizontal="center" vertical="center"/>
    </xf>
    <xf numFmtId="0" fontId="4" fillId="2" borderId="0" xfId="0" applyFont="1" applyFill="1" applyAlignment="1" applyProtection="1">
      <alignment horizontal="left" vertical="center"/>
      <protection locked="0"/>
    </xf>
    <xf numFmtId="0" fontId="28" fillId="5" borderId="48" xfId="0" applyFont="1" applyFill="1" applyBorder="1" applyAlignment="1" applyProtection="1">
      <alignment horizontal="center" vertical="top" wrapText="1"/>
    </xf>
    <xf numFmtId="0" fontId="4" fillId="5" borderId="0" xfId="0" applyFont="1" applyFill="1" applyBorder="1" applyAlignment="1">
      <alignment horizontal="center" vertical="center"/>
    </xf>
    <xf numFmtId="0" fontId="5" fillId="0" borderId="17" xfId="0" applyFont="1" applyBorder="1" applyAlignment="1"/>
    <xf numFmtId="0" fontId="0" fillId="0" borderId="19" xfId="0" applyBorder="1" applyAlignment="1"/>
    <xf numFmtId="0" fontId="5" fillId="0" borderId="19" xfId="0" applyFont="1" applyBorder="1" applyAlignment="1"/>
    <xf numFmtId="0" fontId="9" fillId="0" borderId="0" xfId="0" applyFont="1" applyBorder="1" applyAlignment="1">
      <alignment horizontal="left"/>
    </xf>
    <xf numFmtId="0" fontId="2" fillId="0" borderId="0" xfId="0" applyFont="1" applyFill="1" applyAlignment="1">
      <alignment horizontal="center" vertical="center"/>
    </xf>
    <xf numFmtId="0" fontId="0" fillId="0" borderId="18" xfId="0" applyBorder="1" applyAlignment="1"/>
    <xf numFmtId="0" fontId="2" fillId="0" borderId="0" xfId="0" applyFont="1" applyAlignment="1">
      <alignment horizontal="left" vertical="center"/>
    </xf>
    <xf numFmtId="0" fontId="9" fillId="0" borderId="25" xfId="0" applyFont="1" applyBorder="1" applyAlignment="1">
      <alignment horizontal="left"/>
    </xf>
    <xf numFmtId="0" fontId="9" fillId="0" borderId="0" xfId="0" applyFont="1"/>
    <xf numFmtId="0" fontId="9" fillId="0" borderId="0" xfId="0" applyNumberFormat="1" applyFont="1"/>
    <xf numFmtId="0" fontId="54" fillId="0" borderId="0" xfId="0" applyFont="1" applyAlignment="1">
      <alignment horizontal="left" indent="1"/>
    </xf>
    <xf numFmtId="0" fontId="42" fillId="0" borderId="0" xfId="0" applyFont="1" applyAlignment="1">
      <alignment horizontal="left" vertical="center"/>
    </xf>
    <xf numFmtId="0" fontId="0" fillId="0" borderId="0" xfId="0" applyAlignment="1" applyProtection="1">
      <alignment vertical="top"/>
    </xf>
    <xf numFmtId="0" fontId="4" fillId="5" borderId="23" xfId="0" applyFont="1" applyFill="1" applyBorder="1" applyAlignment="1">
      <alignment horizontal="center" vertical="center"/>
    </xf>
    <xf numFmtId="0" fontId="9" fillId="0" borderId="24" xfId="0" applyFont="1" applyBorder="1" applyAlignment="1">
      <alignment horizontal="left"/>
    </xf>
    <xf numFmtId="0" fontId="9" fillId="0" borderId="23" xfId="0" applyFont="1" applyBorder="1" applyAlignment="1">
      <alignment horizontal="left"/>
    </xf>
    <xf numFmtId="0" fontId="4" fillId="5" borderId="26" xfId="0" applyFont="1" applyFill="1" applyBorder="1" applyAlignment="1">
      <alignment horizontal="center" vertical="center"/>
    </xf>
    <xf numFmtId="0" fontId="9" fillId="0" borderId="27" xfId="0" applyFont="1" applyBorder="1" applyAlignment="1">
      <alignment horizontal="left"/>
    </xf>
    <xf numFmtId="0" fontId="9" fillId="0" borderId="26" xfId="0" applyFont="1" applyBorder="1" applyAlignment="1">
      <alignment horizontal="left"/>
    </xf>
    <xf numFmtId="0" fontId="0" fillId="2" borderId="0" xfId="0" applyFill="1" applyAlignment="1" applyProtection="1"/>
    <xf numFmtId="0" fontId="5" fillId="0" borderId="0" xfId="0" applyFont="1" applyAlignment="1"/>
    <xf numFmtId="0" fontId="5" fillId="0" borderId="0" xfId="0" applyFont="1" applyAlignment="1" applyProtection="1"/>
    <xf numFmtId="0" fontId="7" fillId="0" borderId="0" xfId="0" applyFont="1" applyAlignment="1"/>
    <xf numFmtId="0" fontId="0" fillId="2" borderId="0" xfId="0" applyFill="1" applyAlignment="1"/>
    <xf numFmtId="0" fontId="0" fillId="4" borderId="0" xfId="0" applyFill="1" applyAlignment="1"/>
    <xf numFmtId="0" fontId="4" fillId="2" borderId="0" xfId="0" applyFont="1" applyFill="1" applyAlignment="1"/>
    <xf numFmtId="0" fontId="0" fillId="0" borderId="11" xfId="0" applyBorder="1" applyAlignment="1" applyProtection="1"/>
    <xf numFmtId="0" fontId="0" fillId="0" borderId="12" xfId="0" applyBorder="1" applyAlignment="1" applyProtection="1"/>
    <xf numFmtId="0" fontId="0" fillId="0" borderId="13" xfId="0" applyBorder="1" applyAlignment="1"/>
    <xf numFmtId="0" fontId="0" fillId="0" borderId="14" xfId="0" applyBorder="1" applyAlignment="1"/>
    <xf numFmtId="0" fontId="0" fillId="0" borderId="15" xfId="0" applyBorder="1" applyAlignment="1"/>
    <xf numFmtId="0" fontId="0" fillId="0" borderId="16" xfId="0" applyBorder="1" applyAlignment="1"/>
    <xf numFmtId="0" fontId="0" fillId="6" borderId="0" xfId="0" applyFill="1" applyAlignment="1"/>
    <xf numFmtId="0" fontId="5" fillId="0" borderId="20" xfId="0" applyFont="1" applyBorder="1" applyAlignment="1"/>
    <xf numFmtId="0" fontId="5" fillId="0" borderId="21" xfId="0" applyFont="1" applyBorder="1" applyAlignment="1"/>
    <xf numFmtId="0" fontId="5" fillId="0" borderId="22" xfId="0" applyFont="1" applyBorder="1" applyAlignment="1"/>
    <xf numFmtId="0" fontId="11" fillId="0" borderId="0" xfId="0" applyFont="1" applyAlignment="1" applyProtection="1"/>
    <xf numFmtId="0" fontId="0" fillId="4" borderId="0" xfId="0" applyFill="1" applyAlignment="1" applyProtection="1"/>
    <xf numFmtId="0" fontId="7" fillId="0" borderId="0" xfId="0" applyFont="1" applyAlignment="1" applyProtection="1"/>
    <xf numFmtId="0" fontId="0" fillId="0" borderId="0" xfId="0" applyAlignment="1">
      <alignment wrapText="1"/>
    </xf>
    <xf numFmtId="0" fontId="4" fillId="2" borderId="0" xfId="0" applyFont="1" applyFill="1" applyBorder="1" applyAlignment="1" applyProtection="1">
      <alignment horizontal="center" vertical="center" shrinkToFit="1"/>
      <protection locked="0"/>
    </xf>
    <xf numFmtId="0" fontId="9" fillId="0" borderId="0" xfId="0" applyFont="1" applyFill="1" applyBorder="1" applyAlignment="1" applyProtection="1">
      <alignment horizontal="center" vertical="center" shrinkToFit="1"/>
      <protection locked="0"/>
    </xf>
    <xf numFmtId="0" fontId="4" fillId="2" borderId="0" xfId="0" applyFont="1" applyFill="1" applyBorder="1" applyAlignment="1" applyProtection="1">
      <alignment horizontal="center" vertical="center"/>
      <protection locked="0"/>
    </xf>
    <xf numFmtId="0" fontId="23" fillId="17" borderId="0" xfId="0" applyFont="1" applyFill="1" applyBorder="1" applyAlignment="1">
      <alignment horizontal="center" vertical="center"/>
    </xf>
    <xf numFmtId="0" fontId="23" fillId="17" borderId="0" xfId="0" applyFont="1" applyFill="1" applyBorder="1" applyAlignment="1">
      <alignment vertical="center"/>
    </xf>
    <xf numFmtId="0" fontId="15" fillId="0" borderId="0" xfId="0" applyFont="1" applyFill="1" applyBorder="1" applyAlignment="1">
      <alignment horizontal="left" vertical="center"/>
    </xf>
    <xf numFmtId="0" fontId="9" fillId="4" borderId="63" xfId="0" applyFont="1" applyFill="1" applyBorder="1" applyAlignment="1" applyProtection="1">
      <alignment vertical="top"/>
    </xf>
    <xf numFmtId="0" fontId="9" fillId="17" borderId="66" xfId="0" applyFont="1" applyFill="1" applyBorder="1" applyAlignment="1" applyProtection="1">
      <alignment vertical="top"/>
    </xf>
    <xf numFmtId="0" fontId="9" fillId="19" borderId="66" xfId="0" applyFont="1" applyFill="1" applyBorder="1" applyAlignment="1" applyProtection="1">
      <alignment vertical="top"/>
    </xf>
    <xf numFmtId="0" fontId="9" fillId="0" borderId="0" xfId="0" applyFont="1" applyAlignment="1" applyProtection="1">
      <alignment vertical="center"/>
      <protection locked="0"/>
    </xf>
    <xf numFmtId="0" fontId="9" fillId="25" borderId="0" xfId="0" applyFont="1" applyFill="1" applyAlignment="1" applyProtection="1">
      <alignment vertical="center"/>
      <protection locked="0"/>
    </xf>
    <xf numFmtId="0" fontId="55" fillId="24" borderId="0" xfId="0" applyFont="1" applyFill="1" applyAlignment="1" applyProtection="1">
      <alignment vertical="top"/>
      <protection locked="0"/>
    </xf>
    <xf numFmtId="0" fontId="9" fillId="25" borderId="0" xfId="0" applyFont="1" applyFill="1" applyAlignment="1" applyProtection="1">
      <alignment vertical="top"/>
      <protection locked="0"/>
    </xf>
    <xf numFmtId="0" fontId="9" fillId="0" borderId="0" xfId="0" applyFont="1" applyAlignment="1" applyProtection="1">
      <alignment vertical="top"/>
      <protection locked="0"/>
    </xf>
    <xf numFmtId="0" fontId="28" fillId="5" borderId="0" xfId="0" applyFont="1" applyFill="1" applyBorder="1" applyAlignment="1" applyProtection="1">
      <alignment horizontal="left" vertical="center" wrapText="1" indent="1"/>
    </xf>
    <xf numFmtId="0" fontId="9" fillId="3" borderId="0" xfId="0" applyFont="1" applyFill="1" applyAlignment="1">
      <alignment horizontal="center" vertical="center"/>
    </xf>
    <xf numFmtId="0" fontId="6" fillId="3" borderId="0" xfId="0" applyFont="1" applyFill="1" applyAlignment="1">
      <alignment horizontal="center" vertical="center"/>
    </xf>
    <xf numFmtId="0" fontId="9" fillId="0" borderId="0" xfId="0" applyFont="1" applyFill="1" applyAlignment="1" applyProtection="1">
      <alignment horizontal="center" vertical="center"/>
      <protection locked="0"/>
    </xf>
    <xf numFmtId="0" fontId="6" fillId="3" borderId="0" xfId="0" applyFont="1" applyFill="1"/>
    <xf numFmtId="0" fontId="4" fillId="2" borderId="0" xfId="0" applyFont="1" applyFill="1" applyBorder="1" applyAlignment="1" applyProtection="1">
      <alignment horizontal="center" vertical="center"/>
      <protection locked="0"/>
    </xf>
    <xf numFmtId="0" fontId="7" fillId="2" borderId="0" xfId="0" applyFont="1" applyFill="1" applyBorder="1" applyAlignment="1" applyProtection="1">
      <alignment horizontal="right" vertical="top"/>
      <protection locked="0"/>
    </xf>
    <xf numFmtId="0" fontId="7" fillId="2" borderId="0" xfId="0" applyFont="1" applyFill="1" applyBorder="1" applyAlignment="1" applyProtection="1">
      <alignment horizontal="right" vertical="top"/>
    </xf>
    <xf numFmtId="0" fontId="9" fillId="3" borderId="0" xfId="0" applyFont="1" applyFill="1"/>
    <xf numFmtId="0" fontId="9" fillId="0" borderId="0" xfId="0" applyFont="1" applyAlignment="1">
      <alignment horizontal="center" vertical="center" shrinkToFit="1"/>
    </xf>
    <xf numFmtId="0" fontId="4" fillId="5" borderId="0" xfId="0" applyFont="1" applyFill="1" applyAlignment="1">
      <alignment horizontal="center" vertical="center"/>
    </xf>
    <xf numFmtId="0" fontId="9" fillId="3" borderId="0" xfId="0" applyFont="1" applyFill="1" applyAlignment="1">
      <alignment horizontal="center" vertical="center" shrinkToFit="1"/>
    </xf>
    <xf numFmtId="0" fontId="9" fillId="25" borderId="0" xfId="0" applyFont="1" applyFill="1" applyAlignment="1" applyProtection="1">
      <alignment vertical="top" wrapText="1"/>
      <protection locked="0"/>
    </xf>
    <xf numFmtId="0" fontId="9" fillId="0" borderId="0" xfId="0" applyFont="1" applyAlignment="1" applyProtection="1">
      <alignment vertical="top" wrapText="1"/>
      <protection locked="0"/>
    </xf>
    <xf numFmtId="0" fontId="9" fillId="25" borderId="0" xfId="0" applyFont="1" applyFill="1" applyAlignment="1" applyProtection="1">
      <alignment vertical="center" wrapText="1"/>
      <protection locked="0"/>
    </xf>
    <xf numFmtId="0" fontId="9" fillId="0" borderId="0" xfId="0" applyFont="1" applyAlignment="1" applyProtection="1">
      <alignment vertical="center" wrapText="1"/>
      <protection locked="0"/>
    </xf>
    <xf numFmtId="0" fontId="56" fillId="16" borderId="0" xfId="0" applyNumberFormat="1" applyFont="1" applyFill="1" applyBorder="1" applyAlignment="1">
      <alignment horizontal="left" vertical="center"/>
    </xf>
    <xf numFmtId="0" fontId="56" fillId="16" borderId="0" xfId="0" applyNumberFormat="1" applyFont="1" applyFill="1" applyBorder="1" applyAlignment="1">
      <alignment horizontal="center" vertical="center"/>
    </xf>
    <xf numFmtId="0" fontId="56" fillId="3" borderId="0" xfId="0" applyFont="1" applyFill="1" applyBorder="1" applyAlignment="1" applyProtection="1">
      <alignment horizontal="left" vertical="center"/>
      <protection locked="0"/>
    </xf>
    <xf numFmtId="0" fontId="57" fillId="2" borderId="0" xfId="0" applyFont="1" applyFill="1" applyBorder="1" applyAlignment="1" applyProtection="1">
      <alignment horizontal="left" vertical="center" wrapText="1"/>
      <protection locked="0"/>
    </xf>
    <xf numFmtId="0" fontId="58" fillId="6" borderId="0" xfId="0" applyFont="1" applyFill="1" applyBorder="1" applyAlignment="1" applyProtection="1">
      <alignment horizontal="left" vertical="center"/>
      <protection locked="0"/>
    </xf>
    <xf numFmtId="0" fontId="58" fillId="8" borderId="0" xfId="0" applyFont="1" applyFill="1" applyBorder="1" applyAlignment="1" applyProtection="1">
      <alignment horizontal="left" vertical="center"/>
      <protection locked="0"/>
    </xf>
    <xf numFmtId="0" fontId="58" fillId="9" borderId="0" xfId="0" applyFont="1" applyFill="1" applyBorder="1" applyAlignment="1" applyProtection="1">
      <alignment horizontal="left" vertical="center"/>
      <protection locked="0"/>
    </xf>
    <xf numFmtId="0" fontId="58" fillId="10" borderId="0" xfId="0" applyFont="1" applyFill="1" applyBorder="1" applyAlignment="1" applyProtection="1">
      <alignment horizontal="left" vertical="center"/>
      <protection locked="0"/>
    </xf>
    <xf numFmtId="0" fontId="58" fillId="11" borderId="0" xfId="0" applyFont="1" applyFill="1" applyBorder="1" applyAlignment="1" applyProtection="1">
      <alignment horizontal="left" vertical="center"/>
      <protection locked="0"/>
    </xf>
    <xf numFmtId="0" fontId="58" fillId="12" borderId="0" xfId="0" applyFont="1" applyFill="1" applyBorder="1" applyAlignment="1" applyProtection="1">
      <alignment horizontal="left" vertical="center"/>
      <protection locked="0"/>
    </xf>
    <xf numFmtId="0" fontId="58" fillId="13" borderId="0" xfId="0" applyFont="1" applyFill="1" applyBorder="1" applyAlignment="1" applyProtection="1">
      <alignment horizontal="left" vertical="center"/>
      <protection locked="0"/>
    </xf>
    <xf numFmtId="0" fontId="58" fillId="14" borderId="0" xfId="0" applyFont="1" applyFill="1" applyBorder="1" applyAlignment="1" applyProtection="1">
      <alignment horizontal="left" vertical="center"/>
      <protection locked="0"/>
    </xf>
    <xf numFmtId="0" fontId="58" fillId="7" borderId="0" xfId="0" applyFont="1" applyFill="1" applyBorder="1" applyAlignment="1" applyProtection="1">
      <alignment horizontal="left" vertical="center"/>
      <protection locked="0"/>
    </xf>
    <xf numFmtId="0" fontId="58" fillId="15" borderId="0" xfId="0" applyFont="1" applyFill="1" applyBorder="1" applyAlignment="1" applyProtection="1">
      <alignment horizontal="left" vertical="center"/>
      <protection locked="0"/>
    </xf>
    <xf numFmtId="0" fontId="0" fillId="0" borderId="0" xfId="0" applyFont="1" applyFill="1" applyBorder="1" applyAlignment="1" applyProtection="1">
      <alignment horizontal="right" vertical="top" indent="1"/>
    </xf>
    <xf numFmtId="0" fontId="58" fillId="6" borderId="0" xfId="0" applyFont="1" applyFill="1" applyBorder="1" applyAlignment="1" applyProtection="1">
      <alignment horizontal="left" vertical="center" wrapText="1"/>
      <protection locked="0"/>
    </xf>
    <xf numFmtId="0" fontId="58" fillId="8" borderId="0" xfId="0" applyFont="1" applyFill="1" applyBorder="1" applyAlignment="1" applyProtection="1">
      <alignment horizontal="left" vertical="center" wrapText="1"/>
      <protection locked="0"/>
    </xf>
    <xf numFmtId="0" fontId="58" fillId="9" borderId="0" xfId="0" applyFont="1" applyFill="1" applyBorder="1" applyAlignment="1" applyProtection="1">
      <alignment horizontal="left" vertical="center" wrapText="1"/>
      <protection locked="0"/>
    </xf>
    <xf numFmtId="0" fontId="58" fillId="10" borderId="0" xfId="0" applyFont="1" applyFill="1" applyBorder="1" applyAlignment="1" applyProtection="1">
      <alignment horizontal="left" vertical="center" wrapText="1"/>
      <protection locked="0"/>
    </xf>
    <xf numFmtId="0" fontId="58" fillId="11" borderId="0" xfId="0" applyFont="1" applyFill="1" applyBorder="1" applyAlignment="1" applyProtection="1">
      <alignment horizontal="left" vertical="center" wrapText="1"/>
      <protection locked="0"/>
    </xf>
    <xf numFmtId="0" fontId="58" fillId="12" borderId="0" xfId="0" applyFont="1" applyFill="1" applyBorder="1" applyAlignment="1" applyProtection="1">
      <alignment horizontal="left" vertical="center" wrapText="1"/>
      <protection locked="0"/>
    </xf>
    <xf numFmtId="0" fontId="56" fillId="16" borderId="0" xfId="0" applyNumberFormat="1" applyFont="1" applyFill="1" applyBorder="1" applyAlignment="1" applyProtection="1">
      <alignment horizontal="left" vertical="center"/>
    </xf>
    <xf numFmtId="0" fontId="58" fillId="16" borderId="0" xfId="0" applyFont="1" applyFill="1" applyBorder="1" applyAlignment="1" applyProtection="1">
      <alignment horizontal="center" vertical="center"/>
    </xf>
    <xf numFmtId="0" fontId="59" fillId="2" borderId="0" xfId="0" applyFont="1" applyFill="1" applyBorder="1" applyAlignment="1" applyProtection="1">
      <alignment horizontal="center" vertical="center"/>
      <protection locked="0"/>
    </xf>
    <xf numFmtId="0" fontId="58" fillId="4" borderId="0" xfId="0" applyFont="1" applyFill="1" applyBorder="1" applyAlignment="1" applyProtection="1">
      <alignment horizontal="center" vertical="center"/>
      <protection locked="0"/>
    </xf>
    <xf numFmtId="0" fontId="57" fillId="19" borderId="0" xfId="0" applyFont="1" applyFill="1" applyBorder="1" applyAlignment="1">
      <alignment horizontal="center" vertical="center"/>
    </xf>
    <xf numFmtId="0" fontId="56" fillId="19" borderId="0" xfId="0" applyFont="1" applyFill="1" applyBorder="1" applyAlignment="1">
      <alignment horizontal="center" vertical="center"/>
    </xf>
    <xf numFmtId="0" fontId="58" fillId="3" borderId="0" xfId="0" applyFont="1" applyFill="1" applyBorder="1" applyAlignment="1" applyProtection="1">
      <alignment horizontal="left" vertical="center"/>
      <protection locked="0"/>
    </xf>
    <xf numFmtId="0" fontId="59" fillId="2" borderId="0" xfId="0" applyFont="1" applyFill="1" applyBorder="1" applyAlignment="1" applyProtection="1">
      <alignment horizontal="left" vertical="center" wrapText="1"/>
      <protection locked="0"/>
    </xf>
    <xf numFmtId="0" fontId="58" fillId="4" borderId="0" xfId="0" applyFont="1" applyFill="1" applyBorder="1" applyAlignment="1">
      <alignment horizontal="center" vertical="center"/>
    </xf>
    <xf numFmtId="0" fontId="59" fillId="2" borderId="0" xfId="0" applyFont="1" applyFill="1" applyBorder="1" applyAlignment="1" applyProtection="1">
      <alignment horizontal="center" vertical="center" shrinkToFit="1"/>
      <protection locked="0"/>
    </xf>
    <xf numFmtId="0" fontId="58" fillId="22" borderId="0" xfId="0" applyFont="1" applyFill="1" applyBorder="1" applyAlignment="1" applyProtection="1">
      <alignment horizontal="left" vertical="center" wrapText="1"/>
      <protection locked="0"/>
    </xf>
    <xf numFmtId="0" fontId="60" fillId="16" borderId="0" xfId="0" applyFont="1" applyFill="1" applyBorder="1" applyAlignment="1">
      <alignment horizontal="center" vertical="center"/>
    </xf>
    <xf numFmtId="0" fontId="59" fillId="2" borderId="0" xfId="0" applyFont="1" applyFill="1" applyBorder="1" applyAlignment="1">
      <alignment horizontal="center" vertical="center"/>
    </xf>
    <xf numFmtId="0" fontId="56" fillId="3" borderId="0" xfId="0" applyFont="1" applyFill="1" applyBorder="1" applyAlignment="1" applyProtection="1">
      <alignment vertical="center"/>
      <protection locked="0"/>
    </xf>
    <xf numFmtId="0" fontId="61" fillId="2" borderId="0" xfId="0" applyFont="1" applyFill="1" applyBorder="1" applyAlignment="1" applyProtection="1">
      <alignment vertical="center" wrapText="1"/>
      <protection locked="0"/>
    </xf>
    <xf numFmtId="0" fontId="62" fillId="6" borderId="0" xfId="0" applyFont="1" applyFill="1" applyBorder="1" applyAlignment="1" applyProtection="1">
      <alignment horizontal="left" vertical="center" wrapText="1"/>
      <protection locked="0"/>
    </xf>
    <xf numFmtId="0" fontId="62" fillId="8" borderId="0" xfId="0" applyFont="1" applyFill="1" applyBorder="1" applyAlignment="1" applyProtection="1">
      <alignment horizontal="left" vertical="center" wrapText="1"/>
      <protection locked="0"/>
    </xf>
    <xf numFmtId="0" fontId="62" fillId="13" borderId="0" xfId="0" applyFont="1" applyFill="1" applyBorder="1" applyAlignment="1" applyProtection="1">
      <alignment horizontal="left" vertical="center"/>
      <protection locked="0"/>
    </xf>
    <xf numFmtId="0" fontId="62" fillId="14" borderId="0" xfId="0" applyFont="1" applyFill="1" applyBorder="1" applyAlignment="1" applyProtection="1">
      <alignment horizontal="left" vertical="center"/>
      <protection locked="0"/>
    </xf>
    <xf numFmtId="0" fontId="62" fillId="7" borderId="0" xfId="0" applyFont="1" applyFill="1" applyBorder="1" applyAlignment="1" applyProtection="1">
      <alignment horizontal="left" vertical="center"/>
      <protection locked="0"/>
    </xf>
    <xf numFmtId="0" fontId="62" fillId="15" borderId="0" xfId="0" applyFont="1" applyFill="1" applyBorder="1" applyAlignment="1" applyProtection="1">
      <alignment horizontal="left" vertical="center"/>
      <protection locked="0"/>
    </xf>
    <xf numFmtId="0" fontId="58" fillId="22" borderId="0" xfId="0" applyFont="1" applyFill="1" applyBorder="1" applyAlignment="1" applyProtection="1">
      <alignment horizontal="center" vertical="center" wrapText="1"/>
      <protection locked="0"/>
    </xf>
    <xf numFmtId="0" fontId="58" fillId="16" borderId="0" xfId="0" applyNumberFormat="1" applyFont="1" applyFill="1" applyBorder="1" applyAlignment="1" applyProtection="1">
      <alignment horizontal="left" vertical="center"/>
    </xf>
    <xf numFmtId="0" fontId="56" fillId="16" borderId="0" xfId="0" applyNumberFormat="1" applyFont="1" applyFill="1" applyBorder="1" applyAlignment="1" applyProtection="1">
      <alignment horizontal="left" vertical="center"/>
      <protection locked="0"/>
    </xf>
    <xf numFmtId="0" fontId="58" fillId="3" borderId="0" xfId="0" applyFont="1" applyFill="1" applyBorder="1" applyAlignment="1" applyProtection="1">
      <alignment vertical="center"/>
      <protection locked="0"/>
    </xf>
    <xf numFmtId="0" fontId="58" fillId="6" borderId="0" xfId="0" applyFont="1" applyFill="1" applyBorder="1" applyAlignment="1" applyProtection="1">
      <alignment horizontal="left" vertical="center" wrapText="1" indent="1"/>
      <protection locked="0"/>
    </xf>
    <xf numFmtId="0" fontId="58" fillId="10" borderId="0" xfId="0" applyFont="1" applyFill="1" applyBorder="1" applyAlignment="1" applyProtection="1">
      <alignment horizontal="left" vertical="center" wrapText="1" indent="1"/>
      <protection locked="0"/>
    </xf>
    <xf numFmtId="0" fontId="58" fillId="11" borderId="0" xfId="0" applyFont="1" applyFill="1" applyBorder="1" applyAlignment="1" applyProtection="1">
      <alignment horizontal="left" vertical="center" wrapText="1" indent="1"/>
      <protection locked="0"/>
    </xf>
    <xf numFmtId="0" fontId="58" fillId="12" borderId="0" xfId="0" applyFont="1" applyFill="1" applyBorder="1" applyAlignment="1" applyProtection="1">
      <alignment horizontal="left" vertical="center" wrapText="1" indent="1"/>
      <protection locked="0"/>
    </xf>
    <xf numFmtId="0" fontId="15" fillId="16" borderId="0" xfId="0" applyNumberFormat="1" applyFont="1" applyFill="1" applyBorder="1" applyAlignment="1">
      <alignment horizontal="left" vertical="center"/>
    </xf>
    <xf numFmtId="0" fontId="15" fillId="16" borderId="0" xfId="0" applyNumberFormat="1" applyFont="1" applyFill="1" applyBorder="1" applyAlignment="1">
      <alignment horizontal="center" vertical="center"/>
    </xf>
    <xf numFmtId="0" fontId="15" fillId="3" borderId="0" xfId="0" applyFont="1" applyFill="1" applyBorder="1" applyAlignment="1" applyProtection="1">
      <alignment horizontal="left" vertical="center"/>
      <protection locked="0"/>
    </xf>
    <xf numFmtId="0" fontId="30" fillId="6" borderId="0" xfId="0" applyNumberFormat="1" applyFont="1" applyFill="1" applyBorder="1" applyAlignment="1" applyProtection="1">
      <alignment horizontal="left" vertical="center" wrapText="1"/>
      <protection locked="0"/>
    </xf>
    <xf numFmtId="0" fontId="30" fillId="8" borderId="0" xfId="0" applyNumberFormat="1" applyFont="1" applyFill="1" applyBorder="1" applyAlignment="1" applyProtection="1">
      <alignment horizontal="left" vertical="center" wrapText="1"/>
      <protection locked="0"/>
    </xf>
    <xf numFmtId="0" fontId="30" fillId="9" borderId="0" xfId="0" applyNumberFormat="1" applyFont="1" applyFill="1" applyBorder="1" applyAlignment="1" applyProtection="1">
      <alignment horizontal="left" vertical="center" wrapText="1"/>
      <protection locked="0"/>
    </xf>
    <xf numFmtId="0" fontId="30" fillId="11" borderId="0" xfId="0" applyNumberFormat="1" applyFont="1" applyFill="1" applyBorder="1" applyAlignment="1" applyProtection="1">
      <alignment horizontal="left" vertical="center" wrapText="1"/>
      <protection locked="0"/>
    </xf>
    <xf numFmtId="0" fontId="30" fillId="12" borderId="0" xfId="0" applyNumberFormat="1" applyFont="1" applyFill="1" applyBorder="1" applyAlignment="1" applyProtection="1">
      <alignment horizontal="left" vertical="center" wrapText="1"/>
      <protection locked="0"/>
    </xf>
    <xf numFmtId="0" fontId="15" fillId="0" borderId="0" xfId="0" applyFont="1" applyAlignment="1">
      <alignment horizontal="center" vertical="center"/>
    </xf>
    <xf numFmtId="0" fontId="0" fillId="0" borderId="0" xfId="0" applyAlignment="1">
      <alignment vertical="center"/>
    </xf>
    <xf numFmtId="0" fontId="15" fillId="16" borderId="0" xfId="0" applyNumberFormat="1" applyFont="1" applyFill="1" applyBorder="1" applyAlignment="1" applyProtection="1">
      <alignment horizontal="left" vertical="center"/>
    </xf>
    <xf numFmtId="0" fontId="30" fillId="16" borderId="0" xfId="0" applyFont="1" applyFill="1" applyBorder="1" applyAlignment="1" applyProtection="1">
      <alignment horizontal="center" vertical="center"/>
    </xf>
    <xf numFmtId="0" fontId="29" fillId="2" borderId="0" xfId="0" applyNumberFormat="1" applyFont="1" applyFill="1" applyBorder="1" applyAlignment="1" applyProtection="1">
      <alignment horizontal="left" vertical="center" wrapText="1"/>
      <protection locked="0"/>
    </xf>
    <xf numFmtId="0" fontId="29" fillId="21" borderId="0" xfId="0" applyFont="1" applyFill="1" applyBorder="1" applyAlignment="1" applyProtection="1">
      <alignment horizontal="center" vertical="center" wrapText="1"/>
      <protection locked="0"/>
    </xf>
    <xf numFmtId="0" fontId="29" fillId="0" borderId="0" xfId="0" applyFont="1" applyFill="1" applyBorder="1" applyAlignment="1" applyProtection="1">
      <alignment vertical="center" wrapText="1"/>
      <protection locked="0"/>
    </xf>
    <xf numFmtId="0" fontId="52" fillId="3" borderId="5" xfId="0" applyFont="1" applyFill="1" applyBorder="1" applyAlignment="1">
      <alignment horizontal="center" vertical="center" wrapText="1"/>
    </xf>
    <xf numFmtId="0" fontId="40" fillId="2" borderId="2" xfId="1" applyFont="1" applyFill="1" applyBorder="1" applyAlignment="1">
      <alignment vertical="center"/>
    </xf>
    <xf numFmtId="0" fontId="40" fillId="2" borderId="0" xfId="1" applyFont="1" applyFill="1" applyBorder="1" applyAlignment="1">
      <alignment vertical="center"/>
    </xf>
    <xf numFmtId="0" fontId="4" fillId="2" borderId="0" xfId="0" applyFont="1" applyFill="1" applyBorder="1" applyAlignment="1" applyProtection="1">
      <alignment horizontal="center" vertical="center"/>
      <protection locked="0"/>
    </xf>
    <xf numFmtId="0" fontId="32" fillId="17" borderId="0" xfId="0" quotePrefix="1" applyFont="1" applyFill="1" applyBorder="1" applyAlignment="1" applyProtection="1"/>
    <xf numFmtId="0" fontId="32" fillId="17" borderId="0" xfId="0" applyFont="1" applyFill="1" applyBorder="1" applyAlignment="1" applyProtection="1"/>
    <xf numFmtId="0" fontId="28" fillId="3" borderId="0" xfId="0" applyFont="1" applyFill="1" applyAlignment="1" applyProtection="1">
      <alignment vertical="center" shrinkToFit="1"/>
    </xf>
    <xf numFmtId="0" fontId="4" fillId="3" borderId="0" xfId="0" applyFont="1" applyFill="1" applyAlignment="1" applyProtection="1">
      <alignment vertical="center"/>
    </xf>
    <xf numFmtId="0" fontId="28" fillId="3" borderId="0" xfId="0" applyFont="1" applyFill="1" applyBorder="1" applyAlignment="1" applyProtection="1">
      <alignment horizontal="center" vertical="center" wrapText="1"/>
    </xf>
    <xf numFmtId="0" fontId="28" fillId="3" borderId="0" xfId="0" applyFont="1" applyFill="1" applyAlignment="1" applyProtection="1">
      <alignment horizontal="center" vertical="center" shrinkToFit="1"/>
    </xf>
    <xf numFmtId="0" fontId="51" fillId="5" borderId="5" xfId="0" applyFont="1" applyFill="1" applyBorder="1" applyAlignment="1">
      <alignment horizontal="center" vertical="center" wrapText="1"/>
    </xf>
    <xf numFmtId="0" fontId="51" fillId="5" borderId="5" xfId="0" applyFont="1" applyFill="1" applyBorder="1" applyAlignment="1" applyProtection="1">
      <alignment horizontal="center" vertical="center" wrapText="1" shrinkToFit="1"/>
      <protection locked="0"/>
    </xf>
    <xf numFmtId="0" fontId="10" fillId="3" borderId="41" xfId="0" applyFont="1" applyFill="1" applyBorder="1" applyAlignment="1">
      <alignment horizontal="left" vertical="center" wrapText="1"/>
    </xf>
    <xf numFmtId="0" fontId="10" fillId="3" borderId="36" xfId="0" applyFont="1" applyFill="1" applyBorder="1" applyAlignment="1">
      <alignment horizontal="left" vertical="center" wrapText="1"/>
    </xf>
    <xf numFmtId="0" fontId="10" fillId="3" borderId="37" xfId="0" applyFont="1" applyFill="1" applyBorder="1" applyAlignment="1">
      <alignment horizontal="left" vertical="center" wrapText="1"/>
    </xf>
    <xf numFmtId="0" fontId="37" fillId="5" borderId="49" xfId="0" applyFont="1" applyFill="1" applyBorder="1" applyAlignment="1">
      <alignment horizontal="center" vertical="center" shrinkToFit="1"/>
    </xf>
    <xf numFmtId="0" fontId="37" fillId="5" borderId="0" xfId="0" applyFont="1" applyFill="1" applyBorder="1" applyAlignment="1">
      <alignment horizontal="center" vertical="center" shrinkToFit="1"/>
    </xf>
    <xf numFmtId="0" fontId="37" fillId="5" borderId="50" xfId="0" applyFont="1" applyFill="1" applyBorder="1" applyAlignment="1">
      <alignment horizontal="center" vertical="center" shrinkToFit="1"/>
    </xf>
    <xf numFmtId="0" fontId="50" fillId="4" borderId="49" xfId="0" applyFont="1" applyFill="1" applyBorder="1" applyAlignment="1">
      <alignment horizontal="center" vertical="center" wrapText="1"/>
    </xf>
    <xf numFmtId="0" fontId="50" fillId="4" borderId="0" xfId="0" applyFont="1" applyFill="1" applyBorder="1" applyAlignment="1">
      <alignment horizontal="center" vertical="center" wrapText="1"/>
    </xf>
    <xf numFmtId="0" fontId="50" fillId="4" borderId="50" xfId="0" applyFont="1" applyFill="1" applyBorder="1" applyAlignment="1">
      <alignment horizontal="center" vertical="center" wrapText="1"/>
    </xf>
    <xf numFmtId="0" fontId="49" fillId="17" borderId="0" xfId="0" applyFont="1" applyFill="1" applyBorder="1" applyAlignment="1">
      <alignment horizontal="right"/>
    </xf>
    <xf numFmtId="0" fontId="49" fillId="17" borderId="5" xfId="0" applyFont="1" applyFill="1" applyBorder="1" applyAlignment="1">
      <alignment horizontal="right"/>
    </xf>
    <xf numFmtId="0" fontId="49" fillId="17" borderId="7" xfId="0" applyFont="1" applyFill="1" applyBorder="1" applyAlignment="1">
      <alignment horizontal="right"/>
    </xf>
    <xf numFmtId="0" fontId="49" fillId="17" borderId="8" xfId="0" applyFont="1" applyFill="1" applyBorder="1" applyAlignment="1">
      <alignment horizontal="right"/>
    </xf>
    <xf numFmtId="0" fontId="9" fillId="17" borderId="0" xfId="0" applyFont="1" applyFill="1" applyBorder="1" applyAlignment="1">
      <alignment horizontal="left" vertical="top" wrapText="1"/>
    </xf>
    <xf numFmtId="0" fontId="41" fillId="2" borderId="2" xfId="1" applyFont="1" applyFill="1" applyBorder="1" applyAlignment="1">
      <alignment horizontal="center" vertical="center" shrinkToFit="1"/>
    </xf>
    <xf numFmtId="0" fontId="41" fillId="2" borderId="0" xfId="1" applyFont="1" applyFill="1" applyBorder="1" applyAlignment="1">
      <alignment horizontal="center" vertical="center" shrinkToFit="1"/>
    </xf>
    <xf numFmtId="0" fontId="33" fillId="5" borderId="0" xfId="1" applyFont="1" applyFill="1" applyBorder="1" applyAlignment="1">
      <alignment horizontal="center" vertical="center" shrinkToFit="1"/>
    </xf>
    <xf numFmtId="0" fontId="4" fillId="2" borderId="0" xfId="0" applyFont="1" applyFill="1" applyAlignment="1">
      <alignment horizontal="center" vertical="center"/>
    </xf>
    <xf numFmtId="0" fontId="9" fillId="17" borderId="0" xfId="0" applyFont="1" applyFill="1" applyBorder="1" applyAlignment="1">
      <alignment horizontal="justify" wrapText="1" shrinkToFit="1"/>
    </xf>
    <xf numFmtId="0" fontId="9" fillId="17" borderId="26" xfId="0" applyFont="1" applyFill="1" applyBorder="1" applyAlignment="1">
      <alignment horizontal="justify" wrapText="1" shrinkToFit="1"/>
    </xf>
    <xf numFmtId="0" fontId="26" fillId="18" borderId="0" xfId="0" applyFont="1" applyFill="1" applyBorder="1" applyAlignment="1">
      <alignment horizontal="center" vertical="center" wrapText="1"/>
    </xf>
    <xf numFmtId="0" fontId="2" fillId="17" borderId="0" xfId="0" applyFont="1" applyFill="1" applyBorder="1" applyAlignment="1">
      <alignment horizontal="center" vertical="center"/>
    </xf>
    <xf numFmtId="0" fontId="42" fillId="0" borderId="0" xfId="0" applyFont="1" applyAlignment="1">
      <alignment horizontal="center" vertical="center"/>
    </xf>
    <xf numFmtId="0" fontId="1" fillId="17" borderId="0" xfId="1" applyFill="1" applyBorder="1" applyAlignment="1">
      <alignment horizontal="center" vertical="center"/>
    </xf>
    <xf numFmtId="0" fontId="3" fillId="4" borderId="0" xfId="0" applyFont="1" applyFill="1" applyBorder="1" applyAlignment="1">
      <alignment horizontal="center" vertical="center"/>
    </xf>
    <xf numFmtId="0" fontId="0" fillId="17" borderId="0" xfId="0" applyFill="1" applyBorder="1" applyAlignment="1">
      <alignment horizontal="center"/>
    </xf>
    <xf numFmtId="0" fontId="0" fillId="17" borderId="0" xfId="0" applyFill="1" applyAlignment="1">
      <alignment horizontal="center"/>
    </xf>
    <xf numFmtId="0" fontId="2" fillId="3" borderId="0" xfId="0" applyFont="1" applyFill="1" applyBorder="1" applyAlignment="1" applyProtection="1">
      <alignment horizontal="left" vertical="center" wrapText="1" indent="1"/>
      <protection locked="0"/>
    </xf>
    <xf numFmtId="165" fontId="2" fillId="17" borderId="0" xfId="0" applyNumberFormat="1" applyFont="1" applyFill="1" applyBorder="1" applyAlignment="1" applyProtection="1">
      <alignment horizontal="right" vertical="top" shrinkToFit="1"/>
    </xf>
    <xf numFmtId="165" fontId="2" fillId="17" borderId="55" xfId="0" applyNumberFormat="1" applyFont="1" applyFill="1" applyBorder="1" applyAlignment="1" applyProtection="1">
      <alignment horizontal="right" vertical="top" shrinkToFit="1"/>
    </xf>
    <xf numFmtId="165" fontId="2" fillId="17" borderId="4" xfId="0" applyNumberFormat="1" applyFont="1" applyFill="1" applyBorder="1" applyAlignment="1" applyProtection="1">
      <alignment horizontal="right" vertical="top" shrinkToFit="1"/>
    </xf>
    <xf numFmtId="0" fontId="9" fillId="0" borderId="59" xfId="0" applyFont="1" applyFill="1" applyBorder="1" applyAlignment="1" applyProtection="1">
      <alignment horizontal="left" vertical="top" wrapText="1"/>
      <protection locked="0"/>
    </xf>
    <xf numFmtId="0" fontId="9" fillId="0" borderId="60" xfId="0" applyFont="1" applyFill="1" applyBorder="1" applyAlignment="1" applyProtection="1">
      <alignment horizontal="left" vertical="top" wrapText="1"/>
      <protection locked="0"/>
    </xf>
    <xf numFmtId="0" fontId="9" fillId="0" borderId="61" xfId="0" applyFont="1" applyFill="1" applyBorder="1" applyAlignment="1" applyProtection="1">
      <alignment horizontal="left" vertical="top" wrapText="1"/>
      <protection locked="0"/>
    </xf>
    <xf numFmtId="0" fontId="21" fillId="17" borderId="0" xfId="0" applyFont="1" applyFill="1" applyBorder="1" applyAlignment="1">
      <alignment horizontal="right"/>
    </xf>
    <xf numFmtId="0" fontId="21" fillId="17" borderId="5" xfId="0" applyFont="1" applyFill="1" applyBorder="1" applyAlignment="1">
      <alignment horizontal="right"/>
    </xf>
    <xf numFmtId="0" fontId="21" fillId="17" borderId="7" xfId="0" applyFont="1" applyFill="1" applyBorder="1" applyAlignment="1">
      <alignment horizontal="right"/>
    </xf>
    <xf numFmtId="0" fontId="21" fillId="17" borderId="8" xfId="0" applyFont="1" applyFill="1" applyBorder="1" applyAlignment="1">
      <alignment horizontal="right"/>
    </xf>
    <xf numFmtId="0" fontId="4" fillId="2" borderId="0" xfId="0" applyFont="1" applyFill="1" applyBorder="1" applyAlignment="1" applyProtection="1">
      <alignment horizontal="center" vertical="center" shrinkToFit="1"/>
      <protection locked="0"/>
    </xf>
    <xf numFmtId="0" fontId="2" fillId="17" borderId="54" xfId="0" applyFont="1" applyFill="1" applyBorder="1" applyAlignment="1" applyProtection="1">
      <alignment horizontal="right" vertical="center" wrapText="1"/>
    </xf>
    <xf numFmtId="0" fontId="2" fillId="17" borderId="0" xfId="0" applyFont="1" applyFill="1" applyBorder="1" applyAlignment="1" applyProtection="1">
      <alignment horizontal="right" vertical="center" wrapText="1"/>
    </xf>
    <xf numFmtId="0" fontId="46" fillId="4" borderId="42" xfId="0" applyFont="1" applyFill="1" applyBorder="1" applyAlignment="1">
      <alignment horizontal="center" vertical="center" wrapText="1"/>
    </xf>
    <xf numFmtId="0" fontId="46" fillId="4" borderId="43" xfId="0" applyFont="1" applyFill="1" applyBorder="1" applyAlignment="1">
      <alignment horizontal="center" vertical="center" wrapText="1"/>
    </xf>
    <xf numFmtId="0" fontId="46" fillId="4" borderId="44" xfId="0" applyFont="1" applyFill="1" applyBorder="1" applyAlignment="1">
      <alignment horizontal="center" vertical="center" wrapText="1"/>
    </xf>
    <xf numFmtId="0" fontId="9" fillId="0" borderId="59" xfId="0" applyFont="1" applyFill="1" applyBorder="1" applyAlignment="1" applyProtection="1">
      <alignment horizontal="left" vertical="center"/>
      <protection locked="0"/>
    </xf>
    <xf numFmtId="0" fontId="9" fillId="0" borderId="60" xfId="0" applyFont="1" applyFill="1" applyBorder="1" applyAlignment="1" applyProtection="1">
      <alignment horizontal="left" vertical="center"/>
      <protection locked="0"/>
    </xf>
    <xf numFmtId="0" fontId="9" fillId="0" borderId="61" xfId="0" applyFont="1" applyFill="1" applyBorder="1" applyAlignment="1" applyProtection="1">
      <alignment horizontal="left" vertical="center"/>
      <protection locked="0"/>
    </xf>
    <xf numFmtId="0" fontId="31" fillId="5" borderId="0" xfId="0" applyFont="1" applyFill="1" applyBorder="1" applyAlignment="1">
      <alignment horizontal="left" vertical="top" indent="1" shrinkToFit="1"/>
    </xf>
    <xf numFmtId="0" fontId="33" fillId="5" borderId="0" xfId="1" applyFont="1" applyFill="1" applyBorder="1" applyAlignment="1">
      <alignment horizontal="center" vertical="center"/>
    </xf>
    <xf numFmtId="0" fontId="10" fillId="17" borderId="17" xfId="0" applyFont="1" applyFill="1" applyBorder="1" applyAlignment="1">
      <alignment horizontal="center" vertical="center" wrapText="1"/>
    </xf>
    <xf numFmtId="0" fontId="10" fillId="17" borderId="23" xfId="0" applyFont="1" applyFill="1" applyBorder="1" applyAlignment="1">
      <alignment horizontal="center" vertical="center" wrapText="1"/>
    </xf>
    <xf numFmtId="0" fontId="10" fillId="17" borderId="24" xfId="0" applyFont="1" applyFill="1" applyBorder="1" applyAlignment="1">
      <alignment horizontal="center" vertical="center" wrapText="1"/>
    </xf>
    <xf numFmtId="0" fontId="10" fillId="17" borderId="19" xfId="0" applyFont="1" applyFill="1" applyBorder="1" applyAlignment="1">
      <alignment horizontal="center" vertical="center" wrapText="1"/>
    </xf>
    <xf numFmtId="0" fontId="10" fillId="17" borderId="0" xfId="0" applyFont="1" applyFill="1" applyBorder="1" applyAlignment="1">
      <alignment horizontal="center" vertical="center" wrapText="1"/>
    </xf>
    <xf numFmtId="0" fontId="10" fillId="17" borderId="25" xfId="0" applyFont="1" applyFill="1" applyBorder="1" applyAlignment="1">
      <alignment horizontal="center" vertical="center" wrapText="1"/>
    </xf>
    <xf numFmtId="0" fontId="10" fillId="17" borderId="18" xfId="0" applyFont="1" applyFill="1" applyBorder="1" applyAlignment="1">
      <alignment horizontal="center" vertical="center" wrapText="1"/>
    </xf>
    <xf numFmtId="0" fontId="10" fillId="17" borderId="26" xfId="0" applyFont="1" applyFill="1" applyBorder="1" applyAlignment="1">
      <alignment horizontal="center" vertical="center" wrapText="1"/>
    </xf>
    <xf numFmtId="0" fontId="10" fillId="17" borderId="27" xfId="0" applyFont="1" applyFill="1" applyBorder="1" applyAlignment="1">
      <alignment horizontal="center" vertical="center" wrapText="1"/>
    </xf>
    <xf numFmtId="0" fontId="40" fillId="2" borderId="1" xfId="1" applyFont="1" applyFill="1" applyBorder="1" applyAlignment="1">
      <alignment horizontal="left" vertical="center" indent="1"/>
    </xf>
    <xf numFmtId="0" fontId="40" fillId="2" borderId="2" xfId="1" applyFont="1" applyFill="1" applyBorder="1" applyAlignment="1">
      <alignment horizontal="left" vertical="center" indent="1"/>
    </xf>
    <xf numFmtId="0" fontId="40" fillId="2" borderId="4" xfId="1" applyFont="1" applyFill="1" applyBorder="1" applyAlignment="1">
      <alignment horizontal="left" vertical="center" indent="1"/>
    </xf>
    <xf numFmtId="0" fontId="40" fillId="2" borderId="0" xfId="1" applyFont="1" applyFill="1" applyBorder="1" applyAlignment="1">
      <alignment horizontal="left" vertical="center" indent="1"/>
    </xf>
    <xf numFmtId="0" fontId="28" fillId="5" borderId="67" xfId="0" applyFont="1" applyFill="1" applyBorder="1" applyAlignment="1">
      <alignment horizontal="center" vertical="center" shrinkToFit="1"/>
    </xf>
    <xf numFmtId="0" fontId="28" fillId="5" borderId="68" xfId="0" applyFont="1" applyFill="1" applyBorder="1" applyAlignment="1">
      <alignment horizontal="center" vertical="center" shrinkToFit="1"/>
    </xf>
    <xf numFmtId="0" fontId="28" fillId="5" borderId="69" xfId="0" applyFont="1" applyFill="1" applyBorder="1" applyAlignment="1">
      <alignment horizontal="center" vertical="center" shrinkToFit="1"/>
    </xf>
    <xf numFmtId="0" fontId="21" fillId="3" borderId="41" xfId="0" applyFont="1" applyFill="1" applyBorder="1" applyAlignment="1">
      <alignment horizontal="center" vertical="center" wrapText="1"/>
    </xf>
    <xf numFmtId="0" fontId="21" fillId="3" borderId="36" xfId="0" applyFont="1" applyFill="1" applyBorder="1" applyAlignment="1">
      <alignment horizontal="center" vertical="center" wrapText="1"/>
    </xf>
    <xf numFmtId="0" fontId="21" fillId="3" borderId="37" xfId="0" applyFont="1" applyFill="1" applyBorder="1" applyAlignment="1">
      <alignment horizontal="center" vertical="center" wrapText="1"/>
    </xf>
    <xf numFmtId="0" fontId="9" fillId="0" borderId="0" xfId="0" applyFont="1" applyFill="1" applyBorder="1" applyAlignment="1" applyProtection="1">
      <alignment horizontal="left" vertical="center"/>
      <protection locked="0"/>
    </xf>
    <xf numFmtId="0" fontId="9" fillId="3" borderId="59" xfId="0" applyFont="1" applyFill="1" applyBorder="1" applyAlignment="1" applyProtection="1">
      <alignment horizontal="left"/>
      <protection locked="0"/>
    </xf>
    <xf numFmtId="0" fontId="9" fillId="3" borderId="60" xfId="0" applyFont="1" applyFill="1" applyBorder="1" applyAlignment="1" applyProtection="1">
      <alignment horizontal="left"/>
      <protection locked="0"/>
    </xf>
    <xf numFmtId="0" fontId="9" fillId="3" borderId="61" xfId="0" applyFont="1" applyFill="1" applyBorder="1" applyAlignment="1" applyProtection="1">
      <alignment horizontal="left"/>
      <protection locked="0"/>
    </xf>
    <xf numFmtId="0" fontId="6" fillId="0" borderId="0" xfId="0" applyFont="1" applyFill="1" applyBorder="1" applyAlignment="1">
      <alignment horizontal="center" vertical="top" wrapText="1"/>
    </xf>
    <xf numFmtId="0" fontId="9" fillId="0" borderId="0" xfId="0" applyFont="1" applyFill="1" applyBorder="1" applyAlignment="1" applyProtection="1">
      <alignment horizontal="left" vertical="top" wrapText="1"/>
      <protection locked="0"/>
    </xf>
    <xf numFmtId="0" fontId="4" fillId="2" borderId="0" xfId="0" applyFont="1" applyFill="1" applyBorder="1" applyAlignment="1">
      <alignment horizontal="center" vertical="center" shrinkToFit="1"/>
    </xf>
    <xf numFmtId="0" fontId="43" fillId="5" borderId="0" xfId="0" applyFont="1" applyFill="1" applyBorder="1" applyAlignment="1">
      <alignment horizontal="right" vertical="center" shrinkToFit="1"/>
    </xf>
    <xf numFmtId="0" fontId="17" fillId="5" borderId="0" xfId="0" applyFont="1" applyFill="1" applyAlignment="1">
      <alignment horizontal="right" vertical="center" wrapText="1"/>
    </xf>
    <xf numFmtId="165" fontId="2" fillId="17" borderId="4" xfId="0" applyNumberFormat="1" applyFont="1" applyFill="1" applyBorder="1" applyAlignment="1" applyProtection="1">
      <alignment horizontal="right" vertical="center" shrinkToFit="1"/>
    </xf>
    <xf numFmtId="165" fontId="2" fillId="17" borderId="0" xfId="0" applyNumberFormat="1" applyFont="1" applyFill="1" applyBorder="1" applyAlignment="1" applyProtection="1">
      <alignment horizontal="right" vertical="center" shrinkToFit="1"/>
    </xf>
    <xf numFmtId="0" fontId="26" fillId="17" borderId="0" xfId="0" applyFont="1" applyFill="1" applyBorder="1" applyAlignment="1">
      <alignment horizontal="center" vertical="center" wrapText="1"/>
    </xf>
    <xf numFmtId="0" fontId="23" fillId="17" borderId="0" xfId="0" applyFont="1" applyFill="1" applyBorder="1" applyAlignment="1">
      <alignment horizontal="center" vertical="center"/>
    </xf>
    <xf numFmtId="0" fontId="14" fillId="17" borderId="4" xfId="0" applyFont="1" applyFill="1" applyBorder="1" applyAlignment="1">
      <alignment horizontal="center"/>
    </xf>
    <xf numFmtId="0" fontId="14" fillId="17" borderId="0" xfId="0" applyFont="1" applyFill="1" applyBorder="1" applyAlignment="1">
      <alignment horizontal="center"/>
    </xf>
    <xf numFmtId="0" fontId="0" fillId="0" borderId="0" xfId="0" applyAlignment="1">
      <alignment horizontal="right" vertical="top" shrinkToFit="1"/>
    </xf>
    <xf numFmtId="0" fontId="0" fillId="0" borderId="55" xfId="0" applyBorder="1" applyAlignment="1">
      <alignment horizontal="right" vertical="top" shrinkToFit="1"/>
    </xf>
    <xf numFmtId="0" fontId="28" fillId="5" borderId="47" xfId="0" applyFont="1" applyFill="1" applyBorder="1" applyAlignment="1">
      <alignment horizontal="center" vertical="center" shrinkToFit="1"/>
    </xf>
    <xf numFmtId="0" fontId="28" fillId="5" borderId="0" xfId="0" applyFont="1" applyFill="1" applyBorder="1" applyAlignment="1">
      <alignment horizontal="center" vertical="center" shrinkToFit="1"/>
    </xf>
    <xf numFmtId="0" fontId="28" fillId="5" borderId="62" xfId="0" applyFont="1" applyFill="1" applyBorder="1" applyAlignment="1">
      <alignment horizontal="center" vertical="center" shrinkToFit="1"/>
    </xf>
    <xf numFmtId="0" fontId="28" fillId="5" borderId="38" xfId="1" applyFont="1" applyFill="1" applyBorder="1" applyAlignment="1">
      <alignment horizontal="center" vertical="center" wrapText="1" shrinkToFit="1"/>
    </xf>
    <xf numFmtId="0" fontId="28" fillId="5" borderId="39" xfId="1" applyFont="1" applyFill="1" applyBorder="1" applyAlignment="1">
      <alignment horizontal="center" vertical="center" shrinkToFit="1"/>
    </xf>
    <xf numFmtId="0" fontId="9" fillId="0" borderId="59" xfId="0" applyFont="1" applyFill="1" applyBorder="1" applyAlignment="1" applyProtection="1">
      <alignment horizontal="left" vertical="center" shrinkToFit="1"/>
      <protection locked="0"/>
    </xf>
    <xf numFmtId="0" fontId="9" fillId="0" borderId="60" xfId="0" applyFont="1" applyFill="1" applyBorder="1" applyAlignment="1" applyProtection="1">
      <alignment horizontal="left" vertical="center" shrinkToFit="1"/>
      <protection locked="0"/>
    </xf>
    <xf numFmtId="0" fontId="9" fillId="0" borderId="61" xfId="0" applyFont="1" applyFill="1" applyBorder="1" applyAlignment="1" applyProtection="1">
      <alignment horizontal="left" vertical="center" shrinkToFit="1"/>
      <protection locked="0"/>
    </xf>
    <xf numFmtId="0" fontId="4" fillId="2" borderId="59" xfId="0" applyNumberFormat="1" applyFont="1" applyFill="1" applyBorder="1" applyAlignment="1" applyProtection="1">
      <alignment horizontal="left" vertical="center" shrinkToFit="1"/>
      <protection locked="0"/>
    </xf>
    <xf numFmtId="0" fontId="4" fillId="2" borderId="60" xfId="0" applyNumberFormat="1" applyFont="1" applyFill="1" applyBorder="1" applyAlignment="1" applyProtection="1">
      <alignment horizontal="left" vertical="center" shrinkToFit="1"/>
      <protection locked="0"/>
    </xf>
    <xf numFmtId="0" fontId="4" fillId="2" borderId="61" xfId="0" applyNumberFormat="1" applyFont="1" applyFill="1" applyBorder="1" applyAlignment="1" applyProtection="1">
      <alignment horizontal="left" vertical="center" shrinkToFit="1"/>
      <protection locked="0"/>
    </xf>
    <xf numFmtId="0" fontId="9" fillId="0" borderId="59" xfId="0" applyFont="1" applyFill="1" applyBorder="1" applyAlignment="1" applyProtection="1">
      <alignment horizontal="center" vertical="center" shrinkToFit="1"/>
      <protection locked="0"/>
    </xf>
    <xf numFmtId="0" fontId="9" fillId="0" borderId="60" xfId="0" applyFont="1" applyFill="1" applyBorder="1" applyAlignment="1" applyProtection="1">
      <alignment horizontal="center" vertical="center" shrinkToFit="1"/>
      <protection locked="0"/>
    </xf>
    <xf numFmtId="0" fontId="9" fillId="0" borderId="61" xfId="0" applyFont="1" applyFill="1" applyBorder="1" applyAlignment="1" applyProtection="1">
      <alignment horizontal="center" vertical="center" shrinkToFit="1"/>
      <protection locked="0"/>
    </xf>
    <xf numFmtId="0" fontId="9" fillId="0" borderId="0" xfId="0" applyFont="1" applyFill="1" applyBorder="1" applyAlignment="1" applyProtection="1">
      <alignment horizontal="left" vertical="center" shrinkToFit="1"/>
      <protection locked="0"/>
    </xf>
    <xf numFmtId="0" fontId="2" fillId="16" borderId="0" xfId="0" applyFont="1" applyFill="1" applyBorder="1" applyAlignment="1" applyProtection="1">
      <alignment horizontal="left" vertical="center" indent="1" shrinkToFit="1"/>
    </xf>
    <xf numFmtId="0" fontId="9" fillId="0" borderId="59" xfId="0" applyNumberFormat="1" applyFont="1" applyFill="1" applyBorder="1" applyAlignment="1" applyProtection="1">
      <alignment horizontal="left" vertical="center" shrinkToFit="1"/>
      <protection locked="0"/>
    </xf>
    <xf numFmtId="0" fontId="9" fillId="0" borderId="60" xfId="0" applyNumberFormat="1" applyFont="1" applyFill="1" applyBorder="1" applyAlignment="1" applyProtection="1">
      <alignment horizontal="left" vertical="center" shrinkToFit="1"/>
      <protection locked="0"/>
    </xf>
    <xf numFmtId="0" fontId="9" fillId="0" borderId="61" xfId="0" applyNumberFormat="1" applyFont="1" applyFill="1" applyBorder="1" applyAlignment="1" applyProtection="1">
      <alignment horizontal="left" vertical="center" shrinkToFit="1"/>
      <protection locked="0"/>
    </xf>
    <xf numFmtId="0" fontId="40" fillId="2" borderId="1" xfId="1" applyFont="1" applyFill="1" applyBorder="1" applyAlignment="1">
      <alignment horizontal="left" vertical="center" indent="1" shrinkToFit="1"/>
    </xf>
    <xf numFmtId="0" fontId="40" fillId="2" borderId="2" xfId="1" applyFont="1" applyFill="1" applyBorder="1" applyAlignment="1">
      <alignment horizontal="left" vertical="center" indent="1" shrinkToFit="1"/>
    </xf>
    <xf numFmtId="0" fontId="40" fillId="2" borderId="4" xfId="1" applyFont="1" applyFill="1" applyBorder="1" applyAlignment="1">
      <alignment horizontal="left" vertical="center" indent="1" shrinkToFit="1"/>
    </xf>
    <xf numFmtId="0" fontId="40" fillId="2" borderId="0" xfId="1" applyFont="1" applyFill="1" applyBorder="1" applyAlignment="1">
      <alignment horizontal="left" vertical="center" indent="1" shrinkToFit="1"/>
    </xf>
    <xf numFmtId="0" fontId="4" fillId="5" borderId="0" xfId="1" applyFont="1" applyFill="1" applyBorder="1" applyAlignment="1">
      <alignment horizontal="center" vertical="center" shrinkToFit="1"/>
    </xf>
    <xf numFmtId="166" fontId="2" fillId="17" borderId="4" xfId="0" applyNumberFormat="1" applyFont="1" applyFill="1" applyBorder="1" applyAlignment="1" applyProtection="1">
      <alignment horizontal="right" vertical="top" shrinkToFit="1"/>
    </xf>
    <xf numFmtId="166" fontId="2" fillId="17" borderId="0" xfId="0" applyNumberFormat="1" applyFont="1" applyFill="1" applyBorder="1" applyAlignment="1" applyProtection="1">
      <alignment horizontal="right" vertical="top" shrinkToFit="1"/>
    </xf>
    <xf numFmtId="0" fontId="0" fillId="17" borderId="5" xfId="0" applyFill="1" applyBorder="1" applyAlignment="1">
      <alignment horizontal="center"/>
    </xf>
    <xf numFmtId="0" fontId="0" fillId="17" borderId="7" xfId="0" applyFill="1" applyBorder="1" applyAlignment="1">
      <alignment horizontal="center"/>
    </xf>
    <xf numFmtId="0" fontId="0" fillId="17" borderId="8" xfId="0" applyFill="1" applyBorder="1" applyAlignment="1">
      <alignment horizontal="center"/>
    </xf>
    <xf numFmtId="0" fontId="4" fillId="2" borderId="51" xfId="0" applyFont="1" applyFill="1" applyBorder="1" applyAlignment="1" applyProtection="1">
      <alignment horizontal="left" vertical="top" wrapText="1" shrinkToFit="1"/>
      <protection locked="0"/>
    </xf>
    <xf numFmtId="0" fontId="4" fillId="2" borderId="52" xfId="0" applyFont="1" applyFill="1" applyBorder="1" applyAlignment="1" applyProtection="1">
      <alignment horizontal="left" vertical="top" wrapText="1" shrinkToFit="1"/>
      <protection locked="0"/>
    </xf>
    <xf numFmtId="0" fontId="4" fillId="2" borderId="53" xfId="0" applyFont="1" applyFill="1" applyBorder="1" applyAlignment="1" applyProtection="1">
      <alignment horizontal="left" vertical="top" wrapText="1" shrinkToFit="1"/>
      <protection locked="0"/>
    </xf>
    <xf numFmtId="0" fontId="4" fillId="2" borderId="54" xfId="0" applyFont="1" applyFill="1" applyBorder="1" applyAlignment="1" applyProtection="1">
      <alignment horizontal="left" vertical="top" wrapText="1" shrinkToFit="1"/>
      <protection locked="0"/>
    </xf>
    <xf numFmtId="0" fontId="4" fillId="2" borderId="0" xfId="0" applyFont="1" applyFill="1" applyBorder="1" applyAlignment="1" applyProtection="1">
      <alignment horizontal="left" vertical="top" wrapText="1" shrinkToFit="1"/>
      <protection locked="0"/>
    </xf>
    <xf numFmtId="0" fontId="4" fillId="2" borderId="55" xfId="0" applyFont="1" applyFill="1" applyBorder="1" applyAlignment="1" applyProtection="1">
      <alignment horizontal="left" vertical="top" wrapText="1" shrinkToFit="1"/>
      <protection locked="0"/>
    </xf>
    <xf numFmtId="0" fontId="4" fillId="2" borderId="56" xfId="0" applyFont="1" applyFill="1" applyBorder="1" applyAlignment="1" applyProtection="1">
      <alignment horizontal="left" vertical="top" wrapText="1" shrinkToFit="1"/>
      <protection locked="0"/>
    </xf>
    <xf numFmtId="0" fontId="4" fillId="2" borderId="57" xfId="0" applyFont="1" applyFill="1" applyBorder="1" applyAlignment="1" applyProtection="1">
      <alignment horizontal="left" vertical="top" wrapText="1" shrinkToFit="1"/>
      <protection locked="0"/>
    </xf>
    <xf numFmtId="0" fontId="4" fillId="2" borderId="58" xfId="0" applyFont="1" applyFill="1" applyBorder="1" applyAlignment="1" applyProtection="1">
      <alignment horizontal="left" vertical="top" wrapText="1" shrinkToFit="1"/>
      <protection locked="0"/>
    </xf>
    <xf numFmtId="0" fontId="2" fillId="17" borderId="26" xfId="0" applyNumberFormat="1" applyFont="1" applyFill="1" applyBorder="1" applyAlignment="1" applyProtection="1">
      <alignment horizontal="center" vertical="top" shrinkToFit="1"/>
    </xf>
    <xf numFmtId="0" fontId="9" fillId="0" borderId="59" xfId="0" applyFont="1" applyFill="1" applyBorder="1" applyAlignment="1" applyProtection="1">
      <alignment horizontal="left" vertical="center" indent="1" shrinkToFit="1"/>
      <protection locked="0"/>
    </xf>
    <xf numFmtId="0" fontId="9" fillId="0" borderId="60" xfId="0" applyFont="1" applyFill="1" applyBorder="1" applyAlignment="1" applyProtection="1">
      <alignment horizontal="left" vertical="center" indent="1" shrinkToFit="1"/>
      <protection locked="0"/>
    </xf>
    <xf numFmtId="0" fontId="9" fillId="0" borderId="61" xfId="0" applyFont="1" applyFill="1" applyBorder="1" applyAlignment="1" applyProtection="1">
      <alignment horizontal="left" vertical="center" indent="1" shrinkToFit="1"/>
      <protection locked="0"/>
    </xf>
    <xf numFmtId="0" fontId="9" fillId="0" borderId="59" xfId="0" applyFont="1" applyFill="1" applyBorder="1" applyAlignment="1" applyProtection="1">
      <alignment vertical="center" shrinkToFit="1"/>
      <protection locked="0"/>
    </xf>
    <xf numFmtId="0" fontId="9" fillId="0" borderId="60" xfId="0" applyFont="1" applyFill="1" applyBorder="1" applyAlignment="1" applyProtection="1">
      <alignment vertical="center" shrinkToFit="1"/>
      <protection locked="0"/>
    </xf>
    <xf numFmtId="0" fontId="9" fillId="0" borderId="61" xfId="0" applyFont="1" applyFill="1" applyBorder="1" applyAlignment="1" applyProtection="1">
      <alignment vertical="center" shrinkToFit="1"/>
      <protection locked="0"/>
    </xf>
    <xf numFmtId="0" fontId="28" fillId="5" borderId="0" xfId="1" applyFont="1" applyFill="1" applyBorder="1" applyAlignment="1">
      <alignment horizontal="center" vertical="center" wrapText="1" shrinkToFit="1"/>
    </xf>
    <xf numFmtId="0" fontId="28" fillId="5" borderId="38" xfId="1" applyFont="1" applyFill="1" applyBorder="1" applyAlignment="1">
      <alignment horizontal="center" vertical="center" wrapText="1"/>
    </xf>
    <xf numFmtId="0" fontId="28" fillId="5" borderId="39" xfId="1" applyFont="1" applyFill="1" applyBorder="1" applyAlignment="1">
      <alignment horizontal="center" vertical="center"/>
    </xf>
    <xf numFmtId="0" fontId="28" fillId="5" borderId="39" xfId="1" applyFont="1" applyFill="1" applyBorder="1" applyAlignment="1">
      <alignment horizontal="center" vertical="center" wrapText="1"/>
    </xf>
    <xf numFmtId="0" fontId="28" fillId="5" borderId="40" xfId="1" applyFont="1" applyFill="1" applyBorder="1" applyAlignment="1">
      <alignment horizontal="center" vertical="center"/>
    </xf>
    <xf numFmtId="0" fontId="9" fillId="0" borderId="59" xfId="0" applyNumberFormat="1" applyFont="1" applyFill="1" applyBorder="1" applyAlignment="1" applyProtection="1">
      <alignment vertical="top"/>
      <protection locked="0"/>
    </xf>
    <xf numFmtId="0" fontId="9" fillId="0" borderId="60" xfId="0" applyNumberFormat="1" applyFont="1" applyFill="1" applyBorder="1" applyAlignment="1" applyProtection="1">
      <alignment vertical="top"/>
      <protection locked="0"/>
    </xf>
    <xf numFmtId="0" fontId="9" fillId="0" borderId="61" xfId="0" applyNumberFormat="1" applyFont="1" applyFill="1" applyBorder="1" applyAlignment="1" applyProtection="1">
      <alignment vertical="top"/>
      <protection locked="0"/>
    </xf>
    <xf numFmtId="0" fontId="4" fillId="2" borderId="51" xfId="0" applyFont="1" applyFill="1" applyBorder="1" applyAlignment="1" applyProtection="1">
      <alignment vertical="top" wrapText="1" shrinkToFit="1"/>
      <protection locked="0"/>
    </xf>
    <xf numFmtId="0" fontId="4" fillId="2" borderId="52" xfId="0" applyFont="1" applyFill="1" applyBorder="1" applyAlignment="1" applyProtection="1">
      <alignment vertical="top" wrapText="1" shrinkToFit="1"/>
      <protection locked="0"/>
    </xf>
    <xf numFmtId="0" fontId="4" fillId="2" borderId="53" xfId="0" applyFont="1" applyFill="1" applyBorder="1" applyAlignment="1" applyProtection="1">
      <alignment vertical="top" wrapText="1" shrinkToFit="1"/>
      <protection locked="0"/>
    </xf>
    <xf numFmtId="0" fontId="4" fillId="2" borderId="54" xfId="0" applyFont="1" applyFill="1" applyBorder="1" applyAlignment="1" applyProtection="1">
      <alignment vertical="top" wrapText="1" shrinkToFit="1"/>
      <protection locked="0"/>
    </xf>
    <xf numFmtId="0" fontId="4" fillId="2" borderId="0" xfId="0" applyFont="1" applyFill="1" applyBorder="1" applyAlignment="1" applyProtection="1">
      <alignment vertical="top" wrapText="1" shrinkToFit="1"/>
      <protection locked="0"/>
    </xf>
    <xf numFmtId="0" fontId="4" fillId="2" borderId="55" xfId="0" applyFont="1" applyFill="1" applyBorder="1" applyAlignment="1" applyProtection="1">
      <alignment vertical="top" wrapText="1" shrinkToFit="1"/>
      <protection locked="0"/>
    </xf>
    <xf numFmtId="0" fontId="4" fillId="2" borderId="56" xfId="0" applyFont="1" applyFill="1" applyBorder="1" applyAlignment="1" applyProtection="1">
      <alignment vertical="top" wrapText="1" shrinkToFit="1"/>
      <protection locked="0"/>
    </xf>
    <xf numFmtId="0" fontId="4" fillId="2" borderId="57" xfId="0" applyFont="1" applyFill="1" applyBorder="1" applyAlignment="1" applyProtection="1">
      <alignment vertical="top" wrapText="1" shrinkToFit="1"/>
      <protection locked="0"/>
    </xf>
    <xf numFmtId="0" fontId="4" fillId="2" borderId="58" xfId="0" applyFont="1" applyFill="1" applyBorder="1" applyAlignment="1" applyProtection="1">
      <alignment vertical="top" wrapText="1" shrinkToFit="1"/>
      <protection locked="0"/>
    </xf>
    <xf numFmtId="0" fontId="4" fillId="2" borderId="59" xfId="0" applyNumberFormat="1" applyFont="1" applyFill="1" applyBorder="1" applyAlignment="1" applyProtection="1">
      <alignment horizontal="left" vertical="center" wrapText="1" shrinkToFit="1"/>
      <protection locked="0"/>
    </xf>
    <xf numFmtId="0" fontId="4" fillId="2" borderId="60" xfId="0" applyNumberFormat="1" applyFont="1" applyFill="1" applyBorder="1" applyAlignment="1" applyProtection="1">
      <alignment horizontal="left" vertical="center" wrapText="1" shrinkToFit="1"/>
      <protection locked="0"/>
    </xf>
    <xf numFmtId="0" fontId="4" fillId="2" borderId="61" xfId="0" applyNumberFormat="1" applyFont="1" applyFill="1" applyBorder="1" applyAlignment="1" applyProtection="1">
      <alignment horizontal="left" vertical="center" wrapText="1" shrinkToFit="1"/>
      <protection locked="0"/>
    </xf>
    <xf numFmtId="0" fontId="9" fillId="0" borderId="59" xfId="0" applyNumberFormat="1" applyFont="1" applyFill="1" applyBorder="1" applyAlignment="1" applyProtection="1">
      <alignment horizontal="left" vertical="center" wrapText="1" shrinkToFit="1"/>
      <protection locked="0"/>
    </xf>
    <xf numFmtId="0" fontId="9" fillId="0" borderId="60" xfId="0" applyNumberFormat="1" applyFont="1" applyFill="1" applyBorder="1" applyAlignment="1" applyProtection="1">
      <alignment horizontal="left" vertical="center" wrapText="1" shrinkToFit="1"/>
      <protection locked="0"/>
    </xf>
    <xf numFmtId="0" fontId="9" fillId="0" borderId="61" xfId="0" applyNumberFormat="1" applyFont="1" applyFill="1" applyBorder="1" applyAlignment="1" applyProtection="1">
      <alignment horizontal="left" vertical="center" wrapText="1" shrinkToFit="1"/>
      <protection locked="0"/>
    </xf>
    <xf numFmtId="0" fontId="4" fillId="2" borderId="47" xfId="0" applyFont="1" applyFill="1" applyBorder="1" applyAlignment="1">
      <alignment horizontal="center" vertical="center" shrinkToFit="1"/>
    </xf>
    <xf numFmtId="0" fontId="4" fillId="2" borderId="0" xfId="0" applyFont="1" applyFill="1" applyBorder="1" applyAlignment="1" applyProtection="1">
      <alignment horizontal="left" vertical="center" shrinkToFit="1"/>
      <protection locked="0"/>
    </xf>
    <xf numFmtId="0" fontId="4" fillId="2" borderId="51" xfId="0" applyFont="1" applyFill="1" applyBorder="1" applyAlignment="1" applyProtection="1">
      <alignment vertical="top" wrapText="1"/>
      <protection locked="0"/>
    </xf>
    <xf numFmtId="0" fontId="4" fillId="2" borderId="52" xfId="0" applyFont="1" applyFill="1" applyBorder="1" applyAlignment="1" applyProtection="1">
      <alignment vertical="top" wrapText="1"/>
      <protection locked="0"/>
    </xf>
    <xf numFmtId="0" fontId="4" fillId="2" borderId="53" xfId="0" applyFont="1" applyFill="1" applyBorder="1" applyAlignment="1" applyProtection="1">
      <alignment vertical="top" wrapText="1"/>
      <protection locked="0"/>
    </xf>
    <xf numFmtId="0" fontId="4" fillId="2" borderId="54" xfId="0" applyFont="1" applyFill="1" applyBorder="1" applyAlignment="1" applyProtection="1">
      <alignment vertical="top" wrapText="1"/>
      <protection locked="0"/>
    </xf>
    <xf numFmtId="0" fontId="4" fillId="2" borderId="0" xfId="0" applyFont="1" applyFill="1" applyBorder="1" applyAlignment="1" applyProtection="1">
      <alignment vertical="top" wrapText="1"/>
      <protection locked="0"/>
    </xf>
    <xf numFmtId="0" fontId="4" fillId="2" borderId="55" xfId="0" applyFont="1" applyFill="1" applyBorder="1" applyAlignment="1" applyProtection="1">
      <alignment vertical="top" wrapText="1"/>
      <protection locked="0"/>
    </xf>
    <xf numFmtId="0" fontId="4" fillId="2" borderId="56" xfId="0" applyFont="1" applyFill="1" applyBorder="1" applyAlignment="1" applyProtection="1">
      <alignment vertical="top" wrapText="1"/>
      <protection locked="0"/>
    </xf>
    <xf numFmtId="0" fontId="4" fillId="2" borderId="57" xfId="0" applyFont="1" applyFill="1" applyBorder="1" applyAlignment="1" applyProtection="1">
      <alignment vertical="top" wrapText="1"/>
      <protection locked="0"/>
    </xf>
    <xf numFmtId="0" fontId="4" fillId="2" borderId="58" xfId="0" applyFont="1" applyFill="1" applyBorder="1" applyAlignment="1" applyProtection="1">
      <alignment vertical="top" wrapText="1"/>
      <protection locked="0"/>
    </xf>
    <xf numFmtId="0" fontId="15" fillId="17" borderId="0" xfId="0" applyFont="1" applyFill="1" applyBorder="1" applyAlignment="1">
      <alignment horizontal="center" vertical="center"/>
    </xf>
    <xf numFmtId="0" fontId="44" fillId="17" borderId="0" xfId="0" applyFont="1" applyFill="1" applyBorder="1" applyAlignment="1">
      <alignment horizontal="center" vertical="center"/>
    </xf>
    <xf numFmtId="0" fontId="4" fillId="5" borderId="0" xfId="0" applyFont="1" applyFill="1" applyAlignment="1">
      <alignment horizontal="right" vertical="center"/>
    </xf>
    <xf numFmtId="166" fontId="2" fillId="17" borderId="4" xfId="0" applyNumberFormat="1" applyFont="1" applyFill="1" applyBorder="1" applyAlignment="1" applyProtection="1">
      <alignment horizontal="right" vertical="center" shrinkToFit="1"/>
    </xf>
    <xf numFmtId="166" fontId="2" fillId="17" borderId="0" xfId="0" applyNumberFormat="1" applyFont="1" applyFill="1" applyBorder="1" applyAlignment="1" applyProtection="1">
      <alignment horizontal="right" vertical="center" shrinkToFit="1"/>
    </xf>
    <xf numFmtId="165" fontId="2" fillId="17" borderId="55" xfId="0" applyNumberFormat="1" applyFont="1" applyFill="1" applyBorder="1" applyAlignment="1" applyProtection="1">
      <alignment horizontal="right" vertical="center" shrinkToFit="1"/>
    </xf>
    <xf numFmtId="0" fontId="2" fillId="17" borderId="0" xfId="0" applyNumberFormat="1" applyFont="1" applyFill="1" applyBorder="1" applyAlignment="1" applyProtection="1">
      <alignment horizontal="right" vertical="center" shrinkToFit="1"/>
    </xf>
    <xf numFmtId="0" fontId="2" fillId="17" borderId="55" xfId="0" applyNumberFormat="1" applyFont="1" applyFill="1" applyBorder="1" applyAlignment="1" applyProtection="1">
      <alignment horizontal="right" vertical="center" shrinkToFit="1"/>
    </xf>
    <xf numFmtId="0" fontId="0" fillId="0" borderId="0" xfId="0" applyAlignment="1">
      <alignment horizontal="right" vertical="center" shrinkToFit="1"/>
    </xf>
    <xf numFmtId="0" fontId="23" fillId="17" borderId="0" xfId="0" applyFont="1" applyFill="1" applyBorder="1" applyAlignment="1">
      <alignment vertical="center"/>
    </xf>
    <xf numFmtId="0" fontId="0" fillId="0" borderId="0" xfId="0" applyAlignment="1">
      <alignment vertical="center"/>
    </xf>
    <xf numFmtId="0" fontId="23" fillId="17" borderId="55" xfId="0" applyFont="1" applyFill="1" applyBorder="1" applyAlignment="1">
      <alignment horizontal="left" vertical="center" wrapText="1"/>
    </xf>
    <xf numFmtId="0" fontId="9" fillId="0" borderId="54" xfId="0" applyFont="1" applyFill="1" applyBorder="1" applyAlignment="1" applyProtection="1">
      <alignment horizontal="left" vertical="center" shrinkToFit="1"/>
      <protection locked="0"/>
    </xf>
    <xf numFmtId="0" fontId="4" fillId="2" borderId="59" xfId="0" applyFont="1" applyFill="1" applyBorder="1" applyAlignment="1" applyProtection="1">
      <alignment horizontal="left" vertical="center" shrinkToFit="1"/>
      <protection locked="0"/>
    </xf>
    <xf numFmtId="0" fontId="4" fillId="2" borderId="60" xfId="0" applyFont="1" applyFill="1" applyBorder="1" applyAlignment="1" applyProtection="1">
      <alignment horizontal="left" vertical="center" shrinkToFit="1"/>
      <protection locked="0"/>
    </xf>
    <xf numFmtId="0" fontId="4" fillId="2" borderId="61" xfId="0" applyFont="1" applyFill="1" applyBorder="1" applyAlignment="1" applyProtection="1">
      <alignment horizontal="left" vertical="center" shrinkToFit="1"/>
      <protection locked="0"/>
    </xf>
    <xf numFmtId="0" fontId="4" fillId="2" borderId="54" xfId="0" applyFont="1" applyFill="1" applyBorder="1" applyAlignment="1" applyProtection="1">
      <alignment horizontal="left" vertical="center" shrinkToFit="1"/>
      <protection locked="0"/>
    </xf>
    <xf numFmtId="0" fontId="0" fillId="0" borderId="55" xfId="0" applyBorder="1" applyAlignment="1">
      <alignment horizontal="right" vertical="center" shrinkToFit="1"/>
    </xf>
    <xf numFmtId="0" fontId="18" fillId="17" borderId="0" xfId="0" applyFont="1" applyFill="1" applyBorder="1" applyAlignment="1" applyProtection="1">
      <alignment horizontal="center"/>
    </xf>
    <xf numFmtId="0" fontId="19" fillId="17" borderId="0" xfId="0" applyFont="1" applyFill="1" applyBorder="1" applyAlignment="1" applyProtection="1">
      <alignment horizontal="center"/>
    </xf>
    <xf numFmtId="0" fontId="2" fillId="17" borderId="26" xfId="0" applyNumberFormat="1" applyFont="1" applyFill="1" applyBorder="1" applyAlignment="1" applyProtection="1">
      <alignment horizontal="center" vertical="center" shrinkToFit="1"/>
    </xf>
    <xf numFmtId="1" fontId="9" fillId="0" borderId="59" xfId="0" applyNumberFormat="1" applyFont="1" applyFill="1" applyBorder="1" applyAlignment="1" applyProtection="1">
      <alignment horizontal="left" vertical="center" shrinkToFit="1"/>
      <protection locked="0"/>
    </xf>
    <xf numFmtId="1" fontId="9" fillId="0" borderId="60" xfId="0" applyNumberFormat="1" applyFont="1" applyFill="1" applyBorder="1" applyAlignment="1" applyProtection="1">
      <alignment horizontal="left" vertical="center" shrinkToFit="1"/>
      <protection locked="0"/>
    </xf>
    <xf numFmtId="1" fontId="9" fillId="0" borderId="61" xfId="0" applyNumberFormat="1" applyFont="1" applyFill="1" applyBorder="1" applyAlignment="1" applyProtection="1">
      <alignment horizontal="left" vertical="center" shrinkToFit="1"/>
      <protection locked="0"/>
    </xf>
    <xf numFmtId="0" fontId="9" fillId="0" borderId="0" xfId="0" applyFont="1" applyFill="1" applyBorder="1" applyAlignment="1" applyProtection="1">
      <alignment horizontal="left" vertical="center" indent="1" shrinkToFit="1"/>
      <protection locked="0"/>
    </xf>
    <xf numFmtId="0" fontId="0" fillId="0" borderId="0" xfId="0" applyAlignment="1" applyProtection="1">
      <alignment horizontal="left" vertical="center" indent="1" shrinkToFit="1"/>
      <protection locked="0"/>
    </xf>
    <xf numFmtId="0" fontId="4" fillId="2" borderId="4" xfId="0" applyFont="1" applyFill="1" applyBorder="1" applyAlignment="1" applyProtection="1">
      <alignment horizontal="left" vertical="center" indent="1" shrinkToFit="1"/>
      <protection locked="0"/>
    </xf>
    <xf numFmtId="0" fontId="19" fillId="17" borderId="0" xfId="0" applyFont="1" applyFill="1" applyBorder="1" applyAlignment="1" applyProtection="1">
      <alignment horizontal="center" shrinkToFit="1"/>
    </xf>
    <xf numFmtId="0" fontId="4" fillId="2" borderId="0" xfId="0" applyFont="1" applyFill="1" applyBorder="1" applyAlignment="1" applyProtection="1">
      <alignment horizontal="center" vertical="center" wrapText="1" shrinkToFit="1"/>
      <protection locked="0"/>
    </xf>
    <xf numFmtId="0" fontId="0" fillId="0" borderId="5" xfId="0" applyBorder="1" applyAlignment="1" applyProtection="1">
      <alignment horizontal="center" vertical="center" wrapText="1" shrinkToFit="1"/>
      <protection locked="0"/>
    </xf>
    <xf numFmtId="0" fontId="18" fillId="17" borderId="0" xfId="0" applyFont="1" applyFill="1" applyBorder="1" applyAlignment="1" applyProtection="1">
      <alignment horizontal="center" shrinkToFit="1"/>
    </xf>
    <xf numFmtId="0" fontId="9" fillId="0" borderId="0" xfId="0" applyFont="1" applyFill="1" applyBorder="1" applyAlignment="1" applyProtection="1">
      <alignment horizontal="center" vertical="center" wrapText="1" shrinkToFit="1"/>
      <protection locked="0"/>
    </xf>
    <xf numFmtId="0" fontId="9" fillId="0" borderId="4" xfId="0" applyFont="1" applyFill="1" applyBorder="1" applyAlignment="1" applyProtection="1">
      <alignment horizontal="left" vertical="center" indent="1" shrinkToFit="1"/>
      <protection locked="0"/>
    </xf>
    <xf numFmtId="0" fontId="20" fillId="2" borderId="51" xfId="0" applyFont="1" applyFill="1" applyBorder="1" applyAlignment="1" applyProtection="1">
      <alignment horizontal="left" vertical="top" wrapText="1" shrinkToFit="1"/>
      <protection locked="0"/>
    </xf>
    <xf numFmtId="0" fontId="20" fillId="2" borderId="52" xfId="0" applyFont="1" applyFill="1" applyBorder="1" applyAlignment="1" applyProtection="1">
      <alignment horizontal="left" vertical="top" wrapText="1" shrinkToFit="1"/>
      <protection locked="0"/>
    </xf>
    <xf numFmtId="0" fontId="20" fillId="2" borderId="53" xfId="0" applyFont="1" applyFill="1" applyBorder="1" applyAlignment="1" applyProtection="1">
      <alignment horizontal="left" vertical="top" wrapText="1" shrinkToFit="1"/>
      <protection locked="0"/>
    </xf>
    <xf numFmtId="0" fontId="20" fillId="2" borderId="54" xfId="0" applyFont="1" applyFill="1" applyBorder="1" applyAlignment="1" applyProtection="1">
      <alignment horizontal="left" vertical="top" wrapText="1" shrinkToFit="1"/>
      <protection locked="0"/>
    </xf>
    <xf numFmtId="0" fontId="20" fillId="2" borderId="0" xfId="0" applyFont="1" applyFill="1" applyBorder="1" applyAlignment="1" applyProtection="1">
      <alignment horizontal="left" vertical="top" wrapText="1" shrinkToFit="1"/>
      <protection locked="0"/>
    </xf>
    <xf numFmtId="0" fontId="20" fillId="2" borderId="55" xfId="0" applyFont="1" applyFill="1" applyBorder="1" applyAlignment="1" applyProtection="1">
      <alignment horizontal="left" vertical="top" wrapText="1" shrinkToFit="1"/>
      <protection locked="0"/>
    </xf>
    <xf numFmtId="0" fontId="20" fillId="2" borderId="56" xfId="0" applyFont="1" applyFill="1" applyBorder="1" applyAlignment="1" applyProtection="1">
      <alignment horizontal="left" vertical="top" wrapText="1" shrinkToFit="1"/>
      <protection locked="0"/>
    </xf>
    <xf numFmtId="0" fontId="20" fillId="2" borderId="57" xfId="0" applyFont="1" applyFill="1" applyBorder="1" applyAlignment="1" applyProtection="1">
      <alignment horizontal="left" vertical="top" wrapText="1" shrinkToFit="1"/>
      <protection locked="0"/>
    </xf>
    <xf numFmtId="0" fontId="20" fillId="2" borderId="58" xfId="0" applyFont="1" applyFill="1" applyBorder="1" applyAlignment="1" applyProtection="1">
      <alignment horizontal="left" vertical="top" wrapText="1" shrinkToFit="1"/>
      <protection locked="0"/>
    </xf>
    <xf numFmtId="0" fontId="4" fillId="2" borderId="0" xfId="0" applyFont="1" applyFill="1" applyBorder="1" applyAlignment="1" applyProtection="1">
      <alignment horizontal="left" vertical="center" indent="1" shrinkToFit="1"/>
      <protection locked="0"/>
    </xf>
    <xf numFmtId="0" fontId="4" fillId="2" borderId="0" xfId="0" applyFont="1" applyFill="1" applyBorder="1" applyAlignment="1" applyProtection="1">
      <alignment horizontal="left" vertical="center" indent="1"/>
      <protection locked="0"/>
    </xf>
    <xf numFmtId="0" fontId="4" fillId="2" borderId="0" xfId="0" applyFont="1" applyFill="1" applyBorder="1" applyAlignment="1" applyProtection="1">
      <alignment horizontal="center" vertical="center"/>
      <protection locked="0"/>
    </xf>
    <xf numFmtId="0" fontId="0" fillId="0" borderId="0" xfId="0" applyBorder="1" applyAlignment="1">
      <alignment horizontal="right" vertical="top" shrinkToFit="1"/>
    </xf>
    <xf numFmtId="0" fontId="2" fillId="17" borderId="0" xfId="0" applyFont="1" applyFill="1" applyBorder="1" applyAlignment="1">
      <alignment horizontal="left" vertical="top" shrinkToFit="1"/>
    </xf>
    <xf numFmtId="0" fontId="0" fillId="0" borderId="0" xfId="0" applyBorder="1" applyAlignment="1">
      <alignment horizontal="left" vertical="top" shrinkToFit="1"/>
    </xf>
    <xf numFmtId="0" fontId="23" fillId="17" borderId="0" xfId="0" applyFont="1" applyFill="1" applyBorder="1" applyAlignment="1" applyProtection="1">
      <alignment horizontal="left" vertical="center" shrinkToFit="1"/>
    </xf>
    <xf numFmtId="0" fontId="9" fillId="0" borderId="51" xfId="0" applyFont="1" applyFill="1" applyBorder="1" applyAlignment="1" applyProtection="1">
      <alignment horizontal="left" vertical="top" indent="1" shrinkToFit="1"/>
      <protection locked="0"/>
    </xf>
    <xf numFmtId="0" fontId="9" fillId="0" borderId="52" xfId="0" applyFont="1" applyFill="1" applyBorder="1" applyAlignment="1" applyProtection="1">
      <alignment horizontal="left" vertical="top" indent="1" shrinkToFit="1"/>
      <protection locked="0"/>
    </xf>
    <xf numFmtId="0" fontId="9" fillId="0" borderId="53" xfId="0" applyFont="1" applyFill="1" applyBorder="1" applyAlignment="1" applyProtection="1">
      <alignment horizontal="left" vertical="top" indent="1" shrinkToFit="1"/>
      <protection locked="0"/>
    </xf>
    <xf numFmtId="0" fontId="9" fillId="0" borderId="54" xfId="0" applyFont="1" applyFill="1" applyBorder="1" applyAlignment="1" applyProtection="1">
      <alignment horizontal="left" vertical="top" indent="1" shrinkToFit="1"/>
      <protection locked="0"/>
    </xf>
    <xf numFmtId="0" fontId="9" fillId="0" borderId="0" xfId="0" applyFont="1" applyFill="1" applyBorder="1" applyAlignment="1" applyProtection="1">
      <alignment horizontal="left" vertical="top" indent="1" shrinkToFit="1"/>
      <protection locked="0"/>
    </xf>
    <xf numFmtId="0" fontId="9" fillId="0" borderId="55" xfId="0" applyFont="1" applyFill="1" applyBorder="1" applyAlignment="1" applyProtection="1">
      <alignment horizontal="left" vertical="top" indent="1" shrinkToFit="1"/>
      <protection locked="0"/>
    </xf>
    <xf numFmtId="0" fontId="9" fillId="0" borderId="56" xfId="0" applyFont="1" applyFill="1" applyBorder="1" applyAlignment="1" applyProtection="1">
      <alignment horizontal="left" vertical="top" indent="1" shrinkToFit="1"/>
      <protection locked="0"/>
    </xf>
    <xf numFmtId="0" fontId="9" fillId="0" borderId="57" xfId="0" applyFont="1" applyFill="1" applyBorder="1" applyAlignment="1" applyProtection="1">
      <alignment horizontal="left" vertical="top" indent="1" shrinkToFit="1"/>
      <protection locked="0"/>
    </xf>
    <xf numFmtId="0" fontId="9" fillId="0" borderId="58" xfId="0" applyFont="1" applyFill="1" applyBorder="1" applyAlignment="1" applyProtection="1">
      <alignment horizontal="left" vertical="top" indent="1" shrinkToFit="1"/>
      <protection locked="0"/>
    </xf>
    <xf numFmtId="0" fontId="4" fillId="5" borderId="0" xfId="0" applyFont="1" applyFill="1" applyBorder="1" applyAlignment="1">
      <alignment horizontal="right" vertical="center"/>
    </xf>
    <xf numFmtId="0" fontId="0" fillId="0" borderId="0" xfId="0" applyBorder="1" applyAlignment="1">
      <alignment vertical="center"/>
    </xf>
    <xf numFmtId="0" fontId="9" fillId="0" borderId="59" xfId="0" applyFont="1" applyFill="1" applyBorder="1" applyAlignment="1" applyProtection="1">
      <alignment horizontal="left" vertical="center" wrapText="1" shrinkToFit="1"/>
      <protection locked="0"/>
    </xf>
    <xf numFmtId="0" fontId="9" fillId="0" borderId="60" xfId="0" applyFont="1" applyFill="1" applyBorder="1" applyAlignment="1" applyProtection="1">
      <alignment horizontal="left" vertical="center" wrapText="1" shrinkToFit="1"/>
      <protection locked="0"/>
    </xf>
    <xf numFmtId="0" fontId="9" fillId="0" borderId="61" xfId="0" applyFont="1" applyFill="1" applyBorder="1" applyAlignment="1" applyProtection="1">
      <alignment horizontal="left" vertical="center" wrapText="1" shrinkToFit="1"/>
      <protection locked="0"/>
    </xf>
    <xf numFmtId="0" fontId="4" fillId="2" borderId="51" xfId="0" applyNumberFormat="1" applyFont="1" applyFill="1" applyBorder="1" applyAlignment="1" applyProtection="1">
      <alignment horizontal="left" vertical="top" wrapText="1"/>
      <protection locked="0"/>
    </xf>
    <xf numFmtId="0" fontId="4" fillId="2" borderId="52" xfId="0" applyNumberFormat="1" applyFont="1" applyFill="1" applyBorder="1" applyAlignment="1" applyProtection="1">
      <alignment horizontal="left" vertical="top" wrapText="1"/>
      <protection locked="0"/>
    </xf>
    <xf numFmtId="0" fontId="4" fillId="2" borderId="53" xfId="0" applyNumberFormat="1" applyFont="1" applyFill="1" applyBorder="1" applyAlignment="1" applyProtection="1">
      <alignment horizontal="left" vertical="top" wrapText="1"/>
      <protection locked="0"/>
    </xf>
    <xf numFmtId="0" fontId="4" fillId="2" borderId="54" xfId="0" applyNumberFormat="1" applyFont="1" applyFill="1" applyBorder="1" applyAlignment="1" applyProtection="1">
      <alignment horizontal="left" vertical="top" wrapText="1"/>
      <protection locked="0"/>
    </xf>
    <xf numFmtId="0" fontId="4" fillId="2" borderId="0" xfId="0" applyNumberFormat="1" applyFont="1" applyFill="1" applyBorder="1" applyAlignment="1" applyProtection="1">
      <alignment horizontal="left" vertical="top" wrapText="1"/>
      <protection locked="0"/>
    </xf>
    <xf numFmtId="0" fontId="4" fillId="2" borderId="55" xfId="0" applyNumberFormat="1" applyFont="1" applyFill="1" applyBorder="1" applyAlignment="1" applyProtection="1">
      <alignment horizontal="left" vertical="top" wrapText="1"/>
      <protection locked="0"/>
    </xf>
    <xf numFmtId="0" fontId="4" fillId="2" borderId="56" xfId="0" applyNumberFormat="1" applyFont="1" applyFill="1" applyBorder="1" applyAlignment="1" applyProtection="1">
      <alignment horizontal="left" vertical="top" wrapText="1"/>
      <protection locked="0"/>
    </xf>
    <xf numFmtId="0" fontId="4" fillId="2" borderId="57" xfId="0" applyNumberFormat="1" applyFont="1" applyFill="1" applyBorder="1" applyAlignment="1" applyProtection="1">
      <alignment horizontal="left" vertical="top" wrapText="1"/>
      <protection locked="0"/>
    </xf>
    <xf numFmtId="0" fontId="4" fillId="2" borderId="58" xfId="0" applyNumberFormat="1" applyFont="1" applyFill="1" applyBorder="1" applyAlignment="1" applyProtection="1">
      <alignment horizontal="left" vertical="top" wrapText="1"/>
      <protection locked="0"/>
    </xf>
    <xf numFmtId="0" fontId="4" fillId="5" borderId="0" xfId="0" applyFont="1" applyFill="1" applyAlignment="1">
      <alignment horizontal="center" vertical="center"/>
    </xf>
    <xf numFmtId="0" fontId="28" fillId="5" borderId="0" xfId="0" applyFont="1" applyFill="1" applyBorder="1" applyAlignment="1">
      <alignment horizontal="center" vertical="center" wrapText="1" shrinkToFit="1"/>
    </xf>
    <xf numFmtId="0" fontId="17" fillId="17" borderId="0" xfId="0" applyFont="1" applyFill="1" applyBorder="1" applyAlignment="1">
      <alignment horizontal="center" vertical="center"/>
    </xf>
    <xf numFmtId="0" fontId="9" fillId="0" borderId="0" xfId="0" applyFont="1" applyFill="1" applyBorder="1" applyAlignment="1" applyProtection="1">
      <alignment horizontal="left" vertical="center" wrapText="1" shrinkToFit="1"/>
      <protection locked="0"/>
    </xf>
    <xf numFmtId="170" fontId="4" fillId="2" borderId="47" xfId="0" applyNumberFormat="1" applyFont="1" applyFill="1" applyBorder="1" applyAlignment="1">
      <alignment horizontal="center" vertical="center" shrinkToFit="1"/>
    </xf>
    <xf numFmtId="170" fontId="4" fillId="2" borderId="62" xfId="0" applyNumberFormat="1" applyFont="1" applyFill="1" applyBorder="1" applyAlignment="1">
      <alignment horizontal="center" vertical="center" shrinkToFit="1"/>
    </xf>
  </cellXfs>
  <cellStyles count="2">
    <cellStyle name="Hipervínculo" xfId="1" builtinId="8"/>
    <cellStyle name="Normal" xfId="0" builtinId="0"/>
  </cellStyles>
  <dxfs count="684">
    <dxf>
      <font>
        <b val="0"/>
        <i val="0"/>
        <strike val="0"/>
        <condense val="0"/>
        <extend val="0"/>
        <outline val="0"/>
        <shadow val="0"/>
        <u val="none"/>
        <vertAlign val="baseline"/>
        <sz val="11"/>
        <color rgb="FF005877"/>
        <name val="Calibri"/>
        <scheme val="minor"/>
      </font>
      <numFmt numFmtId="0" formatCode="General"/>
      <alignment horizontal="left" vertical="bottom" textRotation="0" wrapText="0" indent="0" justifyLastLine="0" shrinkToFit="0" readingOrder="0"/>
      <protection locked="1" hidden="0"/>
    </dxf>
    <dxf>
      <font>
        <b val="0"/>
        <i val="0"/>
        <strike val="0"/>
        <condense val="0"/>
        <extend val="0"/>
        <outline val="0"/>
        <shadow val="0"/>
        <u val="none"/>
        <vertAlign val="baseline"/>
        <sz val="11"/>
        <color rgb="FF005877"/>
        <name val="Calibri"/>
        <scheme val="minor"/>
      </font>
      <numFmt numFmtId="0" formatCode="General"/>
      <alignment horizontal="left" vertical="bottom" textRotation="0" wrapText="0" indent="0" justifyLastLine="0" shrinkToFit="0" readingOrder="0"/>
      <protection locked="1" hidden="0"/>
    </dxf>
    <dxf>
      <font>
        <b val="0"/>
        <i val="0"/>
        <strike val="0"/>
        <condense val="0"/>
        <extend val="0"/>
        <outline val="0"/>
        <shadow val="0"/>
        <u val="none"/>
        <vertAlign val="baseline"/>
        <sz val="11"/>
        <color rgb="FF005877"/>
        <name val="Calibri"/>
        <scheme val="minor"/>
      </font>
      <numFmt numFmtId="0" formatCode="General"/>
      <alignment horizontal="left" vertical="bottom" textRotation="0" wrapText="0" indent="0" justifyLastLine="0" shrinkToFit="0" readingOrder="0"/>
      <protection locked="1" hidden="0"/>
    </dxf>
    <dxf>
      <font>
        <b val="0"/>
        <i val="0"/>
        <strike val="0"/>
        <condense val="0"/>
        <extend val="0"/>
        <outline val="0"/>
        <shadow val="0"/>
        <u val="none"/>
        <vertAlign val="baseline"/>
        <sz val="11"/>
        <color rgb="FF005877"/>
        <name val="Calibri"/>
        <scheme val="minor"/>
      </font>
      <numFmt numFmtId="0" formatCode="General"/>
      <alignment horizontal="left" vertical="bottom" textRotation="0" wrapText="0" indent="0" justifyLastLine="0" shrinkToFit="0" readingOrder="0"/>
      <protection locked="1" hidden="0"/>
    </dxf>
    <dxf>
      <font>
        <b val="0"/>
        <i val="0"/>
        <strike val="0"/>
        <condense val="0"/>
        <extend val="0"/>
        <outline val="0"/>
        <shadow val="0"/>
        <u val="none"/>
        <vertAlign val="baseline"/>
        <sz val="11"/>
        <color rgb="FF005877"/>
        <name val="Calibri"/>
        <scheme val="minor"/>
      </font>
      <numFmt numFmtId="0" formatCode="General"/>
      <alignment horizontal="left" vertical="bottom" textRotation="0" wrapText="0" indent="0" justifyLastLine="0" shrinkToFit="0" readingOrder="0"/>
      <protection locked="1" hidden="0"/>
    </dxf>
    <dxf>
      <font>
        <b val="0"/>
        <i val="0"/>
        <strike val="0"/>
        <condense val="0"/>
        <extend val="0"/>
        <outline val="0"/>
        <shadow val="0"/>
        <u val="none"/>
        <vertAlign val="baseline"/>
        <sz val="11"/>
        <color rgb="FF005877"/>
        <name val="Calibri"/>
        <scheme val="minor"/>
      </font>
      <numFmt numFmtId="0" formatCode="General"/>
      <alignment horizontal="left" vertical="bottom" textRotation="0" wrapText="0" indent="0" justifyLastLine="0" shrinkToFit="0" readingOrder="0"/>
      <protection locked="1" hidden="0"/>
    </dxf>
    <dxf>
      <font>
        <b val="0"/>
        <i val="0"/>
        <strike val="0"/>
        <condense val="0"/>
        <extend val="0"/>
        <outline val="0"/>
        <shadow val="0"/>
        <u val="none"/>
        <vertAlign val="baseline"/>
        <sz val="11"/>
        <color rgb="FF005877"/>
        <name val="Calibri"/>
        <scheme val="minor"/>
      </font>
      <numFmt numFmtId="0" formatCode="General"/>
      <alignment horizontal="left" vertical="bottom" textRotation="0" wrapText="0" indent="0" justifyLastLine="0" shrinkToFit="0" readingOrder="0"/>
      <protection locked="1" hidden="0"/>
    </dxf>
    <dxf>
      <font>
        <b val="0"/>
        <i val="0"/>
        <strike val="0"/>
        <condense val="0"/>
        <extend val="0"/>
        <outline val="0"/>
        <shadow val="0"/>
        <u val="none"/>
        <vertAlign val="baseline"/>
        <sz val="11"/>
        <color rgb="FF005877"/>
        <name val="Calibri"/>
        <scheme val="minor"/>
      </font>
      <numFmt numFmtId="0" formatCode="General"/>
      <alignment horizontal="left" vertical="bottom" textRotation="0" wrapText="0" indent="0" justifyLastLine="0" shrinkToFit="0" readingOrder="0"/>
      <protection locked="1" hidden="0"/>
    </dxf>
    <dxf>
      <font>
        <b val="0"/>
        <i val="0"/>
        <strike val="0"/>
        <condense val="0"/>
        <extend val="0"/>
        <outline val="0"/>
        <shadow val="0"/>
        <u val="none"/>
        <vertAlign val="baseline"/>
        <sz val="11"/>
        <color rgb="FF005877"/>
        <name val="Calibri"/>
        <scheme val="minor"/>
      </font>
      <numFmt numFmtId="0" formatCode="General"/>
      <alignment horizontal="left" vertical="bottom" textRotation="0" wrapText="0" indent="0" justifyLastLine="0" shrinkToFit="0" readingOrder="0"/>
      <protection locked="1" hidden="0"/>
    </dxf>
    <dxf>
      <font>
        <b val="0"/>
        <i val="0"/>
        <strike val="0"/>
        <condense val="0"/>
        <extend val="0"/>
        <outline val="0"/>
        <shadow val="0"/>
        <u val="none"/>
        <vertAlign val="baseline"/>
        <sz val="11"/>
        <color rgb="FF005877"/>
        <name val="Calibri"/>
        <scheme val="minor"/>
      </font>
      <numFmt numFmtId="0" formatCode="General"/>
      <alignment horizontal="left" vertical="bottom" textRotation="0" wrapText="0" indent="0" justifyLastLine="0" shrinkToFit="0" readingOrder="0"/>
      <protection locked="1" hidden="0"/>
    </dxf>
    <dxf>
      <font>
        <b val="0"/>
        <i val="0"/>
        <strike val="0"/>
        <condense val="0"/>
        <extend val="0"/>
        <outline val="0"/>
        <shadow val="0"/>
        <u val="none"/>
        <vertAlign val="baseline"/>
        <sz val="11"/>
        <color rgb="FF005877"/>
        <name val="Calibri"/>
        <scheme val="minor"/>
      </font>
      <numFmt numFmtId="0" formatCode="General"/>
      <alignment horizontal="left" vertical="bottom" textRotation="0" wrapText="0" indent="0" justifyLastLine="0" shrinkToFit="0" readingOrder="0"/>
      <protection locked="1" hidden="0"/>
    </dxf>
    <dxf>
      <font>
        <b val="0"/>
        <i val="0"/>
        <strike val="0"/>
        <condense val="0"/>
        <extend val="0"/>
        <outline val="0"/>
        <shadow val="0"/>
        <u val="none"/>
        <vertAlign val="baseline"/>
        <sz val="11"/>
        <color rgb="FF005877"/>
        <name val="Calibri"/>
        <scheme val="minor"/>
      </font>
      <alignment horizontal="left" vertical="bottom" textRotation="0" wrapText="0" indent="0" justifyLastLine="0" shrinkToFit="0" readingOrder="0"/>
      <protection locked="1" hidden="0"/>
    </dxf>
    <dxf>
      <font>
        <b val="0"/>
        <i val="0"/>
        <strike val="0"/>
        <condense val="0"/>
        <extend val="0"/>
        <outline val="0"/>
        <shadow val="0"/>
        <u val="none"/>
        <vertAlign val="baseline"/>
        <sz val="11"/>
        <color rgb="FF005877"/>
        <name val="Calibri"/>
        <scheme val="minor"/>
      </font>
      <numFmt numFmtId="0" formatCode="General"/>
      <alignment horizontal="left" vertical="center" textRotation="0" wrapText="0" indent="0" justifyLastLine="0" shrinkToFit="0" readingOrder="0"/>
      <protection locked="1" hidden="0"/>
    </dxf>
    <dxf>
      <font>
        <b val="0"/>
        <i val="0"/>
        <strike val="0"/>
        <condense val="0"/>
        <extend val="0"/>
        <outline val="0"/>
        <shadow val="0"/>
        <u val="none"/>
        <vertAlign val="baseline"/>
        <sz val="11"/>
        <color rgb="FF005877"/>
        <name val="Calibri"/>
        <scheme val="minor"/>
      </font>
      <numFmt numFmtId="0" formatCode="General"/>
      <alignment horizontal="left" vertical="center" textRotation="0" wrapText="0" indent="0" justifyLastLine="0" shrinkToFit="0" readingOrder="0"/>
      <protection locked="1" hidden="0"/>
    </dxf>
    <dxf>
      <font>
        <b val="0"/>
        <i val="0"/>
        <strike val="0"/>
        <condense val="0"/>
        <extend val="0"/>
        <outline val="0"/>
        <shadow val="0"/>
        <u val="none"/>
        <vertAlign val="baseline"/>
        <sz val="11"/>
        <color rgb="FF005877"/>
        <name val="Calibri"/>
        <scheme val="minor"/>
      </font>
      <numFmt numFmtId="0" formatCode="General"/>
      <alignment horizontal="left" vertical="center" textRotation="0" wrapText="0" indent="0" justifyLastLine="0" shrinkToFit="0" readingOrder="0"/>
      <protection locked="1" hidden="0"/>
    </dxf>
    <dxf>
      <font>
        <b val="0"/>
        <i val="0"/>
        <strike val="0"/>
        <condense val="0"/>
        <extend val="0"/>
        <outline val="0"/>
        <shadow val="0"/>
        <u val="none"/>
        <vertAlign val="baseline"/>
        <sz val="11"/>
        <color rgb="FF005877"/>
        <name val="Calibri"/>
        <scheme val="minor"/>
      </font>
      <numFmt numFmtId="0" formatCode="General"/>
      <alignment horizontal="left" vertical="bottom" textRotation="0" wrapText="0" indent="0" justifyLastLine="0" shrinkToFit="0" readingOrder="0"/>
      <protection locked="1" hidden="0"/>
    </dxf>
    <dxf>
      <font>
        <b val="0"/>
        <i val="0"/>
        <strike val="0"/>
        <condense val="0"/>
        <extend val="0"/>
        <outline val="0"/>
        <shadow val="0"/>
        <u val="none"/>
        <vertAlign val="baseline"/>
        <sz val="11"/>
        <color rgb="FF005877"/>
        <name val="Calibri"/>
        <scheme val="minor"/>
      </font>
      <protection locked="1" hidden="0"/>
    </dxf>
    <dxf>
      <fill>
        <patternFill>
          <bgColor theme="0" tint="-0.14996795556505021"/>
        </patternFill>
      </fill>
    </dxf>
    <dxf>
      <fill>
        <patternFill>
          <bgColor theme="0" tint="-4.9989318521683403E-2"/>
        </patternFill>
      </fill>
    </dxf>
    <dxf>
      <fill>
        <patternFill>
          <bgColor theme="0" tint="-0.14996795556505021"/>
        </patternFill>
      </fill>
    </dxf>
    <dxf>
      <fill>
        <patternFill>
          <bgColor theme="0" tint="-4.9989318521683403E-2"/>
        </patternFill>
      </fill>
    </dxf>
    <dxf>
      <fill>
        <patternFill>
          <bgColor theme="0" tint="-0.14996795556505021"/>
        </patternFill>
      </fill>
    </dxf>
    <dxf>
      <fill>
        <patternFill>
          <bgColor theme="0" tint="-4.9989318521683403E-2"/>
        </patternFill>
      </fill>
    </dxf>
    <dxf>
      <fill>
        <patternFill>
          <bgColor theme="0" tint="-0.14996795556505021"/>
        </patternFill>
      </fill>
    </dxf>
    <dxf>
      <fill>
        <patternFill>
          <bgColor theme="0" tint="-4.9989318521683403E-2"/>
        </patternFill>
      </fill>
    </dxf>
    <dxf>
      <fill>
        <patternFill>
          <bgColor theme="0" tint="-0.14996795556505021"/>
        </patternFill>
      </fill>
    </dxf>
    <dxf>
      <fill>
        <patternFill>
          <bgColor theme="0" tint="-4.9989318521683403E-2"/>
        </patternFill>
      </fill>
    </dxf>
    <dxf>
      <fill>
        <patternFill>
          <bgColor theme="0" tint="-0.14996795556505021"/>
        </patternFill>
      </fill>
    </dxf>
    <dxf>
      <fill>
        <patternFill>
          <bgColor theme="0" tint="-4.9989318521683403E-2"/>
        </patternFill>
      </fill>
    </dxf>
    <dxf>
      <font>
        <strike val="0"/>
        <outline val="0"/>
        <shadow val="0"/>
        <u val="none"/>
        <vertAlign val="baseline"/>
        <sz val="11"/>
        <color rgb="FF005877"/>
        <name val="Calibri"/>
        <scheme val="minor"/>
      </font>
      <numFmt numFmtId="0" formatCode="General"/>
    </dxf>
    <dxf>
      <font>
        <strike val="0"/>
        <outline val="0"/>
        <shadow val="0"/>
        <u val="none"/>
        <vertAlign val="baseline"/>
        <sz val="11"/>
        <color rgb="FF005877"/>
        <name val="Calibri"/>
        <scheme val="minor"/>
      </font>
      <numFmt numFmtId="0" formatCode="General"/>
    </dxf>
    <dxf>
      <font>
        <strike val="0"/>
        <outline val="0"/>
        <shadow val="0"/>
        <u val="none"/>
        <vertAlign val="baseline"/>
        <sz val="11"/>
        <color rgb="FF005877"/>
        <name val="Calibri"/>
        <scheme val="minor"/>
      </font>
      <numFmt numFmtId="0" formatCode="General"/>
    </dxf>
    <dxf>
      <font>
        <strike val="0"/>
        <outline val="0"/>
        <shadow val="0"/>
        <u val="none"/>
        <vertAlign val="baseline"/>
        <sz val="11"/>
        <color rgb="FF005877"/>
        <name val="Calibri"/>
        <scheme val="minor"/>
      </font>
      <numFmt numFmtId="0" formatCode="General"/>
    </dxf>
    <dxf>
      <font>
        <strike val="0"/>
        <outline val="0"/>
        <shadow val="0"/>
        <u val="none"/>
        <vertAlign val="baseline"/>
        <sz val="11"/>
        <color rgb="FF005877"/>
        <name val="Calibri"/>
        <scheme val="minor"/>
      </font>
      <numFmt numFmtId="0" formatCode="General"/>
    </dxf>
    <dxf>
      <font>
        <strike val="0"/>
        <outline val="0"/>
        <shadow val="0"/>
        <u val="none"/>
        <vertAlign val="baseline"/>
        <sz val="11"/>
        <color rgb="FF005877"/>
        <name val="Calibri"/>
        <scheme val="minor"/>
      </font>
      <numFmt numFmtId="0" formatCode="General"/>
    </dxf>
    <dxf>
      <font>
        <strike val="0"/>
        <outline val="0"/>
        <shadow val="0"/>
        <u val="none"/>
        <vertAlign val="baseline"/>
        <sz val="11"/>
        <color rgb="FF005877"/>
        <name val="Calibri"/>
        <scheme val="minor"/>
      </font>
      <numFmt numFmtId="0" formatCode="General"/>
    </dxf>
    <dxf>
      <font>
        <strike val="0"/>
        <outline val="0"/>
        <shadow val="0"/>
        <u val="none"/>
        <vertAlign val="baseline"/>
        <sz val="11"/>
        <color rgb="FF005877"/>
        <name val="Calibri"/>
        <scheme val="minor"/>
      </font>
      <numFmt numFmtId="0" formatCode="General"/>
    </dxf>
    <dxf>
      <font>
        <strike val="0"/>
        <outline val="0"/>
        <shadow val="0"/>
        <u val="none"/>
        <vertAlign val="baseline"/>
        <sz val="11"/>
        <color rgb="FF005877"/>
        <name val="Calibri"/>
        <scheme val="minor"/>
      </font>
      <numFmt numFmtId="0" formatCode="General"/>
    </dxf>
    <dxf>
      <font>
        <strike val="0"/>
        <outline val="0"/>
        <shadow val="0"/>
        <u val="none"/>
        <vertAlign val="baseline"/>
        <sz val="11"/>
        <color rgb="FF005877"/>
        <name val="Calibri"/>
        <scheme val="minor"/>
      </font>
      <numFmt numFmtId="0" formatCode="General"/>
    </dxf>
    <dxf>
      <font>
        <strike val="0"/>
        <outline val="0"/>
        <shadow val="0"/>
        <u val="none"/>
        <vertAlign val="baseline"/>
        <sz val="11"/>
        <color rgb="FF005877"/>
        <name val="Calibri"/>
        <scheme val="minor"/>
      </font>
      <numFmt numFmtId="0" formatCode="General"/>
    </dxf>
    <dxf>
      <font>
        <strike val="0"/>
        <outline val="0"/>
        <shadow val="0"/>
        <u val="none"/>
        <vertAlign val="baseline"/>
        <sz val="11"/>
        <color rgb="FF005877"/>
        <name val="Calibri"/>
        <scheme val="minor"/>
      </font>
      <numFmt numFmtId="0" formatCode="General"/>
    </dxf>
    <dxf>
      <font>
        <strike val="0"/>
        <outline val="0"/>
        <shadow val="0"/>
        <u val="none"/>
        <vertAlign val="baseline"/>
        <sz val="11"/>
        <color rgb="FF005877"/>
        <name val="Calibri"/>
        <scheme val="minor"/>
      </font>
      <numFmt numFmtId="0" formatCode="General"/>
    </dxf>
    <dxf>
      <font>
        <strike val="0"/>
        <outline val="0"/>
        <shadow val="0"/>
        <u val="none"/>
        <vertAlign val="baseline"/>
        <sz val="11"/>
        <color rgb="FF005877"/>
        <name val="Calibri"/>
        <scheme val="minor"/>
      </font>
      <numFmt numFmtId="0" formatCode="General"/>
    </dxf>
    <dxf>
      <font>
        <strike val="0"/>
        <outline val="0"/>
        <shadow val="0"/>
        <u val="none"/>
        <vertAlign val="baseline"/>
        <sz val="11"/>
        <color rgb="FF005877"/>
        <name val="Calibri"/>
        <scheme val="minor"/>
      </font>
      <numFmt numFmtId="0" formatCode="General"/>
    </dxf>
    <dxf>
      <font>
        <strike val="0"/>
        <outline val="0"/>
        <shadow val="0"/>
        <u val="none"/>
        <vertAlign val="baseline"/>
        <sz val="11"/>
        <color rgb="FF005877"/>
        <name val="Calibri"/>
        <scheme val="minor"/>
      </font>
      <numFmt numFmtId="0" formatCode="General"/>
    </dxf>
    <dxf>
      <font>
        <strike val="0"/>
        <outline val="0"/>
        <shadow val="0"/>
        <u val="none"/>
        <vertAlign val="baseline"/>
        <sz val="11"/>
        <color rgb="FF005877"/>
        <name val="Calibri"/>
        <scheme val="minor"/>
      </font>
      <numFmt numFmtId="0" formatCode="General"/>
    </dxf>
    <dxf>
      <font>
        <strike val="0"/>
        <outline val="0"/>
        <shadow val="0"/>
        <u val="none"/>
        <vertAlign val="baseline"/>
        <sz val="11"/>
        <color rgb="FF005877"/>
        <name val="Calibri"/>
        <scheme val="minor"/>
      </font>
      <numFmt numFmtId="0" formatCode="General"/>
    </dxf>
    <dxf>
      <font>
        <strike val="0"/>
        <outline val="0"/>
        <shadow val="0"/>
        <u val="none"/>
        <vertAlign val="baseline"/>
        <sz val="11"/>
        <color rgb="FF005877"/>
        <name val="Calibri"/>
        <scheme val="minor"/>
      </font>
      <numFmt numFmtId="0" formatCode="General"/>
    </dxf>
    <dxf>
      <font>
        <strike val="0"/>
        <outline val="0"/>
        <shadow val="0"/>
        <u val="none"/>
        <vertAlign val="baseline"/>
        <sz val="11"/>
        <color rgb="FF005877"/>
        <name val="Calibri"/>
        <scheme val="minor"/>
      </font>
      <numFmt numFmtId="0" formatCode="General"/>
    </dxf>
    <dxf>
      <font>
        <strike val="0"/>
        <outline val="0"/>
        <shadow val="0"/>
        <u val="none"/>
        <vertAlign val="baseline"/>
        <sz val="11"/>
        <color rgb="FF005877"/>
        <name val="Calibri"/>
        <scheme val="minor"/>
      </font>
      <numFmt numFmtId="0" formatCode="General"/>
    </dxf>
    <dxf>
      <font>
        <strike val="0"/>
        <outline val="0"/>
        <shadow val="0"/>
        <u val="none"/>
        <vertAlign val="baseline"/>
        <sz val="11"/>
        <color rgb="FF005877"/>
        <name val="Calibri"/>
        <scheme val="minor"/>
      </font>
      <numFmt numFmtId="0" formatCode="General"/>
    </dxf>
    <dxf>
      <font>
        <strike val="0"/>
        <outline val="0"/>
        <shadow val="0"/>
        <u val="none"/>
        <vertAlign val="baseline"/>
        <sz val="11"/>
        <color rgb="FF005877"/>
        <name val="Calibri"/>
        <scheme val="minor"/>
      </font>
      <numFmt numFmtId="0" formatCode="General"/>
    </dxf>
    <dxf>
      <font>
        <strike val="0"/>
        <outline val="0"/>
        <shadow val="0"/>
        <u val="none"/>
        <vertAlign val="baseline"/>
        <sz val="11"/>
        <color rgb="FF005877"/>
        <name val="Calibri"/>
        <scheme val="minor"/>
      </font>
      <numFmt numFmtId="0" formatCode="General"/>
    </dxf>
    <dxf>
      <font>
        <strike val="0"/>
        <outline val="0"/>
        <shadow val="0"/>
        <u val="none"/>
        <vertAlign val="baseline"/>
        <sz val="11"/>
        <color rgb="FF005877"/>
        <name val="Calibri"/>
        <scheme val="minor"/>
      </font>
      <numFmt numFmtId="0" formatCode="General"/>
    </dxf>
    <dxf>
      <font>
        <strike val="0"/>
        <outline val="0"/>
        <shadow val="0"/>
        <u val="none"/>
        <vertAlign val="baseline"/>
        <sz val="11"/>
        <color rgb="FF005877"/>
        <name val="Calibri"/>
        <scheme val="minor"/>
      </font>
      <numFmt numFmtId="0" formatCode="General"/>
    </dxf>
    <dxf>
      <font>
        <strike val="0"/>
        <outline val="0"/>
        <shadow val="0"/>
        <u val="none"/>
        <vertAlign val="baseline"/>
        <sz val="11"/>
        <color rgb="FF005877"/>
        <name val="Calibri"/>
        <scheme val="minor"/>
      </font>
    </dxf>
    <dxf>
      <font>
        <b/>
        <i val="0"/>
        <strike val="0"/>
        <condense val="0"/>
        <extend val="0"/>
        <outline val="0"/>
        <shadow val="0"/>
        <u val="none"/>
        <vertAlign val="baseline"/>
        <sz val="11"/>
        <color theme="0"/>
        <name val="Calibri"/>
        <scheme val="minor"/>
      </font>
      <numFmt numFmtId="1" formatCode="0"/>
      <fill>
        <patternFill patternType="solid">
          <fgColor indexed="64"/>
          <bgColor rgb="FF005877"/>
        </patternFill>
      </fill>
      <alignment horizontal="center" vertical="center" textRotation="0" wrapText="0" indent="0" justifyLastLine="0" shrinkToFit="0" readingOrder="0"/>
    </dxf>
    <dxf>
      <font>
        <b val="0"/>
        <i val="0"/>
        <strike val="0"/>
        <condense val="0"/>
        <extend val="0"/>
        <outline val="0"/>
        <shadow val="0"/>
        <u val="none"/>
        <vertAlign val="baseline"/>
        <sz val="11"/>
        <color rgb="FF005877"/>
        <name val="Calibri"/>
        <scheme val="minor"/>
      </font>
      <numFmt numFmtId="168" formatCode="0.0000"/>
      <fill>
        <patternFill patternType="solid">
          <fgColor theme="0" tint="-0.14999847407452621"/>
          <bgColor theme="0" tint="-0.14999847407452621"/>
        </patternFill>
      </fill>
      <alignment horizontal="left" vertical="bottom" textRotation="0" wrapText="0" indent="0" justifyLastLine="0" shrinkToFit="0" readingOrder="0"/>
    </dxf>
    <dxf>
      <font>
        <b val="0"/>
        <i val="0"/>
        <strike val="0"/>
        <condense val="0"/>
        <extend val="0"/>
        <outline val="0"/>
        <shadow val="0"/>
        <u val="none"/>
        <vertAlign val="baseline"/>
        <sz val="11"/>
        <color rgb="FF005877"/>
        <name val="Calibri"/>
        <scheme val="minor"/>
      </font>
      <numFmt numFmtId="168" formatCode="0.0000"/>
      <fill>
        <patternFill patternType="solid">
          <fgColor theme="0" tint="-0.14999847407452621"/>
          <bgColor theme="0" tint="-0.14999847407452621"/>
        </patternFill>
      </fill>
      <alignment horizontal="left" vertical="bottom" textRotation="0" wrapText="0" indent="0" justifyLastLine="0" shrinkToFit="0" readingOrder="0"/>
    </dxf>
    <dxf>
      <font>
        <b val="0"/>
        <i val="0"/>
        <strike val="0"/>
        <condense val="0"/>
        <extend val="0"/>
        <outline val="0"/>
        <shadow val="0"/>
        <u val="none"/>
        <vertAlign val="baseline"/>
        <sz val="11"/>
        <color rgb="FF005877"/>
        <name val="Calibri"/>
        <scheme val="minor"/>
      </font>
      <numFmt numFmtId="167" formatCode="0.00000"/>
      <fill>
        <patternFill patternType="solid">
          <fgColor theme="0" tint="-0.14999847407452621"/>
          <bgColor theme="0" tint="-0.14999847407452621"/>
        </patternFill>
      </fill>
      <alignment horizontal="left" vertical="bottom" textRotation="0" wrapText="0" indent="0" justifyLastLine="0" shrinkToFit="0" readingOrder="0"/>
    </dxf>
    <dxf>
      <font>
        <b val="0"/>
        <i val="0"/>
        <strike val="0"/>
        <condense val="0"/>
        <extend val="0"/>
        <outline val="0"/>
        <shadow val="0"/>
        <u val="none"/>
        <vertAlign val="baseline"/>
        <sz val="11"/>
        <color rgb="FF005877"/>
        <name val="Calibri"/>
        <scheme val="minor"/>
      </font>
      <numFmt numFmtId="167" formatCode="0.00000"/>
      <fill>
        <patternFill patternType="solid">
          <fgColor theme="0" tint="-0.14999847407452621"/>
          <bgColor theme="0" tint="-0.14999847407452621"/>
        </patternFill>
      </fill>
      <alignment horizontal="left" vertical="bottom" textRotation="0" wrapText="0" indent="0" justifyLastLine="0" shrinkToFit="0" readingOrder="0"/>
    </dxf>
    <dxf>
      <font>
        <b val="0"/>
        <i val="0"/>
        <strike val="0"/>
        <condense val="0"/>
        <extend val="0"/>
        <outline val="0"/>
        <shadow val="0"/>
        <u val="none"/>
        <vertAlign val="baseline"/>
        <sz val="11"/>
        <color rgb="FF005877"/>
        <name val="Calibri"/>
        <scheme val="minor"/>
      </font>
      <numFmt numFmtId="0" formatCode="General"/>
      <fill>
        <patternFill patternType="solid">
          <fgColor theme="0" tint="-0.14999847407452621"/>
          <bgColor theme="0" tint="-0.14999847407452621"/>
        </patternFill>
      </fill>
      <alignment horizontal="left" vertical="bottom" textRotation="0" wrapText="0" indent="0" justifyLastLine="0" shrinkToFit="0" readingOrder="0"/>
      <border diagonalUp="0" diagonalDown="0" outline="0">
        <left/>
        <right/>
        <top/>
        <bottom/>
      </border>
    </dxf>
    <dxf>
      <font>
        <b val="0"/>
        <i val="0"/>
        <strike val="0"/>
        <condense val="0"/>
        <extend val="0"/>
        <outline val="0"/>
        <shadow val="0"/>
        <u val="none"/>
        <vertAlign val="baseline"/>
        <sz val="11"/>
        <color rgb="FF005877"/>
        <name val="Calibri"/>
        <scheme val="minor"/>
      </font>
      <numFmt numFmtId="0" formatCode="General"/>
      <fill>
        <patternFill patternType="solid">
          <fgColor theme="0" tint="-0.14999847407452621"/>
          <bgColor theme="0" tint="-0.14999847407452621"/>
        </patternFill>
      </fill>
      <alignment horizontal="left" vertical="bottom" textRotation="0" wrapText="0" indent="0" justifyLastLine="0" shrinkToFit="0" readingOrder="0"/>
    </dxf>
    <dxf>
      <font>
        <b val="0"/>
        <i val="0"/>
        <strike val="0"/>
        <condense val="0"/>
        <extend val="0"/>
        <outline val="0"/>
        <shadow val="0"/>
        <u val="none"/>
        <vertAlign val="baseline"/>
        <sz val="11"/>
        <color rgb="FF005877"/>
        <name val="Calibri"/>
        <scheme val="minor"/>
      </font>
      <numFmt numFmtId="168" formatCode="0.0000"/>
      <fill>
        <patternFill patternType="solid">
          <fgColor theme="0" tint="-0.14999847407452621"/>
          <bgColor theme="0" tint="-0.14999847407452621"/>
        </patternFill>
      </fill>
      <alignment horizontal="left" vertical="bottom" textRotation="0" wrapText="0" indent="0" justifyLastLine="0" shrinkToFit="0" readingOrder="0"/>
    </dxf>
    <dxf>
      <font>
        <b val="0"/>
        <i val="0"/>
        <strike val="0"/>
        <condense val="0"/>
        <extend val="0"/>
        <outline val="0"/>
        <shadow val="0"/>
        <u val="none"/>
        <vertAlign val="baseline"/>
        <sz val="11"/>
        <color rgb="FF005877"/>
        <name val="Calibri"/>
        <scheme val="minor"/>
      </font>
      <numFmt numFmtId="168" formatCode="0.0000"/>
      <fill>
        <patternFill patternType="solid">
          <fgColor theme="0" tint="-0.14999847407452621"/>
          <bgColor theme="0" tint="-0.14999847407452621"/>
        </patternFill>
      </fill>
      <alignment horizontal="left" vertical="bottom" textRotation="0" wrapText="0" indent="0" justifyLastLine="0" shrinkToFit="0" readingOrder="0"/>
    </dxf>
    <dxf>
      <font>
        <b val="0"/>
        <i val="0"/>
        <strike val="0"/>
        <condense val="0"/>
        <extend val="0"/>
        <outline val="0"/>
        <shadow val="0"/>
        <u val="none"/>
        <vertAlign val="baseline"/>
        <sz val="11"/>
        <color rgb="FF005877"/>
        <name val="Calibri"/>
        <scheme val="minor"/>
      </font>
      <numFmt numFmtId="168" formatCode="0.0000"/>
      <fill>
        <patternFill patternType="solid">
          <fgColor theme="0" tint="-0.14999847407452621"/>
          <bgColor theme="0" tint="-0.14999847407452621"/>
        </patternFill>
      </fill>
      <alignment horizontal="left" vertical="bottom" textRotation="0" wrapText="0" indent="0" justifyLastLine="0" shrinkToFit="0" readingOrder="0"/>
    </dxf>
    <dxf>
      <font>
        <b val="0"/>
        <i val="0"/>
        <strike val="0"/>
        <condense val="0"/>
        <extend val="0"/>
        <outline val="0"/>
        <shadow val="0"/>
        <u val="none"/>
        <vertAlign val="baseline"/>
        <sz val="11"/>
        <color rgb="FF005877"/>
        <name val="Calibri"/>
        <scheme val="minor"/>
      </font>
      <numFmt numFmtId="168" formatCode="0.0000"/>
      <fill>
        <patternFill patternType="solid">
          <fgColor theme="0" tint="-0.14999847407452621"/>
          <bgColor theme="0" tint="-0.14999847407452621"/>
        </patternFill>
      </fill>
      <alignment horizontal="left" vertical="bottom" textRotation="0" wrapText="0" indent="0" justifyLastLine="0" shrinkToFit="0" readingOrder="0"/>
    </dxf>
    <dxf>
      <font>
        <b val="0"/>
        <i val="0"/>
        <strike val="0"/>
        <condense val="0"/>
        <extend val="0"/>
        <outline val="0"/>
        <shadow val="0"/>
        <u val="none"/>
        <vertAlign val="baseline"/>
        <sz val="11"/>
        <color rgb="FF005877"/>
        <name val="Calibri"/>
        <scheme val="minor"/>
      </font>
      <numFmt numFmtId="168" formatCode="0.0000"/>
      <fill>
        <patternFill patternType="solid">
          <fgColor theme="0" tint="-0.14999847407452621"/>
          <bgColor theme="0" tint="-0.14999847407452621"/>
        </patternFill>
      </fill>
      <alignment horizontal="left" vertical="bottom" textRotation="0" wrapText="0" indent="0" justifyLastLine="0" shrinkToFit="0" readingOrder="0"/>
    </dxf>
    <dxf>
      <font>
        <b val="0"/>
        <i val="0"/>
        <strike val="0"/>
        <condense val="0"/>
        <extend val="0"/>
        <outline val="0"/>
        <shadow val="0"/>
        <u val="none"/>
        <vertAlign val="baseline"/>
        <sz val="11"/>
        <color rgb="FF005877"/>
        <name val="Calibri"/>
        <scheme val="minor"/>
      </font>
      <numFmt numFmtId="168" formatCode="0.0000"/>
      <fill>
        <patternFill patternType="solid">
          <fgColor theme="0" tint="-0.14999847407452621"/>
          <bgColor theme="0" tint="-0.14999847407452621"/>
        </patternFill>
      </fill>
      <alignment horizontal="left" vertical="bottom" textRotation="0" wrapText="0" indent="0" justifyLastLine="0" shrinkToFit="0" readingOrder="0"/>
    </dxf>
    <dxf>
      <font>
        <b val="0"/>
        <i val="0"/>
        <strike val="0"/>
        <condense val="0"/>
        <extend val="0"/>
        <outline val="0"/>
        <shadow val="0"/>
        <u val="none"/>
        <vertAlign val="baseline"/>
        <sz val="11"/>
        <color rgb="FF005877"/>
        <name val="Calibri"/>
        <scheme val="minor"/>
      </font>
      <numFmt numFmtId="168" formatCode="0.0000"/>
      <fill>
        <patternFill patternType="solid">
          <fgColor theme="0" tint="-0.14999847407452621"/>
          <bgColor theme="0" tint="-0.14999847407452621"/>
        </patternFill>
      </fill>
      <alignment horizontal="left" vertical="bottom" textRotation="0" wrapText="0" indent="0" justifyLastLine="0" shrinkToFit="0" readingOrder="0"/>
    </dxf>
    <dxf>
      <font>
        <b val="0"/>
        <i val="0"/>
        <strike val="0"/>
        <condense val="0"/>
        <extend val="0"/>
        <outline val="0"/>
        <shadow val="0"/>
        <u val="none"/>
        <vertAlign val="baseline"/>
        <sz val="11"/>
        <color rgb="FF005877"/>
        <name val="Calibri"/>
        <scheme val="minor"/>
      </font>
      <numFmt numFmtId="168" formatCode="0.0000"/>
      <fill>
        <patternFill patternType="solid">
          <fgColor theme="0" tint="-0.14999847407452621"/>
          <bgColor theme="0" tint="-0.14999847407452621"/>
        </patternFill>
      </fill>
      <alignment horizontal="left" vertical="bottom" textRotation="0" wrapText="0" indent="0" justifyLastLine="0" shrinkToFit="0" readingOrder="0"/>
    </dxf>
    <dxf>
      <font>
        <b val="0"/>
        <i val="0"/>
        <strike val="0"/>
        <condense val="0"/>
        <extend val="0"/>
        <outline val="0"/>
        <shadow val="0"/>
        <u val="none"/>
        <vertAlign val="baseline"/>
        <sz val="11"/>
        <color rgb="FF005877"/>
        <name val="Calibri"/>
        <scheme val="minor"/>
      </font>
      <numFmt numFmtId="168" formatCode="0.0000"/>
      <fill>
        <patternFill patternType="solid">
          <fgColor theme="0" tint="-0.14999847407452621"/>
          <bgColor theme="0" tint="-0.14999847407452621"/>
        </patternFill>
      </fill>
      <alignment horizontal="left" vertical="bottom" textRotation="0" wrapText="0" indent="0" justifyLastLine="0" shrinkToFit="0" readingOrder="0"/>
    </dxf>
    <dxf>
      <font>
        <b val="0"/>
        <i val="0"/>
        <strike val="0"/>
        <condense val="0"/>
        <extend val="0"/>
        <outline val="0"/>
        <shadow val="0"/>
        <u val="none"/>
        <vertAlign val="baseline"/>
        <sz val="11"/>
        <color rgb="FF005877"/>
        <name val="Calibri"/>
        <scheme val="minor"/>
      </font>
      <numFmt numFmtId="168" formatCode="0.0000"/>
      <fill>
        <patternFill patternType="solid">
          <fgColor theme="0" tint="-0.14999847407452621"/>
          <bgColor theme="0" tint="-0.14999847407452621"/>
        </patternFill>
      </fill>
      <alignment horizontal="left" vertical="bottom" textRotation="0" wrapText="0" indent="0" justifyLastLine="0" shrinkToFit="0" readingOrder="0"/>
    </dxf>
    <dxf>
      <font>
        <b val="0"/>
        <i val="0"/>
        <strike val="0"/>
        <condense val="0"/>
        <extend val="0"/>
        <outline val="0"/>
        <shadow val="0"/>
        <u val="none"/>
        <vertAlign val="baseline"/>
        <sz val="11"/>
        <color rgb="FF005877"/>
        <name val="Calibri"/>
        <scheme val="minor"/>
      </font>
      <numFmt numFmtId="168" formatCode="0.0000"/>
      <fill>
        <patternFill patternType="solid">
          <fgColor theme="0" tint="-0.14999847407452621"/>
          <bgColor theme="0" tint="-0.14999847407452621"/>
        </patternFill>
      </fill>
      <alignment horizontal="left" vertical="bottom" textRotation="0" wrapText="0" indent="0" justifyLastLine="0" shrinkToFit="0" readingOrder="0"/>
    </dxf>
    <dxf>
      <font>
        <b val="0"/>
        <i val="0"/>
        <strike val="0"/>
        <condense val="0"/>
        <extend val="0"/>
        <outline val="0"/>
        <shadow val="0"/>
        <u val="none"/>
        <vertAlign val="baseline"/>
        <sz val="11"/>
        <color rgb="FF005877"/>
        <name val="Calibri"/>
        <scheme val="minor"/>
      </font>
      <numFmt numFmtId="168" formatCode="0.0000"/>
      <fill>
        <patternFill patternType="solid">
          <fgColor theme="0" tint="-0.14999847407452621"/>
          <bgColor theme="0" tint="-0.14999847407452621"/>
        </patternFill>
      </fill>
      <alignment horizontal="left" vertical="bottom" textRotation="0" wrapText="0" indent="0" justifyLastLine="0" shrinkToFit="0" readingOrder="0"/>
    </dxf>
    <dxf>
      <font>
        <b val="0"/>
        <i val="0"/>
        <strike val="0"/>
        <condense val="0"/>
        <extend val="0"/>
        <outline val="0"/>
        <shadow val="0"/>
        <u val="none"/>
        <vertAlign val="baseline"/>
        <sz val="11"/>
        <color rgb="FF005877"/>
        <name val="Calibri"/>
        <scheme val="minor"/>
      </font>
      <numFmt numFmtId="168" formatCode="0.0000"/>
      <fill>
        <patternFill patternType="solid">
          <fgColor theme="0" tint="-0.14999847407452621"/>
          <bgColor theme="0" tint="-0.14999847407452621"/>
        </patternFill>
      </fill>
      <alignment horizontal="left" vertical="bottom" textRotation="0" wrapText="0" indent="0" justifyLastLine="0" shrinkToFit="0" readingOrder="0"/>
    </dxf>
    <dxf>
      <font>
        <b val="0"/>
        <i val="0"/>
        <strike val="0"/>
        <condense val="0"/>
        <extend val="0"/>
        <outline val="0"/>
        <shadow val="0"/>
        <u val="none"/>
        <vertAlign val="baseline"/>
        <sz val="11"/>
        <color rgb="FF005877"/>
        <name val="Calibri"/>
        <scheme val="minor"/>
      </font>
      <numFmt numFmtId="168" formatCode="0.0000"/>
      <fill>
        <patternFill patternType="solid">
          <fgColor theme="0" tint="-0.14999847407452621"/>
          <bgColor theme="0" tint="-0.14999847407452621"/>
        </patternFill>
      </fill>
      <alignment horizontal="left" vertical="bottom" textRotation="0" wrapText="0" indent="0" justifyLastLine="0" shrinkToFit="0" readingOrder="0"/>
    </dxf>
    <dxf>
      <font>
        <b val="0"/>
        <i val="0"/>
        <strike val="0"/>
        <condense val="0"/>
        <extend val="0"/>
        <outline val="0"/>
        <shadow val="0"/>
        <u val="none"/>
        <vertAlign val="baseline"/>
        <sz val="11"/>
        <color rgb="FF005877"/>
        <name val="Calibri"/>
        <scheme val="minor"/>
      </font>
      <numFmt numFmtId="168" formatCode="0.0000"/>
      <fill>
        <patternFill patternType="solid">
          <fgColor theme="0" tint="-0.14999847407452621"/>
          <bgColor theme="0" tint="-0.14999847407452621"/>
        </patternFill>
      </fill>
      <alignment horizontal="left" vertical="bottom" textRotation="0" wrapText="0" indent="0" justifyLastLine="0" shrinkToFit="0" readingOrder="0"/>
    </dxf>
    <dxf>
      <font>
        <b val="0"/>
        <i val="0"/>
        <strike val="0"/>
        <condense val="0"/>
        <extend val="0"/>
        <outline val="0"/>
        <shadow val="0"/>
        <u val="none"/>
        <vertAlign val="baseline"/>
        <sz val="11"/>
        <color rgb="FF005877"/>
        <name val="Calibri"/>
        <scheme val="minor"/>
      </font>
      <numFmt numFmtId="168" formatCode="0.0000"/>
      <fill>
        <patternFill patternType="solid">
          <fgColor theme="0" tint="-0.14999847407452621"/>
          <bgColor theme="0" tint="-0.14999847407452621"/>
        </patternFill>
      </fill>
      <alignment horizontal="left" vertical="bottom" textRotation="0" wrapText="0" indent="0" justifyLastLine="0" shrinkToFit="0" readingOrder="0"/>
    </dxf>
    <dxf>
      <font>
        <b val="0"/>
        <i val="0"/>
        <strike val="0"/>
        <condense val="0"/>
        <extend val="0"/>
        <outline val="0"/>
        <shadow val="0"/>
        <u val="none"/>
        <vertAlign val="baseline"/>
        <sz val="11"/>
        <color rgb="FF005877"/>
        <name val="Calibri"/>
        <scheme val="minor"/>
      </font>
      <numFmt numFmtId="168" formatCode="0.0000"/>
      <fill>
        <patternFill patternType="solid">
          <fgColor theme="0" tint="-0.14999847407452621"/>
          <bgColor theme="0" tint="-0.14999847407452621"/>
        </patternFill>
      </fill>
      <alignment horizontal="left" vertical="bottom" textRotation="0" wrapText="0" indent="0" justifyLastLine="0" shrinkToFit="0" readingOrder="0"/>
    </dxf>
    <dxf>
      <font>
        <b val="0"/>
        <i val="0"/>
        <strike val="0"/>
        <condense val="0"/>
        <extend val="0"/>
        <outline val="0"/>
        <shadow val="0"/>
        <u val="none"/>
        <vertAlign val="baseline"/>
        <sz val="11"/>
        <color rgb="FF005877"/>
        <name val="Calibri"/>
        <scheme val="minor"/>
      </font>
      <numFmt numFmtId="168" formatCode="0.0000"/>
      <fill>
        <patternFill patternType="solid">
          <fgColor theme="0" tint="-0.14999847407452621"/>
          <bgColor theme="0" tint="-0.14999847407452621"/>
        </patternFill>
      </fill>
      <alignment horizontal="left" vertical="bottom" textRotation="0" wrapText="0" indent="0" justifyLastLine="0" shrinkToFit="0" readingOrder="0"/>
    </dxf>
    <dxf>
      <font>
        <b val="0"/>
        <i val="0"/>
        <strike val="0"/>
        <condense val="0"/>
        <extend val="0"/>
        <outline val="0"/>
        <shadow val="0"/>
        <u val="none"/>
        <vertAlign val="baseline"/>
        <sz val="11"/>
        <color rgb="FF005877"/>
        <name val="Calibri"/>
        <scheme val="minor"/>
      </font>
      <numFmt numFmtId="168" formatCode="0.0000"/>
      <fill>
        <patternFill patternType="solid">
          <fgColor theme="0" tint="-0.14999847407452621"/>
          <bgColor theme="0" tint="-0.14999847407452621"/>
        </patternFill>
      </fill>
      <alignment horizontal="left" vertical="bottom" textRotation="0" wrapText="0" indent="0" justifyLastLine="0" shrinkToFit="0" readingOrder="0"/>
    </dxf>
    <dxf>
      <font>
        <b val="0"/>
        <i val="0"/>
        <strike val="0"/>
        <condense val="0"/>
        <extend val="0"/>
        <outline val="0"/>
        <shadow val="0"/>
        <u val="none"/>
        <vertAlign val="baseline"/>
        <sz val="11"/>
        <color rgb="FF005877"/>
        <name val="Calibri"/>
        <scheme val="minor"/>
      </font>
      <numFmt numFmtId="168" formatCode="0.0000"/>
      <fill>
        <patternFill patternType="solid">
          <fgColor theme="0" tint="-0.14999847407452621"/>
          <bgColor theme="0" tint="-0.14999847407452621"/>
        </patternFill>
      </fill>
      <alignment horizontal="left" vertical="bottom" textRotation="0" wrapText="0" indent="0" justifyLastLine="0" shrinkToFit="0" readingOrder="0"/>
    </dxf>
    <dxf>
      <font>
        <b val="0"/>
        <i val="0"/>
        <strike val="0"/>
        <condense val="0"/>
        <extend val="0"/>
        <outline val="0"/>
        <shadow val="0"/>
        <u val="none"/>
        <vertAlign val="baseline"/>
        <sz val="11"/>
        <color rgb="FF005877"/>
        <name val="Calibri"/>
        <scheme val="minor"/>
      </font>
      <numFmt numFmtId="168" formatCode="0.0000"/>
      <fill>
        <patternFill patternType="solid">
          <fgColor theme="0" tint="-0.14999847407452621"/>
          <bgColor theme="0" tint="-0.14999847407452621"/>
        </patternFill>
      </fill>
      <alignment horizontal="left" vertical="bottom" textRotation="0" wrapText="0" indent="0" justifyLastLine="0" shrinkToFit="0" readingOrder="0"/>
    </dxf>
    <dxf>
      <font>
        <b val="0"/>
        <i val="0"/>
        <strike val="0"/>
        <condense val="0"/>
        <extend val="0"/>
        <outline val="0"/>
        <shadow val="0"/>
        <u val="none"/>
        <vertAlign val="baseline"/>
        <sz val="11"/>
        <color rgb="FF005877"/>
        <name val="Calibri"/>
        <scheme val="minor"/>
      </font>
      <numFmt numFmtId="168" formatCode="0.0000"/>
      <fill>
        <patternFill patternType="solid">
          <fgColor theme="0" tint="-0.14999847407452621"/>
          <bgColor theme="0" tint="-0.14999847407452621"/>
        </patternFill>
      </fill>
      <alignment horizontal="left" vertical="bottom" textRotation="0" wrapText="0" indent="0" justifyLastLine="0" shrinkToFit="0" readingOrder="0"/>
    </dxf>
    <dxf>
      <font>
        <b val="0"/>
        <i val="0"/>
        <strike val="0"/>
        <condense val="0"/>
        <extend val="0"/>
        <outline val="0"/>
        <shadow val="0"/>
        <u val="none"/>
        <vertAlign val="baseline"/>
        <sz val="11"/>
        <color rgb="FF005877"/>
        <name val="Calibri"/>
        <scheme val="minor"/>
      </font>
      <numFmt numFmtId="168" formatCode="0.0000"/>
      <fill>
        <patternFill patternType="solid">
          <fgColor theme="0" tint="-0.14999847407452621"/>
          <bgColor theme="0" tint="-0.14999847407452621"/>
        </patternFill>
      </fill>
      <alignment horizontal="left" vertical="bottom" textRotation="0" wrapText="0" indent="0" justifyLastLine="0" shrinkToFit="0" readingOrder="0"/>
    </dxf>
    <dxf>
      <font>
        <b val="0"/>
        <i val="0"/>
        <strike val="0"/>
        <condense val="0"/>
        <extend val="0"/>
        <outline val="0"/>
        <shadow val="0"/>
        <u val="none"/>
        <vertAlign val="baseline"/>
        <sz val="11"/>
        <color rgb="FF005877"/>
        <name val="Calibri"/>
        <scheme val="minor"/>
      </font>
      <numFmt numFmtId="168" formatCode="0.0000"/>
      <fill>
        <patternFill patternType="solid">
          <fgColor theme="0" tint="-0.14999847407452621"/>
          <bgColor theme="0" tint="-0.14999847407452621"/>
        </patternFill>
      </fill>
      <alignment horizontal="left" vertical="bottom" textRotation="0" wrapText="0" indent="0" justifyLastLine="0" shrinkToFit="0" readingOrder="0"/>
    </dxf>
    <dxf>
      <font>
        <b val="0"/>
        <i val="0"/>
        <strike val="0"/>
        <condense val="0"/>
        <extend val="0"/>
        <outline val="0"/>
        <shadow val="0"/>
        <u val="none"/>
        <vertAlign val="baseline"/>
        <sz val="11"/>
        <color rgb="FF005877"/>
        <name val="Calibri"/>
        <scheme val="minor"/>
      </font>
      <numFmt numFmtId="168" formatCode="0.0000"/>
      <fill>
        <patternFill patternType="solid">
          <fgColor theme="0" tint="-0.14999847407452621"/>
          <bgColor theme="0" tint="-0.14999847407452621"/>
        </patternFill>
      </fill>
      <alignment horizontal="left" vertical="bottom" textRotation="0" wrapText="0" indent="0" justifyLastLine="0" shrinkToFit="0" readingOrder="0"/>
    </dxf>
    <dxf>
      <font>
        <b val="0"/>
        <i val="0"/>
        <strike val="0"/>
        <condense val="0"/>
        <extend val="0"/>
        <outline val="0"/>
        <shadow val="0"/>
        <u val="none"/>
        <vertAlign val="baseline"/>
        <sz val="11"/>
        <color rgb="FF005877"/>
        <name val="Calibri"/>
        <scheme val="minor"/>
      </font>
      <numFmt numFmtId="168" formatCode="0.0000"/>
      <fill>
        <patternFill patternType="solid">
          <fgColor theme="0" tint="-0.14999847407452621"/>
          <bgColor theme="0" tint="-0.14999847407452621"/>
        </patternFill>
      </fill>
      <alignment horizontal="left" vertical="bottom" textRotation="0" wrapText="0" indent="0" justifyLastLine="0" shrinkToFit="0" readingOrder="0"/>
    </dxf>
    <dxf>
      <font>
        <b val="0"/>
        <i val="0"/>
        <strike val="0"/>
        <condense val="0"/>
        <extend val="0"/>
        <outline val="0"/>
        <shadow val="0"/>
        <u val="none"/>
        <vertAlign val="baseline"/>
        <sz val="11"/>
        <color rgb="FF005877"/>
        <name val="Calibri"/>
        <scheme val="minor"/>
      </font>
      <numFmt numFmtId="168" formatCode="0.0000"/>
      <fill>
        <patternFill patternType="solid">
          <fgColor theme="0" tint="-0.14999847407452621"/>
          <bgColor theme="0" tint="-0.14999847407452621"/>
        </patternFill>
      </fill>
      <alignment horizontal="left" vertical="bottom" textRotation="0" wrapText="0" indent="0" justifyLastLine="0" shrinkToFit="0" readingOrder="0"/>
    </dxf>
    <dxf>
      <font>
        <b val="0"/>
        <i val="0"/>
        <strike val="0"/>
        <condense val="0"/>
        <extend val="0"/>
        <outline val="0"/>
        <shadow val="0"/>
        <u val="none"/>
        <vertAlign val="baseline"/>
        <sz val="11"/>
        <color rgb="FF005877"/>
        <name val="Calibri"/>
        <scheme val="minor"/>
      </font>
      <numFmt numFmtId="168" formatCode="0.0000"/>
      <fill>
        <patternFill patternType="solid">
          <fgColor theme="0" tint="-0.14999847407452621"/>
          <bgColor theme="0" tint="-0.14999847407452621"/>
        </patternFill>
      </fill>
      <alignment horizontal="left" vertical="bottom" textRotation="0" wrapText="0" indent="0" justifyLastLine="0" shrinkToFit="0" readingOrder="0"/>
    </dxf>
    <dxf>
      <font>
        <b val="0"/>
        <i val="0"/>
        <strike val="0"/>
        <condense val="0"/>
        <extend val="0"/>
        <outline val="0"/>
        <shadow val="0"/>
        <u val="none"/>
        <vertAlign val="baseline"/>
        <sz val="11"/>
        <color rgb="FF005877"/>
        <name val="Calibri"/>
        <scheme val="minor"/>
      </font>
      <numFmt numFmtId="168" formatCode="0.0000"/>
      <fill>
        <patternFill patternType="solid">
          <fgColor theme="0" tint="-0.14999847407452621"/>
          <bgColor theme="0" tint="-0.14999847407452621"/>
        </patternFill>
      </fill>
      <alignment horizontal="left" vertical="bottom" textRotation="0" wrapText="0" indent="0" justifyLastLine="0" shrinkToFit="0" readingOrder="0"/>
    </dxf>
    <dxf>
      <font>
        <b val="0"/>
        <i val="0"/>
        <strike val="0"/>
        <condense val="0"/>
        <extend val="0"/>
        <outline val="0"/>
        <shadow val="0"/>
        <u val="none"/>
        <vertAlign val="baseline"/>
        <sz val="11"/>
        <color rgb="FF005877"/>
        <name val="Calibri"/>
        <scheme val="minor"/>
      </font>
      <numFmt numFmtId="168" formatCode="0.0000"/>
      <fill>
        <patternFill patternType="solid">
          <fgColor theme="0" tint="-0.14999847407452621"/>
          <bgColor theme="0" tint="-0.14999847407452621"/>
        </patternFill>
      </fill>
      <alignment horizontal="left" vertical="bottom" textRotation="0" wrapText="0" indent="0" justifyLastLine="0" shrinkToFit="0" readingOrder="0"/>
    </dxf>
    <dxf>
      <font>
        <b val="0"/>
        <i val="0"/>
        <strike val="0"/>
        <condense val="0"/>
        <extend val="0"/>
        <outline val="0"/>
        <shadow val="0"/>
        <u val="none"/>
        <vertAlign val="baseline"/>
        <sz val="11"/>
        <color rgb="FF005877"/>
        <name val="Calibri"/>
        <scheme val="minor"/>
      </font>
      <numFmt numFmtId="168" formatCode="0.0000"/>
      <fill>
        <patternFill patternType="solid">
          <fgColor theme="0" tint="-0.14999847407452621"/>
          <bgColor theme="0" tint="-0.14999847407452621"/>
        </patternFill>
      </fill>
      <alignment horizontal="left" vertical="bottom" textRotation="0" wrapText="0" indent="0" justifyLastLine="0" shrinkToFit="0" readingOrder="0"/>
    </dxf>
    <dxf>
      <font>
        <b val="0"/>
        <i val="0"/>
        <strike val="0"/>
        <condense val="0"/>
        <extend val="0"/>
        <outline val="0"/>
        <shadow val="0"/>
        <u val="none"/>
        <vertAlign val="baseline"/>
        <sz val="11"/>
        <color rgb="FF005877"/>
        <name val="Calibri"/>
        <scheme val="minor"/>
      </font>
      <numFmt numFmtId="168" formatCode="0.0000"/>
      <fill>
        <patternFill patternType="solid">
          <fgColor theme="0" tint="-0.14999847407452621"/>
          <bgColor theme="0" tint="-0.14999847407452621"/>
        </patternFill>
      </fill>
      <alignment horizontal="left" vertical="bottom" textRotation="0" wrapText="0" indent="0" justifyLastLine="0" shrinkToFit="0" readingOrder="0"/>
    </dxf>
    <dxf>
      <font>
        <b val="0"/>
        <i val="0"/>
        <strike val="0"/>
        <condense val="0"/>
        <extend val="0"/>
        <outline val="0"/>
        <shadow val="0"/>
        <u val="none"/>
        <vertAlign val="baseline"/>
        <sz val="11"/>
        <color rgb="FF005877"/>
        <name val="Calibri"/>
        <scheme val="minor"/>
      </font>
      <numFmt numFmtId="168" formatCode="0.0000"/>
      <fill>
        <patternFill patternType="solid">
          <fgColor theme="0" tint="-0.14999847407452621"/>
          <bgColor theme="0" tint="-0.14999847407452621"/>
        </patternFill>
      </fill>
      <alignment horizontal="left" vertical="bottom" textRotation="0" wrapText="0" indent="0" justifyLastLine="0" shrinkToFit="0" readingOrder="0"/>
    </dxf>
    <dxf>
      <font>
        <b val="0"/>
        <i val="0"/>
        <strike val="0"/>
        <condense val="0"/>
        <extend val="0"/>
        <outline val="0"/>
        <shadow val="0"/>
        <u val="none"/>
        <vertAlign val="baseline"/>
        <sz val="11"/>
        <color rgb="FF005877"/>
        <name val="Calibri"/>
        <scheme val="minor"/>
      </font>
      <numFmt numFmtId="168" formatCode="0.0000"/>
      <fill>
        <patternFill patternType="solid">
          <fgColor theme="0" tint="-0.14999847407452621"/>
          <bgColor theme="0" tint="-0.14999847407452621"/>
        </patternFill>
      </fill>
      <alignment horizontal="left" vertical="bottom" textRotation="0" wrapText="0" indent="0" justifyLastLine="0" shrinkToFit="0" readingOrder="0"/>
    </dxf>
    <dxf>
      <font>
        <b val="0"/>
        <i val="0"/>
        <strike val="0"/>
        <condense val="0"/>
        <extend val="0"/>
        <outline val="0"/>
        <shadow val="0"/>
        <u val="none"/>
        <vertAlign val="baseline"/>
        <sz val="11"/>
        <color rgb="FF005877"/>
        <name val="Calibri"/>
        <scheme val="minor"/>
      </font>
      <numFmt numFmtId="168" formatCode="0.0000"/>
      <fill>
        <patternFill patternType="solid">
          <fgColor theme="0" tint="-0.14999847407452621"/>
          <bgColor theme="0" tint="-0.14999847407452621"/>
        </patternFill>
      </fill>
      <alignment horizontal="left" vertical="bottom" textRotation="0" wrapText="0" indent="0" justifyLastLine="0" shrinkToFit="0" readingOrder="0"/>
    </dxf>
    <dxf>
      <font>
        <b val="0"/>
        <i val="0"/>
        <strike val="0"/>
        <condense val="0"/>
        <extend val="0"/>
        <outline val="0"/>
        <shadow val="0"/>
        <u val="none"/>
        <vertAlign val="baseline"/>
        <sz val="11"/>
        <color rgb="FF005877"/>
        <name val="Calibri"/>
        <scheme val="minor"/>
      </font>
      <numFmt numFmtId="168" formatCode="0.0000"/>
      <fill>
        <patternFill patternType="solid">
          <fgColor theme="0" tint="-0.14999847407452621"/>
          <bgColor theme="0" tint="-0.14999847407452621"/>
        </patternFill>
      </fill>
      <alignment horizontal="left" vertical="bottom" textRotation="0" wrapText="0" indent="0" justifyLastLine="0" shrinkToFit="0" readingOrder="0"/>
    </dxf>
    <dxf>
      <font>
        <b val="0"/>
        <i val="0"/>
        <strike val="0"/>
        <condense val="0"/>
        <extend val="0"/>
        <outline val="0"/>
        <shadow val="0"/>
        <u val="none"/>
        <vertAlign val="baseline"/>
        <sz val="11"/>
        <color rgb="FF005877"/>
        <name val="Calibri"/>
        <scheme val="minor"/>
      </font>
      <numFmt numFmtId="168" formatCode="0.0000"/>
      <fill>
        <patternFill patternType="solid">
          <fgColor theme="0" tint="-0.14999847407452621"/>
          <bgColor theme="0" tint="-0.14999847407452621"/>
        </patternFill>
      </fill>
      <alignment horizontal="left" vertical="bottom" textRotation="0" wrapText="0" indent="0" justifyLastLine="0" shrinkToFit="0" readingOrder="0"/>
    </dxf>
    <dxf>
      <font>
        <b val="0"/>
        <i val="0"/>
        <strike val="0"/>
        <condense val="0"/>
        <extend val="0"/>
        <outline val="0"/>
        <shadow val="0"/>
        <u val="none"/>
        <vertAlign val="baseline"/>
        <sz val="11"/>
        <color rgb="FF005877"/>
        <name val="Calibri"/>
        <scheme val="minor"/>
      </font>
      <numFmt numFmtId="168" formatCode="0.0000"/>
      <fill>
        <patternFill patternType="solid">
          <fgColor theme="0" tint="-0.14999847407452621"/>
          <bgColor theme="0" tint="-0.14999847407452621"/>
        </patternFill>
      </fill>
      <alignment horizontal="left" vertical="bottom" textRotation="0" wrapText="0" indent="0" justifyLastLine="0" shrinkToFit="0" readingOrder="0"/>
    </dxf>
    <dxf>
      <font>
        <b val="0"/>
        <i val="0"/>
        <strike val="0"/>
        <condense val="0"/>
        <extend val="0"/>
        <outline val="0"/>
        <shadow val="0"/>
        <u val="none"/>
        <vertAlign val="baseline"/>
        <sz val="11"/>
        <color rgb="FF005877"/>
        <name val="Calibri"/>
        <scheme val="minor"/>
      </font>
      <numFmt numFmtId="168" formatCode="0.0000"/>
      <fill>
        <patternFill patternType="solid">
          <fgColor theme="0" tint="-0.14999847407452621"/>
          <bgColor theme="0" tint="-0.14999847407452621"/>
        </patternFill>
      </fill>
      <alignment horizontal="left" vertical="bottom" textRotation="0" wrapText="0" indent="0" justifyLastLine="0" shrinkToFit="0" readingOrder="0"/>
    </dxf>
    <dxf>
      <font>
        <b val="0"/>
        <i val="0"/>
        <strike val="0"/>
        <condense val="0"/>
        <extend val="0"/>
        <outline val="0"/>
        <shadow val="0"/>
        <u val="none"/>
        <vertAlign val="baseline"/>
        <sz val="11"/>
        <color rgb="FF005877"/>
        <name val="Calibri"/>
        <scheme val="minor"/>
      </font>
      <numFmt numFmtId="168" formatCode="0.0000"/>
      <fill>
        <patternFill patternType="solid">
          <fgColor theme="0" tint="-0.14999847407452621"/>
          <bgColor theme="0" tint="-0.14999847407452621"/>
        </patternFill>
      </fill>
      <alignment horizontal="left" vertical="bottom" textRotation="0" wrapText="0" indent="0" justifyLastLine="0" shrinkToFit="0" readingOrder="0"/>
    </dxf>
    <dxf>
      <font>
        <b val="0"/>
        <i val="0"/>
        <strike val="0"/>
        <condense val="0"/>
        <extend val="0"/>
        <outline val="0"/>
        <shadow val="0"/>
        <u val="none"/>
        <vertAlign val="baseline"/>
        <sz val="11"/>
        <color rgb="FF005877"/>
        <name val="Calibri"/>
        <scheme val="minor"/>
      </font>
      <numFmt numFmtId="168" formatCode="0.0000"/>
      <fill>
        <patternFill patternType="solid">
          <fgColor theme="0" tint="-0.14999847407452621"/>
          <bgColor theme="0" tint="-0.14999847407452621"/>
        </patternFill>
      </fill>
      <alignment horizontal="left" vertical="bottom" textRotation="0" wrapText="0" indent="0" justifyLastLine="0" shrinkToFit="0" readingOrder="0"/>
    </dxf>
    <dxf>
      <font>
        <b val="0"/>
        <i val="0"/>
        <strike val="0"/>
        <condense val="0"/>
        <extend val="0"/>
        <outline val="0"/>
        <shadow val="0"/>
        <u val="none"/>
        <vertAlign val="baseline"/>
        <sz val="11"/>
        <color rgb="FF005877"/>
        <name val="Calibri"/>
        <scheme val="minor"/>
      </font>
      <numFmt numFmtId="168" formatCode="0.0000"/>
      <fill>
        <patternFill patternType="solid">
          <fgColor theme="0" tint="-0.14999847407452621"/>
          <bgColor theme="0" tint="-0.14999847407452621"/>
        </patternFill>
      </fill>
      <alignment horizontal="left" vertical="bottom" textRotation="0" wrapText="0" indent="0" justifyLastLine="0" shrinkToFit="0" readingOrder="0"/>
    </dxf>
    <dxf>
      <font>
        <b val="0"/>
        <i val="0"/>
        <strike val="0"/>
        <condense val="0"/>
        <extend val="0"/>
        <outline val="0"/>
        <shadow val="0"/>
        <u val="none"/>
        <vertAlign val="baseline"/>
        <sz val="11"/>
        <color rgb="FF005877"/>
        <name val="Calibri"/>
        <scheme val="minor"/>
      </font>
      <numFmt numFmtId="168" formatCode="0.0000"/>
      <fill>
        <patternFill patternType="solid">
          <fgColor theme="0" tint="-0.14999847407452621"/>
          <bgColor theme="0" tint="-0.14999847407452621"/>
        </patternFill>
      </fill>
      <alignment horizontal="left" vertical="bottom" textRotation="0" wrapText="0" indent="0" justifyLastLine="0" shrinkToFit="0" readingOrder="0"/>
    </dxf>
    <dxf>
      <font>
        <b val="0"/>
        <i val="0"/>
        <strike val="0"/>
        <condense val="0"/>
        <extend val="0"/>
        <outline val="0"/>
        <shadow val="0"/>
        <u val="none"/>
        <vertAlign val="baseline"/>
        <sz val="11"/>
        <color rgb="FF005877"/>
        <name val="Calibri"/>
        <scheme val="minor"/>
      </font>
      <numFmt numFmtId="168" formatCode="0.0000"/>
      <fill>
        <patternFill patternType="solid">
          <fgColor theme="0" tint="-0.14999847407452621"/>
          <bgColor theme="0" tint="-0.14999847407452621"/>
        </patternFill>
      </fill>
      <alignment horizontal="left" vertical="bottom" textRotation="0" wrapText="0" indent="0" justifyLastLine="0" shrinkToFit="0" readingOrder="0"/>
    </dxf>
    <dxf>
      <font>
        <b val="0"/>
        <i val="0"/>
        <strike val="0"/>
        <condense val="0"/>
        <extend val="0"/>
        <outline val="0"/>
        <shadow val="0"/>
        <u val="none"/>
        <vertAlign val="baseline"/>
        <sz val="11"/>
        <color rgb="FF005877"/>
        <name val="Calibri"/>
        <scheme val="minor"/>
      </font>
      <numFmt numFmtId="168" formatCode="0.0000"/>
      <fill>
        <patternFill patternType="solid">
          <fgColor theme="0" tint="-0.14999847407452621"/>
          <bgColor theme="0" tint="-0.14999847407452621"/>
        </patternFill>
      </fill>
      <alignment horizontal="left" vertical="bottom" textRotation="0" wrapText="0" indent="0" justifyLastLine="0" shrinkToFit="0" readingOrder="0"/>
    </dxf>
    <dxf>
      <font>
        <b val="0"/>
        <i val="0"/>
        <strike val="0"/>
        <condense val="0"/>
        <extend val="0"/>
        <outline val="0"/>
        <shadow val="0"/>
        <u val="none"/>
        <vertAlign val="baseline"/>
        <sz val="11"/>
        <color rgb="FF005877"/>
        <name val="Calibri"/>
        <scheme val="minor"/>
      </font>
      <numFmt numFmtId="168" formatCode="0.0000"/>
      <fill>
        <patternFill patternType="solid">
          <fgColor theme="0" tint="-0.14999847407452621"/>
          <bgColor theme="0" tint="-0.14999847407452621"/>
        </patternFill>
      </fill>
      <alignment horizontal="left" vertical="bottom" textRotation="0" wrapText="0" indent="0" justifyLastLine="0" shrinkToFit="0" readingOrder="0"/>
    </dxf>
    <dxf>
      <font>
        <b val="0"/>
        <i val="0"/>
        <strike val="0"/>
        <condense val="0"/>
        <extend val="0"/>
        <outline val="0"/>
        <shadow val="0"/>
        <u val="none"/>
        <vertAlign val="baseline"/>
        <sz val="11"/>
        <color rgb="FF005877"/>
        <name val="Calibri"/>
        <scheme val="minor"/>
      </font>
      <numFmt numFmtId="168" formatCode="0.0000"/>
      <fill>
        <patternFill patternType="solid">
          <fgColor theme="0" tint="-0.14999847407452621"/>
          <bgColor theme="0" tint="-0.14999847407452621"/>
        </patternFill>
      </fill>
      <alignment horizontal="left" vertical="bottom" textRotation="0" wrapText="0" indent="0" justifyLastLine="0" shrinkToFit="0" readingOrder="0"/>
    </dxf>
    <dxf>
      <font>
        <b val="0"/>
        <i val="0"/>
        <strike val="0"/>
        <condense val="0"/>
        <extend val="0"/>
        <outline val="0"/>
        <shadow val="0"/>
        <u val="none"/>
        <vertAlign val="baseline"/>
        <sz val="11"/>
        <color rgb="FF005877"/>
        <name val="Calibri"/>
        <scheme val="minor"/>
      </font>
      <numFmt numFmtId="168" formatCode="0.0000"/>
      <fill>
        <patternFill patternType="solid">
          <fgColor theme="0" tint="-0.14999847407452621"/>
          <bgColor theme="0" tint="-0.14999847407452621"/>
        </patternFill>
      </fill>
      <alignment horizontal="left" vertical="bottom" textRotation="0" wrapText="0" indent="0" justifyLastLine="0" shrinkToFit="0" readingOrder="0"/>
    </dxf>
    <dxf>
      <font>
        <b val="0"/>
        <i val="0"/>
        <strike val="0"/>
        <condense val="0"/>
        <extend val="0"/>
        <outline val="0"/>
        <shadow val="0"/>
        <u val="none"/>
        <vertAlign val="baseline"/>
        <sz val="11"/>
        <color rgb="FF005877"/>
        <name val="Calibri"/>
        <scheme val="minor"/>
      </font>
      <numFmt numFmtId="168" formatCode="0.0000"/>
      <fill>
        <patternFill patternType="solid">
          <fgColor theme="0" tint="-0.14999847407452621"/>
          <bgColor theme="0" tint="-0.14999847407452621"/>
        </patternFill>
      </fill>
      <alignment horizontal="left" vertical="bottom" textRotation="0" wrapText="0" indent="0" justifyLastLine="0" shrinkToFit="1" readingOrder="0"/>
    </dxf>
    <dxf>
      <font>
        <b val="0"/>
        <i val="0"/>
        <strike val="0"/>
        <condense val="0"/>
        <extend val="0"/>
        <outline val="0"/>
        <shadow val="0"/>
        <u val="none"/>
        <vertAlign val="baseline"/>
        <sz val="11"/>
        <color rgb="FF005877"/>
        <name val="Calibri"/>
        <scheme val="minor"/>
      </font>
      <numFmt numFmtId="168" formatCode="0.0000"/>
      <fill>
        <patternFill patternType="solid">
          <fgColor theme="0" tint="-0.14999847407452621"/>
          <bgColor theme="0" tint="-0.14999847407452621"/>
        </patternFill>
      </fill>
      <alignment horizontal="left" vertical="bottom" textRotation="0" wrapText="0" indent="0" justifyLastLine="0" shrinkToFit="1" readingOrder="0"/>
    </dxf>
    <dxf>
      <font>
        <b val="0"/>
        <i val="0"/>
        <strike val="0"/>
        <condense val="0"/>
        <extend val="0"/>
        <outline val="0"/>
        <shadow val="0"/>
        <u val="none"/>
        <vertAlign val="baseline"/>
        <sz val="11"/>
        <color rgb="FF005877"/>
        <name val="Calibri"/>
        <scheme val="minor"/>
      </font>
      <numFmt numFmtId="168" formatCode="0.0000"/>
      <fill>
        <patternFill patternType="solid">
          <fgColor theme="0" tint="-0.14999847407452621"/>
          <bgColor theme="0" tint="-0.14999847407452621"/>
        </patternFill>
      </fill>
      <alignment horizontal="left" vertical="bottom" textRotation="0" wrapText="0" indent="0" justifyLastLine="0" shrinkToFit="1" readingOrder="0"/>
    </dxf>
    <dxf>
      <font>
        <b val="0"/>
        <i val="0"/>
        <strike val="0"/>
        <condense val="0"/>
        <extend val="0"/>
        <outline val="0"/>
        <shadow val="0"/>
        <u val="none"/>
        <vertAlign val="baseline"/>
        <sz val="11"/>
        <color rgb="FF005877"/>
        <name val="Calibri"/>
        <scheme val="minor"/>
      </font>
      <numFmt numFmtId="168" formatCode="0.0000"/>
      <fill>
        <patternFill patternType="solid">
          <fgColor theme="0" tint="-0.14999847407452621"/>
          <bgColor theme="0" tint="-0.14999847407452621"/>
        </patternFill>
      </fill>
      <alignment horizontal="left" vertical="bottom" textRotation="0" wrapText="0" indent="0" justifyLastLine="0" shrinkToFit="1" readingOrder="0"/>
    </dxf>
    <dxf>
      <font>
        <b val="0"/>
        <i val="0"/>
        <strike val="0"/>
        <condense val="0"/>
        <extend val="0"/>
        <outline val="0"/>
        <shadow val="0"/>
        <u val="none"/>
        <vertAlign val="baseline"/>
        <sz val="11"/>
        <color rgb="FF005877"/>
        <name val="Calibri"/>
        <scheme val="minor"/>
      </font>
      <numFmt numFmtId="168" formatCode="0.0000"/>
      <fill>
        <patternFill patternType="solid">
          <fgColor theme="0" tint="-0.14999847407452621"/>
          <bgColor theme="0" tint="-0.14999847407452621"/>
        </patternFill>
      </fill>
      <alignment horizontal="left" vertical="bottom" textRotation="0" wrapText="0" indent="0" justifyLastLine="0" shrinkToFit="1" readingOrder="0"/>
    </dxf>
    <dxf>
      <font>
        <b val="0"/>
        <i val="0"/>
        <strike val="0"/>
        <condense val="0"/>
        <extend val="0"/>
        <outline val="0"/>
        <shadow val="0"/>
        <u val="none"/>
        <vertAlign val="baseline"/>
        <sz val="11"/>
        <color rgb="FF005877"/>
        <name val="Calibri"/>
        <scheme val="minor"/>
      </font>
      <numFmt numFmtId="168" formatCode="0.0000"/>
      <fill>
        <patternFill patternType="solid">
          <fgColor theme="0" tint="-0.14999847407452621"/>
          <bgColor theme="0" tint="-0.14999847407452621"/>
        </patternFill>
      </fill>
      <alignment horizontal="left" vertical="bottom" textRotation="0" wrapText="0" indent="0" justifyLastLine="0" shrinkToFit="1" readingOrder="0"/>
    </dxf>
    <dxf>
      <font>
        <b val="0"/>
        <i val="0"/>
        <strike val="0"/>
        <condense val="0"/>
        <extend val="0"/>
        <outline val="0"/>
        <shadow val="0"/>
        <u val="none"/>
        <vertAlign val="baseline"/>
        <sz val="11"/>
        <color rgb="FF005877"/>
        <name val="Calibri"/>
        <scheme val="minor"/>
      </font>
      <numFmt numFmtId="168" formatCode="0.0000"/>
      <fill>
        <patternFill patternType="solid">
          <fgColor theme="0" tint="-0.14999847407452621"/>
          <bgColor theme="0" tint="-0.14999847407452621"/>
        </patternFill>
      </fill>
      <alignment horizontal="left" vertical="bottom" textRotation="0" wrapText="0" indent="0" justifyLastLine="0" shrinkToFit="1" readingOrder="0"/>
    </dxf>
    <dxf>
      <font>
        <b val="0"/>
        <i val="0"/>
        <strike val="0"/>
        <condense val="0"/>
        <extend val="0"/>
        <outline val="0"/>
        <shadow val="0"/>
        <u val="none"/>
        <vertAlign val="baseline"/>
        <sz val="11"/>
        <color rgb="FF005877"/>
        <name val="Calibri"/>
        <scheme val="minor"/>
      </font>
      <numFmt numFmtId="168" formatCode="0.0000"/>
      <fill>
        <patternFill patternType="solid">
          <fgColor theme="0" tint="-0.14999847407452621"/>
          <bgColor theme="0" tint="-0.14999847407452621"/>
        </patternFill>
      </fill>
      <alignment horizontal="left" vertical="bottom" textRotation="0" wrapText="0" indent="0" justifyLastLine="0" shrinkToFit="1" readingOrder="0"/>
    </dxf>
    <dxf>
      <font>
        <b val="0"/>
        <i val="0"/>
        <strike val="0"/>
        <condense val="0"/>
        <extend val="0"/>
        <outline val="0"/>
        <shadow val="0"/>
        <u val="none"/>
        <vertAlign val="baseline"/>
        <sz val="11"/>
        <color rgb="FF005877"/>
        <name val="Calibri"/>
        <scheme val="minor"/>
      </font>
      <numFmt numFmtId="168" formatCode="0.0000"/>
      <fill>
        <patternFill patternType="solid">
          <fgColor theme="0" tint="-0.14999847407452621"/>
          <bgColor theme="0" tint="-0.14999847407452621"/>
        </patternFill>
      </fill>
      <alignment horizontal="left" vertical="bottom" textRotation="0" wrapText="0" indent="0" justifyLastLine="0" shrinkToFit="1" readingOrder="0"/>
    </dxf>
    <dxf>
      <font>
        <b val="0"/>
        <i val="0"/>
        <strike val="0"/>
        <condense val="0"/>
        <extend val="0"/>
        <outline val="0"/>
        <shadow val="0"/>
        <u val="none"/>
        <vertAlign val="baseline"/>
        <sz val="11"/>
        <color rgb="FF005877"/>
        <name val="Calibri"/>
        <scheme val="minor"/>
      </font>
      <numFmt numFmtId="168" formatCode="0.0000"/>
      <fill>
        <patternFill patternType="solid">
          <fgColor theme="0" tint="-0.14999847407452621"/>
          <bgColor theme="0" tint="-0.14999847407452621"/>
        </patternFill>
      </fill>
      <alignment horizontal="left" vertical="bottom" textRotation="0" wrapText="0" indent="0" justifyLastLine="0" shrinkToFit="1" readingOrder="0"/>
    </dxf>
    <dxf>
      <font>
        <b val="0"/>
        <i val="0"/>
        <strike val="0"/>
        <condense val="0"/>
        <extend val="0"/>
        <outline val="0"/>
        <shadow val="0"/>
        <u val="none"/>
        <vertAlign val="baseline"/>
        <sz val="11"/>
        <color rgb="FF005877"/>
        <name val="Calibri"/>
        <scheme val="minor"/>
      </font>
      <numFmt numFmtId="168" formatCode="0.0000"/>
      <fill>
        <patternFill patternType="solid">
          <fgColor theme="0" tint="-0.14999847407452621"/>
          <bgColor theme="0" tint="-0.14999847407452621"/>
        </patternFill>
      </fill>
      <alignment horizontal="left" vertical="bottom" textRotation="0" wrapText="0" indent="0" justifyLastLine="0" shrinkToFit="1" readingOrder="0"/>
    </dxf>
    <dxf>
      <font>
        <b val="0"/>
        <i val="0"/>
        <strike val="0"/>
        <condense val="0"/>
        <extend val="0"/>
        <outline val="0"/>
        <shadow val="0"/>
        <u val="none"/>
        <vertAlign val="baseline"/>
        <sz val="11"/>
        <color rgb="FF005877"/>
        <name val="Calibri"/>
        <scheme val="minor"/>
      </font>
      <numFmt numFmtId="168" formatCode="0.0000"/>
      <fill>
        <patternFill patternType="solid">
          <fgColor theme="0" tint="-0.14999847407452621"/>
          <bgColor theme="0" tint="-0.14999847407452621"/>
        </patternFill>
      </fill>
      <alignment horizontal="left" vertical="bottom" textRotation="0" wrapText="0" indent="0" justifyLastLine="0" shrinkToFit="1" readingOrder="0"/>
    </dxf>
    <dxf>
      <font>
        <b val="0"/>
        <i val="0"/>
        <strike val="0"/>
        <condense val="0"/>
        <extend val="0"/>
        <outline val="0"/>
        <shadow val="0"/>
        <u val="none"/>
        <vertAlign val="baseline"/>
        <sz val="11"/>
        <color rgb="FF005877"/>
        <name val="Calibri"/>
        <scheme val="minor"/>
      </font>
      <numFmt numFmtId="168" formatCode="0.0000"/>
      <fill>
        <patternFill patternType="solid">
          <fgColor theme="0" tint="-0.14999847407452621"/>
          <bgColor theme="0" tint="-0.14999847407452621"/>
        </patternFill>
      </fill>
      <alignment horizontal="left" vertical="bottom" textRotation="0" wrapText="0" indent="0" justifyLastLine="0" shrinkToFit="1" readingOrder="0"/>
    </dxf>
    <dxf>
      <font>
        <b val="0"/>
        <i val="0"/>
        <strike val="0"/>
        <condense val="0"/>
        <extend val="0"/>
        <outline val="0"/>
        <shadow val="0"/>
        <u val="none"/>
        <vertAlign val="baseline"/>
        <sz val="11"/>
        <color rgb="FF005877"/>
        <name val="Calibri"/>
        <scheme val="minor"/>
      </font>
      <numFmt numFmtId="168" formatCode="0.0000"/>
      <fill>
        <patternFill patternType="solid">
          <fgColor theme="0" tint="-0.14999847407452621"/>
          <bgColor theme="0" tint="-0.14999847407452621"/>
        </patternFill>
      </fill>
      <alignment horizontal="left" vertical="bottom" textRotation="0" wrapText="0" indent="0" justifyLastLine="0" shrinkToFit="1" readingOrder="0"/>
    </dxf>
    <dxf>
      <font>
        <b val="0"/>
        <i val="0"/>
        <strike val="0"/>
        <condense val="0"/>
        <extend val="0"/>
        <outline val="0"/>
        <shadow val="0"/>
        <u val="none"/>
        <vertAlign val="baseline"/>
        <sz val="11"/>
        <color rgb="FF005877"/>
        <name val="Calibri"/>
        <scheme val="minor"/>
      </font>
      <numFmt numFmtId="168" formatCode="0.0000"/>
      <fill>
        <patternFill patternType="solid">
          <fgColor theme="0" tint="-0.14999847407452621"/>
          <bgColor theme="0" tint="-0.14999847407452621"/>
        </patternFill>
      </fill>
      <alignment horizontal="left" vertical="bottom" textRotation="0" wrapText="0" indent="0" justifyLastLine="0" shrinkToFit="1" readingOrder="0"/>
    </dxf>
    <dxf>
      <font>
        <b val="0"/>
        <i val="0"/>
        <strike val="0"/>
        <condense val="0"/>
        <extend val="0"/>
        <outline val="0"/>
        <shadow val="0"/>
        <u val="none"/>
        <vertAlign val="baseline"/>
        <sz val="11"/>
        <color rgb="FF005877"/>
        <name val="Calibri"/>
        <scheme val="minor"/>
      </font>
      <numFmt numFmtId="168" formatCode="0.0000"/>
      <fill>
        <patternFill patternType="solid">
          <fgColor theme="0" tint="-0.14999847407452621"/>
          <bgColor theme="0" tint="-0.14999847407452621"/>
        </patternFill>
      </fill>
      <alignment horizontal="left" vertical="bottom" textRotation="0" wrapText="0" indent="0" justifyLastLine="0" shrinkToFit="1" readingOrder="0"/>
    </dxf>
    <dxf>
      <font>
        <b val="0"/>
        <i val="0"/>
        <strike val="0"/>
        <condense val="0"/>
        <extend val="0"/>
        <outline val="0"/>
        <shadow val="0"/>
        <u val="none"/>
        <vertAlign val="baseline"/>
        <sz val="11"/>
        <color rgb="FF005877"/>
        <name val="Calibri"/>
        <scheme val="minor"/>
      </font>
      <numFmt numFmtId="168" formatCode="0.0000"/>
      <fill>
        <patternFill patternType="solid">
          <fgColor theme="0" tint="-0.14999847407452621"/>
          <bgColor theme="0" tint="-0.14999847407452621"/>
        </patternFill>
      </fill>
      <alignment horizontal="left" vertical="bottom" textRotation="0" wrapText="0" indent="0" justifyLastLine="0" shrinkToFit="1" readingOrder="0"/>
    </dxf>
    <dxf>
      <font>
        <b val="0"/>
        <i val="0"/>
        <strike val="0"/>
        <condense val="0"/>
        <extend val="0"/>
        <outline val="0"/>
        <shadow val="0"/>
        <u val="none"/>
        <vertAlign val="baseline"/>
        <sz val="11"/>
        <color rgb="FF005877"/>
        <name val="Calibri"/>
        <scheme val="minor"/>
      </font>
      <numFmt numFmtId="168" formatCode="0.0000"/>
      <fill>
        <patternFill patternType="solid">
          <fgColor theme="0" tint="-0.14999847407452621"/>
          <bgColor theme="0" tint="-0.14999847407452621"/>
        </patternFill>
      </fill>
      <alignment horizontal="left" vertical="bottom" textRotation="0" wrapText="0" indent="0" justifyLastLine="0" shrinkToFit="1" readingOrder="0"/>
    </dxf>
    <dxf>
      <font>
        <b val="0"/>
        <i val="0"/>
        <strike val="0"/>
        <condense val="0"/>
        <extend val="0"/>
        <outline val="0"/>
        <shadow val="0"/>
        <u val="none"/>
        <vertAlign val="baseline"/>
        <sz val="11"/>
        <color rgb="FF005877"/>
        <name val="Calibri"/>
        <scheme val="minor"/>
      </font>
      <numFmt numFmtId="168" formatCode="0.0000"/>
      <fill>
        <patternFill patternType="solid">
          <fgColor theme="0" tint="-0.14999847407452621"/>
          <bgColor theme="0" tint="-0.14999847407452621"/>
        </patternFill>
      </fill>
      <alignment horizontal="left" vertical="bottom" textRotation="0" wrapText="0" indent="0" justifyLastLine="0" shrinkToFit="1" readingOrder="0"/>
    </dxf>
    <dxf>
      <font>
        <b val="0"/>
        <i val="0"/>
        <strike val="0"/>
        <condense val="0"/>
        <extend val="0"/>
        <outline val="0"/>
        <shadow val="0"/>
        <u val="none"/>
        <vertAlign val="baseline"/>
        <sz val="11"/>
        <color rgb="FF005877"/>
        <name val="Calibri"/>
        <scheme val="minor"/>
      </font>
      <numFmt numFmtId="168" formatCode="0.0000"/>
      <fill>
        <patternFill patternType="solid">
          <fgColor theme="0" tint="-0.14999847407452621"/>
          <bgColor theme="0" tint="-0.14999847407452621"/>
        </patternFill>
      </fill>
      <alignment horizontal="left" vertical="bottom" textRotation="0" wrapText="0" indent="0" justifyLastLine="0" shrinkToFit="1" readingOrder="0"/>
    </dxf>
    <dxf>
      <font>
        <b val="0"/>
        <i val="0"/>
        <strike val="0"/>
        <condense val="0"/>
        <extend val="0"/>
        <outline val="0"/>
        <shadow val="0"/>
        <u val="none"/>
        <vertAlign val="baseline"/>
        <sz val="11"/>
        <color rgb="FF005877"/>
        <name val="Calibri"/>
        <scheme val="minor"/>
      </font>
      <numFmt numFmtId="168" formatCode="0.0000"/>
      <fill>
        <patternFill patternType="solid">
          <fgColor theme="0" tint="-0.14999847407452621"/>
          <bgColor theme="0" tint="-0.14999847407452621"/>
        </patternFill>
      </fill>
      <alignment horizontal="left" vertical="bottom" textRotation="0" wrapText="0" indent="0" justifyLastLine="0" shrinkToFit="1" readingOrder="0"/>
    </dxf>
    <dxf>
      <font>
        <b val="0"/>
        <i val="0"/>
        <strike val="0"/>
        <condense val="0"/>
        <extend val="0"/>
        <outline val="0"/>
        <shadow val="0"/>
        <u val="none"/>
        <vertAlign val="baseline"/>
        <sz val="11"/>
        <color rgb="FF005877"/>
        <name val="Calibri"/>
        <scheme val="minor"/>
      </font>
      <numFmt numFmtId="168" formatCode="0.0000"/>
      <fill>
        <patternFill patternType="solid">
          <fgColor theme="0" tint="-0.14999847407452621"/>
          <bgColor theme="0" tint="-0.14999847407452621"/>
        </patternFill>
      </fill>
      <alignment horizontal="left" vertical="bottom" textRotation="0" wrapText="0" indent="0" justifyLastLine="0" shrinkToFit="1" readingOrder="0"/>
    </dxf>
    <dxf>
      <font>
        <b val="0"/>
        <i val="0"/>
        <strike val="0"/>
        <condense val="0"/>
        <extend val="0"/>
        <outline val="0"/>
        <shadow val="0"/>
        <u val="none"/>
        <vertAlign val="baseline"/>
        <sz val="11"/>
        <color rgb="FF005877"/>
        <name val="Calibri"/>
        <scheme val="minor"/>
      </font>
      <numFmt numFmtId="168" formatCode="0.0000"/>
      <fill>
        <patternFill patternType="solid">
          <fgColor theme="0" tint="-0.14999847407452621"/>
          <bgColor theme="0" tint="-0.14999847407452621"/>
        </patternFill>
      </fill>
      <alignment horizontal="left" vertical="bottom" textRotation="0" wrapText="0" indent="0" justifyLastLine="0" shrinkToFit="1" readingOrder="0"/>
    </dxf>
    <dxf>
      <font>
        <b val="0"/>
        <i val="0"/>
        <strike val="0"/>
        <condense val="0"/>
        <extend val="0"/>
        <outline val="0"/>
        <shadow val="0"/>
        <u val="none"/>
        <vertAlign val="baseline"/>
        <sz val="11"/>
        <color rgb="FF005877"/>
        <name val="Calibri"/>
        <scheme val="minor"/>
      </font>
      <numFmt numFmtId="168" formatCode="0.0000"/>
      <fill>
        <patternFill patternType="solid">
          <fgColor theme="0" tint="-0.14999847407452621"/>
          <bgColor theme="0" tint="-0.14999847407452621"/>
        </patternFill>
      </fill>
      <alignment horizontal="left" vertical="bottom" textRotation="0" wrapText="0" indent="0" justifyLastLine="0" shrinkToFit="1" readingOrder="0"/>
    </dxf>
    <dxf>
      <font>
        <b val="0"/>
        <i val="0"/>
        <strike val="0"/>
        <condense val="0"/>
        <extend val="0"/>
        <outline val="0"/>
        <shadow val="0"/>
        <u val="none"/>
        <vertAlign val="baseline"/>
        <sz val="11"/>
        <color rgb="FF005877"/>
        <name val="Calibri"/>
        <scheme val="minor"/>
      </font>
      <numFmt numFmtId="168" formatCode="0.0000"/>
      <fill>
        <patternFill patternType="solid">
          <fgColor theme="0" tint="-0.14999847407452621"/>
          <bgColor theme="0" tint="-0.14999847407452621"/>
        </patternFill>
      </fill>
      <alignment horizontal="left" vertical="bottom" textRotation="0" wrapText="0" indent="0" justifyLastLine="0" shrinkToFit="1" readingOrder="0"/>
    </dxf>
    <dxf>
      <font>
        <b val="0"/>
        <i val="0"/>
        <strike val="0"/>
        <condense val="0"/>
        <extend val="0"/>
        <outline val="0"/>
        <shadow val="0"/>
        <u val="none"/>
        <vertAlign val="baseline"/>
        <sz val="11"/>
        <color rgb="FF005877"/>
        <name val="Calibri"/>
        <scheme val="minor"/>
      </font>
      <numFmt numFmtId="168" formatCode="0.0000"/>
      <fill>
        <patternFill patternType="solid">
          <fgColor theme="0" tint="-0.14999847407452621"/>
          <bgColor theme="0" tint="-0.14999847407452621"/>
        </patternFill>
      </fill>
      <alignment horizontal="left" vertical="bottom" textRotation="0" wrapText="0" indent="0" justifyLastLine="0" shrinkToFit="1" readingOrder="0"/>
    </dxf>
    <dxf>
      <font>
        <b val="0"/>
        <i val="0"/>
        <strike val="0"/>
        <condense val="0"/>
        <extend val="0"/>
        <outline val="0"/>
        <shadow val="0"/>
        <u val="none"/>
        <vertAlign val="baseline"/>
        <sz val="11"/>
        <color rgb="FF005877"/>
        <name val="Calibri"/>
        <scheme val="minor"/>
      </font>
      <numFmt numFmtId="168" formatCode="0.0000"/>
      <fill>
        <patternFill patternType="solid">
          <fgColor theme="0" tint="-0.14999847407452621"/>
          <bgColor theme="0" tint="-0.14999847407452621"/>
        </patternFill>
      </fill>
      <alignment horizontal="left" vertical="bottom" textRotation="0" wrapText="0" indent="0" justifyLastLine="0" shrinkToFit="1" readingOrder="0"/>
    </dxf>
    <dxf>
      <font>
        <b val="0"/>
        <i val="0"/>
        <strike val="0"/>
        <condense val="0"/>
        <extend val="0"/>
        <outline val="0"/>
        <shadow val="0"/>
        <u val="none"/>
        <vertAlign val="baseline"/>
        <sz val="11"/>
        <color rgb="FF005877"/>
        <name val="Calibri"/>
        <scheme val="minor"/>
      </font>
      <numFmt numFmtId="168" formatCode="0.0000"/>
      <fill>
        <patternFill patternType="solid">
          <fgColor theme="0" tint="-0.14999847407452621"/>
          <bgColor theme="0" tint="-0.14999847407452621"/>
        </patternFill>
      </fill>
      <alignment horizontal="left" vertical="bottom" textRotation="0" wrapText="0" indent="0" justifyLastLine="0" shrinkToFit="1" readingOrder="0"/>
    </dxf>
    <dxf>
      <font>
        <b val="0"/>
        <i val="0"/>
        <strike val="0"/>
        <condense val="0"/>
        <extend val="0"/>
        <outline val="0"/>
        <shadow val="0"/>
        <u val="none"/>
        <vertAlign val="baseline"/>
        <sz val="11"/>
        <color rgb="FF005877"/>
        <name val="Calibri"/>
        <scheme val="minor"/>
      </font>
      <numFmt numFmtId="168" formatCode="0.0000"/>
      <fill>
        <patternFill patternType="solid">
          <fgColor theme="0" tint="-0.14999847407452621"/>
          <bgColor theme="0" tint="-0.14999847407452621"/>
        </patternFill>
      </fill>
      <alignment horizontal="left" vertical="bottom" textRotation="0" wrapText="0" indent="0" justifyLastLine="0" shrinkToFit="1" readingOrder="0"/>
    </dxf>
    <dxf>
      <font>
        <b val="0"/>
        <i val="0"/>
        <strike val="0"/>
        <condense val="0"/>
        <extend val="0"/>
        <outline val="0"/>
        <shadow val="0"/>
        <u val="none"/>
        <vertAlign val="baseline"/>
        <sz val="11"/>
        <color rgb="FF005877"/>
        <name val="Calibri"/>
        <scheme val="minor"/>
      </font>
      <numFmt numFmtId="168" formatCode="0.0000"/>
      <fill>
        <patternFill patternType="solid">
          <fgColor theme="0" tint="-0.14999847407452621"/>
          <bgColor theme="0" tint="-0.14999847407452621"/>
        </patternFill>
      </fill>
      <alignment horizontal="left" vertical="bottom" textRotation="0" wrapText="0" indent="0" justifyLastLine="0" shrinkToFit="1" readingOrder="0"/>
    </dxf>
    <dxf>
      <font>
        <b val="0"/>
        <i val="0"/>
        <strike val="0"/>
        <condense val="0"/>
        <extend val="0"/>
        <outline val="0"/>
        <shadow val="0"/>
        <u val="none"/>
        <vertAlign val="baseline"/>
        <sz val="11"/>
        <color rgb="FF005877"/>
        <name val="Calibri"/>
        <scheme val="minor"/>
      </font>
      <numFmt numFmtId="168" formatCode="0.0000"/>
      <fill>
        <patternFill patternType="solid">
          <fgColor theme="0" tint="-0.14999847407452621"/>
          <bgColor theme="0" tint="-0.14999847407452621"/>
        </patternFill>
      </fill>
      <alignment horizontal="left" vertical="bottom" textRotation="0" wrapText="0" indent="0" justifyLastLine="0" shrinkToFit="1" readingOrder="0"/>
    </dxf>
    <dxf>
      <font>
        <b val="0"/>
        <i val="0"/>
        <strike val="0"/>
        <condense val="0"/>
        <extend val="0"/>
        <outline val="0"/>
        <shadow val="0"/>
        <u val="none"/>
        <vertAlign val="baseline"/>
        <sz val="11"/>
        <color rgb="FF005877"/>
        <name val="Calibri"/>
        <scheme val="minor"/>
      </font>
      <numFmt numFmtId="168" formatCode="0.0000"/>
      <fill>
        <patternFill patternType="solid">
          <fgColor theme="0" tint="-0.14999847407452621"/>
          <bgColor theme="0" tint="-0.14999847407452621"/>
        </patternFill>
      </fill>
      <alignment horizontal="left" vertical="bottom" textRotation="0" wrapText="0" indent="0" justifyLastLine="0" shrinkToFit="1" readingOrder="0"/>
    </dxf>
    <dxf>
      <font>
        <b val="0"/>
        <i val="0"/>
        <strike val="0"/>
        <condense val="0"/>
        <extend val="0"/>
        <outline val="0"/>
        <shadow val="0"/>
        <u val="none"/>
        <vertAlign val="baseline"/>
        <sz val="11"/>
        <color rgb="FF005877"/>
        <name val="Calibri"/>
        <scheme val="minor"/>
      </font>
      <numFmt numFmtId="168" formatCode="0.0000"/>
      <fill>
        <patternFill patternType="solid">
          <fgColor theme="0" tint="-0.14999847407452621"/>
          <bgColor theme="0" tint="-0.14999847407452621"/>
        </patternFill>
      </fill>
      <alignment horizontal="left" vertical="bottom" textRotation="0" wrapText="0" indent="0" justifyLastLine="0" shrinkToFit="1" readingOrder="0"/>
    </dxf>
    <dxf>
      <font>
        <b val="0"/>
        <i val="0"/>
        <strike val="0"/>
        <condense val="0"/>
        <extend val="0"/>
        <outline val="0"/>
        <shadow val="0"/>
        <u val="none"/>
        <vertAlign val="baseline"/>
        <sz val="11"/>
        <color rgb="FF005877"/>
        <name val="Calibri"/>
        <scheme val="minor"/>
      </font>
      <numFmt numFmtId="168" formatCode="0.0000"/>
      <fill>
        <patternFill patternType="solid">
          <fgColor theme="0" tint="-0.14999847407452621"/>
          <bgColor theme="0" tint="-0.14999847407452621"/>
        </patternFill>
      </fill>
      <alignment horizontal="left" vertical="bottom" textRotation="0" wrapText="0" indent="0" justifyLastLine="0" shrinkToFit="1" readingOrder="0"/>
    </dxf>
    <dxf>
      <font>
        <b val="0"/>
        <i val="0"/>
        <strike val="0"/>
        <condense val="0"/>
        <extend val="0"/>
        <outline val="0"/>
        <shadow val="0"/>
        <u val="none"/>
        <vertAlign val="baseline"/>
        <sz val="11"/>
        <color rgb="FF005877"/>
        <name val="Calibri"/>
        <scheme val="minor"/>
      </font>
      <numFmt numFmtId="168" formatCode="0.0000"/>
      <fill>
        <patternFill patternType="solid">
          <fgColor theme="0" tint="-0.14999847407452621"/>
          <bgColor theme="0" tint="-0.14999847407452621"/>
        </patternFill>
      </fill>
      <alignment horizontal="left" vertical="bottom" textRotation="0" wrapText="0" indent="0" justifyLastLine="0" shrinkToFit="1" readingOrder="0"/>
    </dxf>
    <dxf>
      <font>
        <b val="0"/>
        <i val="0"/>
        <strike val="0"/>
        <condense val="0"/>
        <extend val="0"/>
        <outline val="0"/>
        <shadow val="0"/>
        <u val="none"/>
        <vertAlign val="baseline"/>
        <sz val="11"/>
        <color rgb="FF005877"/>
        <name val="Calibri"/>
        <scheme val="minor"/>
      </font>
      <numFmt numFmtId="168" formatCode="0.0000"/>
      <fill>
        <patternFill patternType="solid">
          <fgColor theme="0" tint="-0.14999847407452621"/>
          <bgColor theme="0" tint="-0.14999847407452621"/>
        </patternFill>
      </fill>
      <alignment horizontal="left" vertical="bottom" textRotation="0" wrapText="0" indent="0" justifyLastLine="0" shrinkToFit="1" readingOrder="0"/>
    </dxf>
    <dxf>
      <font>
        <b val="0"/>
        <i val="0"/>
        <strike val="0"/>
        <condense val="0"/>
        <extend val="0"/>
        <outline val="0"/>
        <shadow val="0"/>
        <u val="none"/>
        <vertAlign val="baseline"/>
        <sz val="11"/>
        <color rgb="FF005877"/>
        <name val="Calibri"/>
        <scheme val="minor"/>
      </font>
      <numFmt numFmtId="168" formatCode="0.0000"/>
      <fill>
        <patternFill patternType="solid">
          <fgColor theme="0" tint="-0.14999847407452621"/>
          <bgColor theme="0" tint="-0.14999847407452621"/>
        </patternFill>
      </fill>
      <alignment horizontal="left" vertical="bottom" textRotation="0" wrapText="0" indent="0" justifyLastLine="0" shrinkToFit="1" readingOrder="0"/>
    </dxf>
    <dxf>
      <font>
        <b val="0"/>
        <i val="0"/>
        <strike val="0"/>
        <condense val="0"/>
        <extend val="0"/>
        <outline val="0"/>
        <shadow val="0"/>
        <u val="none"/>
        <vertAlign val="baseline"/>
        <sz val="11"/>
        <color rgb="FF005877"/>
        <name val="Calibri"/>
        <scheme val="minor"/>
      </font>
      <numFmt numFmtId="168" formatCode="0.0000"/>
      <fill>
        <patternFill patternType="solid">
          <fgColor theme="0" tint="-0.14999847407452621"/>
          <bgColor theme="0" tint="-0.14999847407452621"/>
        </patternFill>
      </fill>
      <alignment horizontal="left" vertical="bottom" textRotation="0" wrapText="0" indent="0" justifyLastLine="0" shrinkToFit="1" readingOrder="0"/>
    </dxf>
    <dxf>
      <font>
        <b val="0"/>
        <i val="0"/>
        <strike val="0"/>
        <condense val="0"/>
        <extend val="0"/>
        <outline val="0"/>
        <shadow val="0"/>
        <u val="none"/>
        <vertAlign val="baseline"/>
        <sz val="11"/>
        <color rgb="FF005877"/>
        <name val="Calibri"/>
        <scheme val="minor"/>
      </font>
      <numFmt numFmtId="168" formatCode="0.0000"/>
      <fill>
        <patternFill patternType="solid">
          <fgColor theme="0" tint="-0.14999847407452621"/>
          <bgColor theme="0" tint="-0.14999847407452621"/>
        </patternFill>
      </fill>
      <alignment horizontal="left" vertical="bottom" textRotation="0" wrapText="0" indent="0" justifyLastLine="0" shrinkToFit="1" readingOrder="0"/>
    </dxf>
    <dxf>
      <font>
        <b val="0"/>
        <i val="0"/>
        <strike val="0"/>
        <condense val="0"/>
        <extend val="0"/>
        <outline val="0"/>
        <shadow val="0"/>
        <u val="none"/>
        <vertAlign val="baseline"/>
        <sz val="11"/>
        <color rgb="FF005877"/>
        <name val="Calibri"/>
        <scheme val="minor"/>
      </font>
      <numFmt numFmtId="168" formatCode="0.0000"/>
      <fill>
        <patternFill patternType="solid">
          <fgColor theme="0" tint="-0.14999847407452621"/>
          <bgColor theme="0" tint="-0.14999847407452621"/>
        </patternFill>
      </fill>
      <alignment horizontal="left" vertical="bottom" textRotation="0" wrapText="0" indent="0" justifyLastLine="0" shrinkToFit="1" readingOrder="0"/>
    </dxf>
    <dxf>
      <font>
        <b val="0"/>
        <i val="0"/>
        <strike val="0"/>
        <condense val="0"/>
        <extend val="0"/>
        <outline val="0"/>
        <shadow val="0"/>
        <u val="none"/>
        <vertAlign val="baseline"/>
        <sz val="11"/>
        <color rgb="FF005877"/>
        <name val="Calibri"/>
        <scheme val="minor"/>
      </font>
      <numFmt numFmtId="168" formatCode="0.0000"/>
      <fill>
        <patternFill patternType="solid">
          <fgColor theme="0" tint="-0.14999847407452621"/>
          <bgColor theme="0" tint="-0.14999847407452621"/>
        </patternFill>
      </fill>
      <alignment horizontal="left" vertical="bottom" textRotation="0" wrapText="0" indent="0" justifyLastLine="0" shrinkToFit="1" readingOrder="0"/>
    </dxf>
    <dxf>
      <font>
        <b val="0"/>
        <i val="0"/>
        <strike val="0"/>
        <condense val="0"/>
        <extend val="0"/>
        <outline val="0"/>
        <shadow val="0"/>
        <u val="none"/>
        <vertAlign val="baseline"/>
        <sz val="11"/>
        <color rgb="FF005877"/>
        <name val="Calibri"/>
        <scheme val="minor"/>
      </font>
      <numFmt numFmtId="168" formatCode="0.0000"/>
      <fill>
        <patternFill patternType="solid">
          <fgColor theme="0" tint="-0.14999847407452621"/>
          <bgColor theme="0" tint="-0.14999847407452621"/>
        </patternFill>
      </fill>
      <alignment horizontal="left" vertical="bottom" textRotation="0" wrapText="0" indent="0" justifyLastLine="0" shrinkToFit="1" readingOrder="0"/>
    </dxf>
    <dxf>
      <font>
        <b val="0"/>
        <i val="0"/>
        <strike val="0"/>
        <condense val="0"/>
        <extend val="0"/>
        <outline val="0"/>
        <shadow val="0"/>
        <u val="none"/>
        <vertAlign val="baseline"/>
        <sz val="11"/>
        <color rgb="FF005877"/>
        <name val="Calibri"/>
        <scheme val="minor"/>
      </font>
      <numFmt numFmtId="168" formatCode="0.0000"/>
      <fill>
        <patternFill patternType="solid">
          <fgColor theme="0" tint="-0.14999847407452621"/>
          <bgColor theme="0" tint="-0.14999847407452621"/>
        </patternFill>
      </fill>
      <alignment horizontal="left" vertical="bottom" textRotation="0" wrapText="0" indent="0" justifyLastLine="0" shrinkToFit="1" readingOrder="0"/>
    </dxf>
    <dxf>
      <font>
        <b val="0"/>
        <i val="0"/>
        <strike val="0"/>
        <condense val="0"/>
        <extend val="0"/>
        <outline val="0"/>
        <shadow val="0"/>
        <u val="none"/>
        <vertAlign val="baseline"/>
        <sz val="11"/>
        <color rgb="FF005877"/>
        <name val="Calibri"/>
        <scheme val="minor"/>
      </font>
      <numFmt numFmtId="168" formatCode="0.0000"/>
      <fill>
        <patternFill patternType="solid">
          <fgColor theme="0" tint="-0.14999847407452621"/>
          <bgColor theme="0" tint="-0.14999847407452621"/>
        </patternFill>
      </fill>
      <alignment horizontal="left" vertical="bottom" textRotation="0" wrapText="0" indent="0" justifyLastLine="0" shrinkToFit="1" readingOrder="0"/>
    </dxf>
    <dxf>
      <font>
        <b val="0"/>
        <i val="0"/>
        <strike val="0"/>
        <condense val="0"/>
        <extend val="0"/>
        <outline val="0"/>
        <shadow val="0"/>
        <u val="none"/>
        <vertAlign val="baseline"/>
        <sz val="11"/>
        <color rgb="FF005877"/>
        <name val="Calibri"/>
        <scheme val="minor"/>
      </font>
      <numFmt numFmtId="168" formatCode="0.0000"/>
      <fill>
        <patternFill patternType="solid">
          <fgColor theme="0" tint="-0.14999847407452621"/>
          <bgColor theme="0" tint="-0.14999847407452621"/>
        </patternFill>
      </fill>
      <alignment horizontal="left" vertical="bottom" textRotation="0" wrapText="0" indent="0" justifyLastLine="0" shrinkToFit="1" readingOrder="0"/>
    </dxf>
    <dxf>
      <font>
        <b val="0"/>
        <i val="0"/>
        <strike val="0"/>
        <condense val="0"/>
        <extend val="0"/>
        <outline val="0"/>
        <shadow val="0"/>
        <u val="none"/>
        <vertAlign val="baseline"/>
        <sz val="11"/>
        <color rgb="FF005877"/>
        <name val="Calibri"/>
        <scheme val="minor"/>
      </font>
      <numFmt numFmtId="168" formatCode="0.0000"/>
      <fill>
        <patternFill patternType="solid">
          <fgColor theme="0" tint="-0.14999847407452621"/>
          <bgColor theme="0" tint="-0.14999847407452621"/>
        </patternFill>
      </fill>
      <alignment horizontal="left" vertical="bottom" textRotation="0" wrapText="0" indent="0" justifyLastLine="0" shrinkToFit="1" readingOrder="0"/>
    </dxf>
    <dxf>
      <font>
        <b val="0"/>
        <i val="0"/>
        <strike val="0"/>
        <condense val="0"/>
        <extend val="0"/>
        <outline val="0"/>
        <shadow val="0"/>
        <u val="none"/>
        <vertAlign val="baseline"/>
        <sz val="11"/>
        <color rgb="FF005877"/>
        <name val="Calibri"/>
        <scheme val="minor"/>
      </font>
      <numFmt numFmtId="168" formatCode="0.0000"/>
      <fill>
        <patternFill patternType="solid">
          <fgColor theme="0" tint="-0.14999847407452621"/>
          <bgColor theme="0" tint="-0.14999847407452621"/>
        </patternFill>
      </fill>
      <alignment horizontal="left" vertical="bottom" textRotation="0" wrapText="0" indent="0" justifyLastLine="0" shrinkToFit="1" readingOrder="0"/>
    </dxf>
    <dxf>
      <font>
        <b val="0"/>
        <i val="0"/>
        <strike val="0"/>
        <condense val="0"/>
        <extend val="0"/>
        <outline val="0"/>
        <shadow val="0"/>
        <u val="none"/>
        <vertAlign val="baseline"/>
        <sz val="11"/>
        <color rgb="FF005877"/>
        <name val="Calibri"/>
        <scheme val="minor"/>
      </font>
      <numFmt numFmtId="168" formatCode="0.0000"/>
      <fill>
        <patternFill patternType="solid">
          <fgColor theme="0" tint="-0.14999847407452621"/>
          <bgColor theme="0" tint="-0.14999847407452621"/>
        </patternFill>
      </fill>
      <alignment horizontal="left" vertical="bottom" textRotation="0" wrapText="0" indent="0" justifyLastLine="0" shrinkToFit="1" readingOrder="0"/>
    </dxf>
    <dxf>
      <font>
        <b val="0"/>
        <i val="0"/>
        <strike val="0"/>
        <condense val="0"/>
        <extend val="0"/>
        <outline val="0"/>
        <shadow val="0"/>
        <u val="none"/>
        <vertAlign val="baseline"/>
        <sz val="11"/>
        <color rgb="FF005877"/>
        <name val="Calibri"/>
        <scheme val="minor"/>
      </font>
      <numFmt numFmtId="0" formatCode="General"/>
      <fill>
        <patternFill patternType="solid">
          <fgColor theme="0" tint="-0.14999847407452621"/>
          <bgColor theme="0" tint="-0.14999847407452621"/>
        </patternFill>
      </fill>
      <alignment horizontal="left" vertical="bottom" textRotation="0" wrapText="0" indent="0" justifyLastLine="0" shrinkToFit="0" readingOrder="0"/>
      <border diagonalUp="0" diagonalDown="0" outline="0">
        <left/>
        <right/>
        <top/>
        <bottom/>
      </border>
    </dxf>
    <dxf>
      <font>
        <b val="0"/>
        <i val="0"/>
        <strike val="0"/>
        <condense val="0"/>
        <extend val="0"/>
        <outline val="0"/>
        <shadow val="0"/>
        <u val="none"/>
        <vertAlign val="baseline"/>
        <sz val="11"/>
        <color rgb="FF005877"/>
        <name val="Calibri"/>
        <scheme val="minor"/>
      </font>
      <numFmt numFmtId="0" formatCode="General"/>
      <fill>
        <patternFill patternType="solid">
          <fgColor theme="0" tint="-0.14999847407452621"/>
          <bgColor theme="0" tint="-0.14999847407452621"/>
        </patternFill>
      </fill>
      <alignment horizontal="left" vertical="bottom" textRotation="0" wrapText="0" indent="0" justifyLastLine="0" shrinkToFit="0" readingOrder="0"/>
    </dxf>
    <dxf>
      <font>
        <b val="0"/>
        <i val="0"/>
        <strike val="0"/>
        <condense val="0"/>
        <extend val="0"/>
        <outline val="0"/>
        <shadow val="0"/>
        <u val="none"/>
        <vertAlign val="baseline"/>
        <sz val="11"/>
        <color rgb="FF005877"/>
        <name val="Calibri"/>
        <scheme val="minor"/>
      </font>
      <numFmt numFmtId="0" formatCode="General"/>
      <fill>
        <patternFill patternType="solid">
          <fgColor theme="0" tint="-0.14999847407452621"/>
          <bgColor theme="0" tint="-0.14999847407452621"/>
        </patternFill>
      </fill>
      <alignment horizontal="left" vertical="bottom" textRotation="0" wrapText="0" indent="0" justifyLastLine="0" shrinkToFit="0" readingOrder="0"/>
      <border diagonalUp="0" diagonalDown="0" outline="0">
        <left/>
        <right/>
        <top/>
        <bottom/>
      </border>
    </dxf>
    <dxf>
      <font>
        <b val="0"/>
        <i val="0"/>
        <strike val="0"/>
        <condense val="0"/>
        <extend val="0"/>
        <outline val="0"/>
        <shadow val="0"/>
        <u val="none"/>
        <vertAlign val="baseline"/>
        <sz val="11"/>
        <color rgb="FF005877"/>
        <name val="Calibri"/>
        <scheme val="minor"/>
      </font>
      <numFmt numFmtId="0" formatCode="General"/>
      <fill>
        <patternFill patternType="solid">
          <fgColor theme="0" tint="-0.14999847407452621"/>
          <bgColor theme="0" tint="-0.14999847407452621"/>
        </patternFill>
      </fill>
      <alignment horizontal="left" vertical="bottom" textRotation="0" wrapText="0" indent="0" justifyLastLine="0" shrinkToFit="0" readingOrder="0"/>
    </dxf>
    <dxf>
      <font>
        <b val="0"/>
        <i val="0"/>
        <strike val="0"/>
        <condense val="0"/>
        <extend val="0"/>
        <outline val="0"/>
        <shadow val="0"/>
        <u val="none"/>
        <vertAlign val="baseline"/>
        <sz val="11"/>
        <color rgb="FF005877"/>
        <name val="Calibri"/>
        <scheme val="minor"/>
      </font>
      <numFmt numFmtId="0" formatCode="General"/>
      <fill>
        <patternFill patternType="solid">
          <fgColor theme="0" tint="-0.14999847407452621"/>
          <bgColor theme="0" tint="-0.14999847407452621"/>
        </patternFill>
      </fill>
      <alignment horizontal="left" vertical="bottom" textRotation="0" wrapText="0" indent="0" justifyLastLine="0" shrinkToFit="0" readingOrder="0"/>
      <border diagonalUp="0" diagonalDown="0" outline="0">
        <left/>
        <right/>
        <top/>
        <bottom/>
      </border>
    </dxf>
    <dxf>
      <font>
        <b val="0"/>
        <i val="0"/>
        <strike val="0"/>
        <condense val="0"/>
        <extend val="0"/>
        <outline val="0"/>
        <shadow val="0"/>
        <u val="none"/>
        <vertAlign val="baseline"/>
        <sz val="11"/>
        <color rgb="FF005877"/>
        <name val="Calibri"/>
        <scheme val="minor"/>
      </font>
      <numFmt numFmtId="0" formatCode="General"/>
      <fill>
        <patternFill patternType="solid">
          <fgColor theme="0" tint="-0.14999847407452621"/>
          <bgColor theme="0" tint="-0.14999847407452621"/>
        </patternFill>
      </fill>
      <alignment horizontal="left" vertical="bottom" textRotation="0" wrapText="0" indent="0" justifyLastLine="0" shrinkToFit="0" readingOrder="0"/>
    </dxf>
    <dxf>
      <font>
        <b val="0"/>
        <i val="0"/>
        <strike val="0"/>
        <condense val="0"/>
        <extend val="0"/>
        <outline val="0"/>
        <shadow val="0"/>
        <u val="none"/>
        <vertAlign val="baseline"/>
        <sz val="11"/>
        <color rgb="FF005877"/>
        <name val="Calibri"/>
        <scheme val="minor"/>
      </font>
      <numFmt numFmtId="0" formatCode="General"/>
      <fill>
        <patternFill patternType="solid">
          <fgColor theme="0" tint="-0.14999847407452621"/>
          <bgColor theme="0" tint="-0.14999847407452621"/>
        </patternFill>
      </fill>
      <alignment horizontal="left" vertical="bottom" textRotation="0" wrapText="0" indent="0" justifyLastLine="0" shrinkToFit="0" readingOrder="0"/>
      <border diagonalUp="0" diagonalDown="0" outline="0">
        <left/>
        <right/>
        <top/>
        <bottom/>
      </border>
    </dxf>
    <dxf>
      <font>
        <b val="0"/>
        <i val="0"/>
        <strike val="0"/>
        <condense val="0"/>
        <extend val="0"/>
        <outline val="0"/>
        <shadow val="0"/>
        <u val="none"/>
        <vertAlign val="baseline"/>
        <sz val="11"/>
        <color rgb="FF005877"/>
        <name val="Calibri"/>
        <scheme val="minor"/>
      </font>
      <numFmt numFmtId="0" formatCode="General"/>
      <fill>
        <patternFill patternType="solid">
          <fgColor theme="0" tint="-0.14999847407452621"/>
          <bgColor theme="0" tint="-0.14999847407452621"/>
        </patternFill>
      </fill>
      <alignment horizontal="left" vertical="bottom" textRotation="0" wrapText="0" indent="0" justifyLastLine="0" shrinkToFit="0" readingOrder="0"/>
    </dxf>
    <dxf>
      <font>
        <b val="0"/>
        <i val="0"/>
        <strike val="0"/>
        <condense val="0"/>
        <extend val="0"/>
        <outline val="0"/>
        <shadow val="0"/>
        <u val="none"/>
        <vertAlign val="baseline"/>
        <sz val="11"/>
        <color rgb="FF005877"/>
        <name val="Calibri"/>
        <scheme val="minor"/>
      </font>
      <numFmt numFmtId="0" formatCode="General"/>
      <fill>
        <patternFill patternType="solid">
          <fgColor theme="0" tint="-0.14999847407452621"/>
          <bgColor theme="0" tint="-0.14999847407452621"/>
        </patternFill>
      </fill>
      <alignment horizontal="left" vertical="bottom" textRotation="0" wrapText="0" indent="0" justifyLastLine="0" shrinkToFit="0" readingOrder="0"/>
      <border diagonalUp="0" diagonalDown="0" outline="0">
        <left/>
        <right/>
        <top/>
        <bottom/>
      </border>
    </dxf>
    <dxf>
      <font>
        <b val="0"/>
        <i val="0"/>
        <strike val="0"/>
        <condense val="0"/>
        <extend val="0"/>
        <outline val="0"/>
        <shadow val="0"/>
        <u val="none"/>
        <vertAlign val="baseline"/>
        <sz val="11"/>
        <color rgb="FF005877"/>
        <name val="Calibri"/>
        <scheme val="minor"/>
      </font>
      <numFmt numFmtId="0" formatCode="General"/>
      <fill>
        <patternFill patternType="solid">
          <fgColor theme="0" tint="-0.14999847407452621"/>
          <bgColor theme="0" tint="-0.14999847407452621"/>
        </patternFill>
      </fill>
      <alignment horizontal="left" vertical="bottom" textRotation="0" wrapText="0" indent="0" justifyLastLine="0" shrinkToFit="0" readingOrder="0"/>
    </dxf>
    <dxf>
      <font>
        <b val="0"/>
        <i val="0"/>
        <strike val="0"/>
        <condense val="0"/>
        <extend val="0"/>
        <outline val="0"/>
        <shadow val="0"/>
        <u val="none"/>
        <vertAlign val="baseline"/>
        <sz val="11"/>
        <color rgb="FF005877"/>
        <name val="Calibri"/>
        <scheme val="minor"/>
      </font>
      <numFmt numFmtId="0" formatCode="General"/>
      <fill>
        <patternFill patternType="solid">
          <fgColor theme="0" tint="-0.14999847407452621"/>
          <bgColor theme="0" tint="-0.14999847407452621"/>
        </patternFill>
      </fill>
      <alignment horizontal="left" vertical="bottom" textRotation="0" wrapText="0" indent="0" justifyLastLine="0" shrinkToFit="0" readingOrder="0"/>
      <border diagonalUp="0" diagonalDown="0" outline="0">
        <left/>
        <right/>
        <top/>
        <bottom/>
      </border>
    </dxf>
    <dxf>
      <font>
        <b val="0"/>
        <i val="0"/>
        <strike val="0"/>
        <condense val="0"/>
        <extend val="0"/>
        <outline val="0"/>
        <shadow val="0"/>
        <u val="none"/>
        <vertAlign val="baseline"/>
        <sz val="11"/>
        <color rgb="FF005877"/>
        <name val="Calibri"/>
        <scheme val="minor"/>
      </font>
      <numFmt numFmtId="0" formatCode="General"/>
      <fill>
        <patternFill patternType="solid">
          <fgColor theme="0" tint="-0.14999847407452621"/>
          <bgColor theme="0" tint="-0.14999847407452621"/>
        </patternFill>
      </fill>
      <alignment horizontal="left" vertical="bottom" textRotation="0" wrapText="0" indent="0" justifyLastLine="0" shrinkToFit="0" readingOrder="0"/>
    </dxf>
    <dxf>
      <font>
        <b val="0"/>
        <i val="0"/>
        <strike val="0"/>
        <condense val="0"/>
        <extend val="0"/>
        <outline val="0"/>
        <shadow val="0"/>
        <u val="none"/>
        <vertAlign val="baseline"/>
        <sz val="11"/>
        <color rgb="FF005877"/>
        <name val="Calibri"/>
        <scheme val="minor"/>
      </font>
      <numFmt numFmtId="0" formatCode="General"/>
      <fill>
        <patternFill patternType="solid">
          <fgColor theme="0" tint="-0.14999847407452621"/>
          <bgColor theme="0" tint="-0.14999847407452621"/>
        </patternFill>
      </fill>
      <alignment horizontal="left" vertical="bottom" textRotation="0" wrapText="0" indent="0" justifyLastLine="0" shrinkToFit="0" readingOrder="0"/>
      <border diagonalUp="0" diagonalDown="0" outline="0">
        <left/>
        <right/>
        <top/>
        <bottom/>
      </border>
    </dxf>
    <dxf>
      <font>
        <b val="0"/>
        <i val="0"/>
        <strike val="0"/>
        <condense val="0"/>
        <extend val="0"/>
        <outline val="0"/>
        <shadow val="0"/>
        <u val="none"/>
        <vertAlign val="baseline"/>
        <sz val="11"/>
        <color rgb="FF005877"/>
        <name val="Calibri"/>
        <scheme val="minor"/>
      </font>
      <numFmt numFmtId="0" formatCode="General"/>
      <fill>
        <patternFill patternType="solid">
          <fgColor theme="0" tint="-0.14999847407452621"/>
          <bgColor theme="0" tint="-0.14999847407452621"/>
        </patternFill>
      </fill>
      <alignment horizontal="left" vertical="bottom" textRotation="0" wrapText="0" indent="0" justifyLastLine="0" shrinkToFit="0" readingOrder="0"/>
    </dxf>
    <dxf>
      <font>
        <b val="0"/>
        <i val="0"/>
        <strike val="0"/>
        <condense val="0"/>
        <extend val="0"/>
        <outline val="0"/>
        <shadow val="0"/>
        <u val="none"/>
        <vertAlign val="baseline"/>
        <sz val="11"/>
        <color rgb="FF005877"/>
        <name val="Calibri"/>
        <scheme val="minor"/>
      </font>
      <numFmt numFmtId="0" formatCode="General"/>
      <fill>
        <patternFill patternType="solid">
          <fgColor theme="0" tint="-0.14999847407452621"/>
          <bgColor theme="0" tint="-0.14999847407452621"/>
        </patternFill>
      </fill>
      <alignment horizontal="left" vertical="bottom" textRotation="0" wrapText="0" indent="0" justifyLastLine="0" shrinkToFit="0" readingOrder="0"/>
      <border diagonalUp="0" diagonalDown="0" outline="0">
        <left/>
        <right/>
        <top/>
        <bottom/>
      </border>
    </dxf>
    <dxf>
      <font>
        <b val="0"/>
        <i val="0"/>
        <strike val="0"/>
        <condense val="0"/>
        <extend val="0"/>
        <outline val="0"/>
        <shadow val="0"/>
        <u val="none"/>
        <vertAlign val="baseline"/>
        <sz val="11"/>
        <color rgb="FF005877"/>
        <name val="Calibri"/>
        <scheme val="minor"/>
      </font>
      <numFmt numFmtId="0" formatCode="General"/>
      <fill>
        <patternFill patternType="solid">
          <fgColor theme="0" tint="-0.14999847407452621"/>
          <bgColor theme="0" tint="-0.14999847407452621"/>
        </patternFill>
      </fill>
      <alignment horizontal="left" vertical="bottom" textRotation="0" wrapText="0" indent="0" justifyLastLine="0" shrinkToFit="0" readingOrder="0"/>
    </dxf>
    <dxf>
      <font>
        <b val="0"/>
        <i val="0"/>
        <strike val="0"/>
        <condense val="0"/>
        <extend val="0"/>
        <outline val="0"/>
        <shadow val="0"/>
        <u val="none"/>
        <vertAlign val="baseline"/>
        <sz val="11"/>
        <color rgb="FF005877"/>
        <name val="Calibri"/>
        <scheme val="minor"/>
      </font>
      <numFmt numFmtId="0" formatCode="General"/>
      <fill>
        <patternFill patternType="solid">
          <fgColor theme="0" tint="-0.14999847407452621"/>
          <bgColor theme="0" tint="-0.14999847407452621"/>
        </patternFill>
      </fill>
      <alignment horizontal="left" vertical="bottom" textRotation="0" wrapText="0" indent="0" justifyLastLine="0" shrinkToFit="0" readingOrder="0"/>
      <border diagonalUp="0" diagonalDown="0" outline="0">
        <left/>
        <right/>
        <top/>
        <bottom/>
      </border>
    </dxf>
    <dxf>
      <font>
        <b val="0"/>
        <i val="0"/>
        <strike val="0"/>
        <condense val="0"/>
        <extend val="0"/>
        <outline val="0"/>
        <shadow val="0"/>
        <u val="none"/>
        <vertAlign val="baseline"/>
        <sz val="11"/>
        <color rgb="FF005877"/>
        <name val="Calibri"/>
        <scheme val="minor"/>
      </font>
      <numFmt numFmtId="0" formatCode="General"/>
      <fill>
        <patternFill patternType="solid">
          <fgColor theme="0" tint="-0.14999847407452621"/>
          <bgColor theme="0" tint="-0.14999847407452621"/>
        </patternFill>
      </fill>
      <alignment horizontal="left" vertical="bottom" textRotation="0" wrapText="0" indent="0" justifyLastLine="0" shrinkToFit="0" readingOrder="0"/>
    </dxf>
    <dxf>
      <font>
        <b val="0"/>
        <i val="0"/>
        <strike val="0"/>
        <condense val="0"/>
        <extend val="0"/>
        <outline val="0"/>
        <shadow val="0"/>
        <u val="none"/>
        <vertAlign val="baseline"/>
        <sz val="11"/>
        <color rgb="FF005877"/>
        <name val="Calibri"/>
        <scheme val="minor"/>
      </font>
      <numFmt numFmtId="0" formatCode="General"/>
      <fill>
        <patternFill patternType="solid">
          <fgColor theme="0" tint="-0.14999847407452621"/>
          <bgColor theme="0" tint="-0.14999847407452621"/>
        </patternFill>
      </fill>
      <alignment horizontal="left" vertical="bottom" textRotation="0" wrapText="0" indent="0" justifyLastLine="0" shrinkToFit="0" readingOrder="0"/>
      <border diagonalUp="0" diagonalDown="0" outline="0">
        <left/>
        <right/>
        <top/>
        <bottom/>
      </border>
    </dxf>
    <dxf>
      <font>
        <b val="0"/>
        <i val="0"/>
        <strike val="0"/>
        <condense val="0"/>
        <extend val="0"/>
        <outline val="0"/>
        <shadow val="0"/>
        <u val="none"/>
        <vertAlign val="baseline"/>
        <sz val="11"/>
        <color rgb="FF005877"/>
        <name val="Calibri"/>
        <scheme val="minor"/>
      </font>
      <numFmt numFmtId="0" formatCode="General"/>
      <fill>
        <patternFill patternType="solid">
          <fgColor theme="0" tint="-0.14999847407452621"/>
          <bgColor theme="0" tint="-0.14999847407452621"/>
        </patternFill>
      </fill>
      <alignment horizontal="left" vertical="bottom" textRotation="0" wrapText="0" indent="0" justifyLastLine="0" shrinkToFit="0" readingOrder="0"/>
    </dxf>
    <dxf>
      <font>
        <b val="0"/>
        <i val="0"/>
        <strike val="0"/>
        <condense val="0"/>
        <extend val="0"/>
        <outline val="0"/>
        <shadow val="0"/>
        <u val="none"/>
        <vertAlign val="baseline"/>
        <sz val="11"/>
        <color rgb="FF005877"/>
        <name val="Calibri"/>
        <scheme val="minor"/>
      </font>
      <numFmt numFmtId="0" formatCode="General"/>
      <fill>
        <patternFill patternType="solid">
          <fgColor theme="0" tint="-0.14999847407452621"/>
          <bgColor theme="0" tint="-0.14999847407452621"/>
        </patternFill>
      </fill>
      <alignment horizontal="left" vertical="bottom" textRotation="0" wrapText="0" indent="0" justifyLastLine="0" shrinkToFit="0" readingOrder="0"/>
      <border diagonalUp="0" diagonalDown="0" outline="0">
        <left/>
        <right/>
        <top/>
        <bottom/>
      </border>
    </dxf>
    <dxf>
      <font>
        <b val="0"/>
        <i val="0"/>
        <strike val="0"/>
        <condense val="0"/>
        <extend val="0"/>
        <outline val="0"/>
        <shadow val="0"/>
        <u val="none"/>
        <vertAlign val="baseline"/>
        <sz val="11"/>
        <color rgb="FF005877"/>
        <name val="Calibri"/>
        <scheme val="minor"/>
      </font>
      <numFmt numFmtId="0" formatCode="General"/>
      <fill>
        <patternFill patternType="solid">
          <fgColor theme="0" tint="-0.14999847407452621"/>
          <bgColor theme="0" tint="-0.14999847407452621"/>
        </patternFill>
      </fill>
      <alignment horizontal="left" vertical="bottom" textRotation="0" wrapText="0" indent="0" justifyLastLine="0" shrinkToFit="0" readingOrder="0"/>
    </dxf>
    <dxf>
      <font>
        <b val="0"/>
        <i val="0"/>
        <strike val="0"/>
        <condense val="0"/>
        <extend val="0"/>
        <outline val="0"/>
        <shadow val="0"/>
        <u val="none"/>
        <vertAlign val="baseline"/>
        <sz val="11"/>
        <color rgb="FF005877"/>
        <name val="Calibri"/>
        <scheme val="minor"/>
      </font>
      <numFmt numFmtId="0" formatCode="General"/>
      <fill>
        <patternFill patternType="solid">
          <fgColor theme="0" tint="-0.14999847407452621"/>
          <bgColor theme="0" tint="-0.14999847407452621"/>
        </patternFill>
      </fill>
      <alignment horizontal="left" vertical="bottom" textRotation="0" wrapText="0" indent="0" justifyLastLine="0" shrinkToFit="0" readingOrder="0"/>
      <border diagonalUp="0" diagonalDown="0" outline="0">
        <left/>
        <right/>
        <top/>
        <bottom/>
      </border>
    </dxf>
    <dxf>
      <font>
        <b val="0"/>
        <i val="0"/>
        <strike val="0"/>
        <condense val="0"/>
        <extend val="0"/>
        <outline val="0"/>
        <shadow val="0"/>
        <u val="none"/>
        <vertAlign val="baseline"/>
        <sz val="11"/>
        <color rgb="FF005877"/>
        <name val="Calibri"/>
        <scheme val="minor"/>
      </font>
      <numFmt numFmtId="0" formatCode="General"/>
      <fill>
        <patternFill patternType="solid">
          <fgColor theme="0" tint="-0.14999847407452621"/>
          <bgColor theme="0" tint="-0.14999847407452621"/>
        </patternFill>
      </fill>
      <alignment horizontal="left" vertical="bottom" textRotation="0" wrapText="0" indent="0" justifyLastLine="0" shrinkToFit="0" readingOrder="0"/>
    </dxf>
    <dxf>
      <font>
        <b val="0"/>
        <i val="0"/>
        <strike val="0"/>
        <condense val="0"/>
        <extend val="0"/>
        <outline val="0"/>
        <shadow val="0"/>
        <u val="none"/>
        <vertAlign val="baseline"/>
        <sz val="11"/>
        <color rgb="FF005877"/>
        <name val="Calibri"/>
        <scheme val="minor"/>
      </font>
      <numFmt numFmtId="0" formatCode="General"/>
      <fill>
        <patternFill patternType="solid">
          <fgColor theme="0" tint="-0.14999847407452621"/>
          <bgColor theme="0" tint="-0.14999847407452621"/>
        </patternFill>
      </fill>
      <alignment horizontal="left" vertical="bottom" textRotation="0" wrapText="0" indent="0" justifyLastLine="0" shrinkToFit="0" readingOrder="0"/>
      <border diagonalUp="0" diagonalDown="0" outline="0">
        <left/>
        <right/>
        <top/>
        <bottom/>
      </border>
    </dxf>
    <dxf>
      <font>
        <b val="0"/>
        <i val="0"/>
        <strike val="0"/>
        <condense val="0"/>
        <extend val="0"/>
        <outline val="0"/>
        <shadow val="0"/>
        <u val="none"/>
        <vertAlign val="baseline"/>
        <sz val="11"/>
        <color rgb="FF005877"/>
        <name val="Calibri"/>
        <scheme val="minor"/>
      </font>
      <numFmt numFmtId="0" formatCode="General"/>
      <fill>
        <patternFill patternType="solid">
          <fgColor theme="0" tint="-0.14999847407452621"/>
          <bgColor theme="0" tint="-0.14999847407452621"/>
        </patternFill>
      </fill>
      <alignment horizontal="left" vertical="bottom" textRotation="0" wrapText="0" indent="0" justifyLastLine="0" shrinkToFit="0" readingOrder="0"/>
    </dxf>
    <dxf>
      <font>
        <b val="0"/>
        <i val="0"/>
        <strike val="0"/>
        <condense val="0"/>
        <extend val="0"/>
        <outline val="0"/>
        <shadow val="0"/>
        <u val="none"/>
        <vertAlign val="baseline"/>
        <sz val="11"/>
        <color rgb="FF005877"/>
        <name val="Calibri"/>
        <scheme val="minor"/>
      </font>
      <numFmt numFmtId="0" formatCode="General"/>
      <fill>
        <patternFill patternType="solid">
          <fgColor theme="0" tint="-0.14999847407452621"/>
          <bgColor theme="0" tint="-0.14999847407452621"/>
        </patternFill>
      </fill>
      <alignment horizontal="left" vertical="bottom" textRotation="0" wrapText="0" indent="0" justifyLastLine="0" shrinkToFit="0" readingOrder="0"/>
      <border diagonalUp="0" diagonalDown="0" outline="0">
        <left/>
        <right/>
        <top/>
        <bottom/>
      </border>
    </dxf>
    <dxf>
      <font>
        <b val="0"/>
        <i val="0"/>
        <strike val="0"/>
        <condense val="0"/>
        <extend val="0"/>
        <outline val="0"/>
        <shadow val="0"/>
        <u val="none"/>
        <vertAlign val="baseline"/>
        <sz val="11"/>
        <color rgb="FF005877"/>
        <name val="Calibri"/>
        <scheme val="minor"/>
      </font>
      <numFmt numFmtId="0" formatCode="General"/>
      <fill>
        <patternFill patternType="solid">
          <fgColor theme="0" tint="-0.14999847407452621"/>
          <bgColor theme="0" tint="-0.14999847407452621"/>
        </patternFill>
      </fill>
      <alignment horizontal="left" vertical="bottom" textRotation="0" wrapText="0" indent="0" justifyLastLine="0" shrinkToFit="0" readingOrder="0"/>
    </dxf>
    <dxf>
      <font>
        <b val="0"/>
        <i val="0"/>
        <strike val="0"/>
        <condense val="0"/>
        <extend val="0"/>
        <outline val="0"/>
        <shadow val="0"/>
        <u val="none"/>
        <vertAlign val="baseline"/>
        <sz val="11"/>
        <color rgb="FF005877"/>
        <name val="Calibri"/>
        <scheme val="minor"/>
      </font>
      <numFmt numFmtId="0" formatCode="General"/>
      <fill>
        <patternFill patternType="solid">
          <fgColor theme="0" tint="-0.14999847407452621"/>
          <bgColor theme="0" tint="-0.14999847407452621"/>
        </patternFill>
      </fill>
      <alignment horizontal="left" vertical="bottom" textRotation="0" wrapText="0" indent="0" justifyLastLine="0" shrinkToFit="0" readingOrder="0"/>
      <border diagonalUp="0" diagonalDown="0" outline="0">
        <left/>
        <right/>
        <top/>
        <bottom/>
      </border>
    </dxf>
    <dxf>
      <font>
        <b val="0"/>
        <i val="0"/>
        <strike val="0"/>
        <condense val="0"/>
        <extend val="0"/>
        <outline val="0"/>
        <shadow val="0"/>
        <u val="none"/>
        <vertAlign val="baseline"/>
        <sz val="11"/>
        <color rgb="FF005877"/>
        <name val="Calibri"/>
        <scheme val="minor"/>
      </font>
      <numFmt numFmtId="0" formatCode="General"/>
      <fill>
        <patternFill patternType="solid">
          <fgColor theme="0" tint="-0.14999847407452621"/>
          <bgColor theme="0" tint="-0.14999847407452621"/>
        </patternFill>
      </fill>
      <alignment horizontal="left" vertical="bottom" textRotation="0" wrapText="0" indent="0" justifyLastLine="0" shrinkToFit="0" readingOrder="0"/>
    </dxf>
    <dxf>
      <font>
        <b val="0"/>
        <i val="0"/>
        <strike val="0"/>
        <condense val="0"/>
        <extend val="0"/>
        <outline val="0"/>
        <shadow val="0"/>
        <u val="none"/>
        <vertAlign val="baseline"/>
        <sz val="11"/>
        <color rgb="FF005877"/>
        <name val="Calibri"/>
        <scheme val="minor"/>
      </font>
      <numFmt numFmtId="0" formatCode="General"/>
      <fill>
        <patternFill patternType="solid">
          <fgColor theme="0" tint="-0.14999847407452621"/>
          <bgColor theme="0" tint="-0.14999847407452621"/>
        </patternFill>
      </fill>
      <alignment horizontal="left" vertical="bottom" textRotation="0" wrapText="0" indent="0" justifyLastLine="0" shrinkToFit="0" readingOrder="0"/>
      <border diagonalUp="0" diagonalDown="0" outline="0">
        <left/>
        <right/>
        <top/>
        <bottom/>
      </border>
    </dxf>
    <dxf>
      <font>
        <b val="0"/>
        <i val="0"/>
        <strike val="0"/>
        <condense val="0"/>
        <extend val="0"/>
        <outline val="0"/>
        <shadow val="0"/>
        <u val="none"/>
        <vertAlign val="baseline"/>
        <sz val="11"/>
        <color rgb="FF005877"/>
        <name val="Calibri"/>
        <scheme val="minor"/>
      </font>
      <numFmt numFmtId="0" formatCode="General"/>
      <fill>
        <patternFill patternType="solid">
          <fgColor theme="0" tint="-0.14999847407452621"/>
          <bgColor theme="0" tint="-0.14999847407452621"/>
        </patternFill>
      </fill>
      <alignment horizontal="left" vertical="bottom" textRotation="0" wrapText="0" indent="0" justifyLastLine="0" shrinkToFit="0" readingOrder="0"/>
    </dxf>
    <dxf>
      <font>
        <b val="0"/>
        <i val="0"/>
        <strike val="0"/>
        <condense val="0"/>
        <extend val="0"/>
        <outline val="0"/>
        <shadow val="0"/>
        <u val="none"/>
        <vertAlign val="baseline"/>
        <sz val="11"/>
        <color rgb="FF005877"/>
        <name val="Calibri"/>
        <scheme val="minor"/>
      </font>
      <numFmt numFmtId="0" formatCode="General"/>
      <fill>
        <patternFill patternType="solid">
          <fgColor theme="0" tint="-0.14999847407452621"/>
          <bgColor theme="0" tint="-0.14999847407452621"/>
        </patternFill>
      </fill>
      <alignment horizontal="left" vertical="bottom" textRotation="0" wrapText="0" indent="0" justifyLastLine="0" shrinkToFit="0" readingOrder="0"/>
      <border diagonalUp="0" diagonalDown="0" outline="0">
        <left/>
        <right/>
        <top/>
        <bottom/>
      </border>
    </dxf>
    <dxf>
      <font>
        <b val="0"/>
        <i val="0"/>
        <strike val="0"/>
        <condense val="0"/>
        <extend val="0"/>
        <outline val="0"/>
        <shadow val="0"/>
        <u val="none"/>
        <vertAlign val="baseline"/>
        <sz val="11"/>
        <color rgb="FF005877"/>
        <name val="Calibri"/>
        <scheme val="minor"/>
      </font>
      <numFmt numFmtId="0" formatCode="General"/>
      <fill>
        <patternFill patternType="solid">
          <fgColor theme="0" tint="-0.14999847407452621"/>
          <bgColor theme="0" tint="-0.14999847407452621"/>
        </patternFill>
      </fill>
      <alignment horizontal="left" vertical="bottom" textRotation="0" wrapText="0" indent="0" justifyLastLine="0" shrinkToFit="0" readingOrder="0"/>
    </dxf>
    <dxf>
      <font>
        <b val="0"/>
        <i val="0"/>
        <strike val="0"/>
        <condense val="0"/>
        <extend val="0"/>
        <outline val="0"/>
        <shadow val="0"/>
        <u val="none"/>
        <vertAlign val="baseline"/>
        <sz val="11"/>
        <color rgb="FF005877"/>
        <name val="Calibri"/>
        <scheme val="minor"/>
      </font>
      <numFmt numFmtId="0" formatCode="General"/>
      <fill>
        <patternFill patternType="solid">
          <fgColor theme="0" tint="-0.14999847407452621"/>
          <bgColor theme="0" tint="-0.14999847407452621"/>
        </patternFill>
      </fill>
      <alignment horizontal="left" vertical="bottom" textRotation="0" wrapText="0" indent="0" justifyLastLine="0" shrinkToFit="0" readingOrder="0"/>
      <border diagonalUp="0" diagonalDown="0" outline="0">
        <left/>
        <right/>
        <top/>
        <bottom/>
      </border>
    </dxf>
    <dxf>
      <font>
        <b val="0"/>
        <i val="0"/>
        <strike val="0"/>
        <condense val="0"/>
        <extend val="0"/>
        <outline val="0"/>
        <shadow val="0"/>
        <u val="none"/>
        <vertAlign val="baseline"/>
        <sz val="11"/>
        <color rgb="FF005877"/>
        <name val="Calibri"/>
        <scheme val="minor"/>
      </font>
      <numFmt numFmtId="0" formatCode="General"/>
      <fill>
        <patternFill patternType="solid">
          <fgColor theme="0" tint="-0.14999847407452621"/>
          <bgColor theme="0" tint="-0.14999847407452621"/>
        </patternFill>
      </fill>
      <alignment horizontal="left" vertical="bottom" textRotation="0" wrapText="0" indent="0" justifyLastLine="0" shrinkToFit="0" readingOrder="0"/>
    </dxf>
    <dxf>
      <font>
        <b val="0"/>
        <i val="0"/>
        <strike val="0"/>
        <condense val="0"/>
        <extend val="0"/>
        <outline val="0"/>
        <shadow val="0"/>
        <u val="none"/>
        <vertAlign val="baseline"/>
        <sz val="11"/>
        <color rgb="FF005877"/>
        <name val="Calibri"/>
        <scheme val="minor"/>
      </font>
      <numFmt numFmtId="0" formatCode="General"/>
      <fill>
        <patternFill patternType="solid">
          <fgColor theme="0" tint="-0.14999847407452621"/>
          <bgColor theme="0" tint="-0.14999847407452621"/>
        </patternFill>
      </fill>
      <alignment horizontal="left" vertical="bottom" textRotation="0" wrapText="0" indent="0" justifyLastLine="0" shrinkToFit="0" readingOrder="0"/>
      <border diagonalUp="0" diagonalDown="0" outline="0">
        <left/>
        <right/>
        <top/>
        <bottom/>
      </border>
    </dxf>
    <dxf>
      <font>
        <b val="0"/>
        <i val="0"/>
        <strike val="0"/>
        <condense val="0"/>
        <extend val="0"/>
        <outline val="0"/>
        <shadow val="0"/>
        <u val="none"/>
        <vertAlign val="baseline"/>
        <sz val="11"/>
        <color rgb="FF005877"/>
        <name val="Calibri"/>
        <scheme val="minor"/>
      </font>
      <numFmt numFmtId="0" formatCode="General"/>
      <fill>
        <patternFill patternType="solid">
          <fgColor theme="0" tint="-0.14999847407452621"/>
          <bgColor theme="0" tint="-0.14999847407452621"/>
        </patternFill>
      </fill>
      <alignment horizontal="left" vertical="bottom" textRotation="0" wrapText="0" indent="0" justifyLastLine="0" shrinkToFit="0" readingOrder="0"/>
    </dxf>
    <dxf>
      <font>
        <b val="0"/>
        <i val="0"/>
        <strike val="0"/>
        <condense val="0"/>
        <extend val="0"/>
        <outline val="0"/>
        <shadow val="0"/>
        <u val="none"/>
        <vertAlign val="baseline"/>
        <sz val="11"/>
        <color rgb="FF005877"/>
        <name val="Calibri"/>
        <scheme val="minor"/>
      </font>
      <numFmt numFmtId="0" formatCode="General"/>
      <fill>
        <patternFill patternType="solid">
          <fgColor theme="0" tint="-0.14999847407452621"/>
          <bgColor theme="0" tint="-0.14999847407452621"/>
        </patternFill>
      </fill>
      <alignment horizontal="left" vertical="bottom" textRotation="0" wrapText="0" indent="0" justifyLastLine="0" shrinkToFit="0" readingOrder="0"/>
      <border diagonalUp="0" diagonalDown="0" outline="0">
        <left/>
        <right/>
        <top/>
        <bottom/>
      </border>
    </dxf>
    <dxf>
      <font>
        <b val="0"/>
        <i val="0"/>
        <strike val="0"/>
        <condense val="0"/>
        <extend val="0"/>
        <outline val="0"/>
        <shadow val="0"/>
        <u val="none"/>
        <vertAlign val="baseline"/>
        <sz val="11"/>
        <color rgb="FF005877"/>
        <name val="Calibri"/>
        <scheme val="minor"/>
      </font>
      <numFmt numFmtId="0" formatCode="General"/>
      <fill>
        <patternFill patternType="solid">
          <fgColor theme="0" tint="-0.14999847407452621"/>
          <bgColor theme="0" tint="-0.14999847407452621"/>
        </patternFill>
      </fill>
      <alignment horizontal="left" vertical="bottom" textRotation="0" wrapText="0" indent="0" justifyLastLine="0" shrinkToFit="0" readingOrder="0"/>
    </dxf>
    <dxf>
      <font>
        <b val="0"/>
        <i val="0"/>
        <strike val="0"/>
        <condense val="0"/>
        <extend val="0"/>
        <outline val="0"/>
        <shadow val="0"/>
        <u val="none"/>
        <vertAlign val="baseline"/>
        <sz val="11"/>
        <color rgb="FF005877"/>
        <name val="Calibri"/>
        <scheme val="minor"/>
      </font>
      <numFmt numFmtId="0" formatCode="General"/>
      <fill>
        <patternFill patternType="solid">
          <fgColor theme="0" tint="-0.14999847407452621"/>
          <bgColor theme="0" tint="-0.14999847407452621"/>
        </patternFill>
      </fill>
      <alignment horizontal="left" vertical="bottom" textRotation="0" wrapText="0" indent="0" justifyLastLine="0" shrinkToFit="0" readingOrder="0"/>
      <border diagonalUp="0" diagonalDown="0" outline="0">
        <left/>
        <right/>
        <top/>
        <bottom/>
      </border>
    </dxf>
    <dxf>
      <font>
        <b val="0"/>
        <i val="0"/>
        <strike val="0"/>
        <condense val="0"/>
        <extend val="0"/>
        <outline val="0"/>
        <shadow val="0"/>
        <u val="none"/>
        <vertAlign val="baseline"/>
        <sz val="11"/>
        <color rgb="FF005877"/>
        <name val="Calibri"/>
        <scheme val="minor"/>
      </font>
      <numFmt numFmtId="0" formatCode="General"/>
      <fill>
        <patternFill patternType="solid">
          <fgColor theme="0" tint="-0.14999847407452621"/>
          <bgColor theme="0" tint="-0.14999847407452621"/>
        </patternFill>
      </fill>
      <alignment horizontal="left" vertical="bottom" textRotation="0" wrapText="0" indent="0" justifyLastLine="0" shrinkToFit="0" readingOrder="0"/>
    </dxf>
    <dxf>
      <font>
        <b val="0"/>
        <i val="0"/>
        <strike val="0"/>
        <condense val="0"/>
        <extend val="0"/>
        <outline val="0"/>
        <shadow val="0"/>
        <u val="none"/>
        <vertAlign val="baseline"/>
        <sz val="11"/>
        <color rgb="FF005877"/>
        <name val="Calibri"/>
        <scheme val="minor"/>
      </font>
      <numFmt numFmtId="0" formatCode="General"/>
      <fill>
        <patternFill patternType="solid">
          <fgColor theme="0" tint="-0.14999847407452621"/>
          <bgColor theme="0" tint="-0.14999847407452621"/>
        </patternFill>
      </fill>
      <alignment horizontal="left" vertical="bottom" textRotation="0" wrapText="0" indent="0" justifyLastLine="0" shrinkToFit="0" readingOrder="0"/>
      <border diagonalUp="0" diagonalDown="0" outline="0">
        <left/>
        <right/>
        <top/>
        <bottom/>
      </border>
    </dxf>
    <dxf>
      <font>
        <b val="0"/>
        <i val="0"/>
        <strike val="0"/>
        <condense val="0"/>
        <extend val="0"/>
        <outline val="0"/>
        <shadow val="0"/>
        <u val="none"/>
        <vertAlign val="baseline"/>
        <sz val="11"/>
        <color rgb="FF005877"/>
        <name val="Calibri"/>
        <scheme val="minor"/>
      </font>
      <numFmt numFmtId="0" formatCode="General"/>
      <fill>
        <patternFill patternType="solid">
          <fgColor theme="0" tint="-0.14999847407452621"/>
          <bgColor theme="0" tint="-0.14999847407452621"/>
        </patternFill>
      </fill>
      <alignment horizontal="left" vertical="bottom" textRotation="0" wrapText="0" indent="0" justifyLastLine="0" shrinkToFit="0" readingOrder="0"/>
    </dxf>
    <dxf>
      <font>
        <b val="0"/>
        <i val="0"/>
        <strike val="0"/>
        <condense val="0"/>
        <extend val="0"/>
        <outline val="0"/>
        <shadow val="0"/>
        <u val="none"/>
        <vertAlign val="baseline"/>
        <sz val="11"/>
        <color rgb="FF005877"/>
        <name val="Calibri"/>
        <scheme val="minor"/>
      </font>
      <numFmt numFmtId="0" formatCode="General"/>
      <fill>
        <patternFill patternType="solid">
          <fgColor theme="0" tint="-0.14999847407452621"/>
          <bgColor theme="0" tint="-0.14999847407452621"/>
        </patternFill>
      </fill>
      <alignment horizontal="left" vertical="bottom" textRotation="0" wrapText="0" indent="0" justifyLastLine="0" shrinkToFit="0" readingOrder="0"/>
      <border diagonalUp="0" diagonalDown="0" outline="0">
        <left/>
        <right/>
        <top/>
        <bottom/>
      </border>
    </dxf>
    <dxf>
      <font>
        <b val="0"/>
        <i val="0"/>
        <strike val="0"/>
        <condense val="0"/>
        <extend val="0"/>
        <outline val="0"/>
        <shadow val="0"/>
        <u val="none"/>
        <vertAlign val="baseline"/>
        <sz val="11"/>
        <color rgb="FF005877"/>
        <name val="Calibri"/>
        <scheme val="minor"/>
      </font>
      <numFmt numFmtId="0" formatCode="General"/>
      <fill>
        <patternFill patternType="solid">
          <fgColor theme="0" tint="-0.14999847407452621"/>
          <bgColor theme="0" tint="-0.14999847407452621"/>
        </patternFill>
      </fill>
      <alignment horizontal="left" vertical="bottom" textRotation="0" wrapText="0" indent="0" justifyLastLine="0" shrinkToFit="0" readingOrder="0"/>
    </dxf>
    <dxf>
      <font>
        <b val="0"/>
        <i val="0"/>
        <strike val="0"/>
        <condense val="0"/>
        <extend val="0"/>
        <outline val="0"/>
        <shadow val="0"/>
        <u val="none"/>
        <vertAlign val="baseline"/>
        <sz val="11"/>
        <color rgb="FF005877"/>
        <name val="Calibri"/>
        <scheme val="minor"/>
      </font>
      <numFmt numFmtId="0" formatCode="General"/>
      <fill>
        <patternFill patternType="solid">
          <fgColor theme="0" tint="-0.14999847407452621"/>
          <bgColor theme="0" tint="-0.14999847407452621"/>
        </patternFill>
      </fill>
      <alignment horizontal="left" vertical="bottom" textRotation="0" wrapText="0" indent="0" justifyLastLine="0" shrinkToFit="0" readingOrder="0"/>
      <border diagonalUp="0" diagonalDown="0" outline="0">
        <left/>
        <right/>
        <top/>
        <bottom/>
      </border>
    </dxf>
    <dxf>
      <font>
        <b val="0"/>
        <i val="0"/>
        <strike val="0"/>
        <condense val="0"/>
        <extend val="0"/>
        <outline val="0"/>
        <shadow val="0"/>
        <u val="none"/>
        <vertAlign val="baseline"/>
        <sz val="11"/>
        <color rgb="FF005877"/>
        <name val="Calibri"/>
        <scheme val="minor"/>
      </font>
      <numFmt numFmtId="0" formatCode="General"/>
      <fill>
        <patternFill patternType="solid">
          <fgColor theme="0" tint="-0.14999847407452621"/>
          <bgColor theme="0" tint="-0.14999847407452621"/>
        </patternFill>
      </fill>
      <alignment horizontal="left" vertical="bottom" textRotation="0" wrapText="0" indent="0" justifyLastLine="0" shrinkToFit="0" readingOrder="0"/>
    </dxf>
    <dxf>
      <font>
        <b val="0"/>
        <i val="0"/>
        <strike val="0"/>
        <condense val="0"/>
        <extend val="0"/>
        <outline val="0"/>
        <shadow val="0"/>
        <u val="none"/>
        <vertAlign val="baseline"/>
        <sz val="11"/>
        <color rgb="FF005877"/>
        <name val="Calibri"/>
        <scheme val="minor"/>
      </font>
      <numFmt numFmtId="0" formatCode="General"/>
      <fill>
        <patternFill patternType="solid">
          <fgColor theme="0" tint="-0.14999847407452621"/>
          <bgColor theme="0" tint="-0.14999847407452621"/>
        </patternFill>
      </fill>
      <border diagonalUp="0" diagonalDown="0" outline="0">
        <left/>
        <right/>
        <top/>
        <bottom/>
      </border>
    </dxf>
    <dxf>
      <font>
        <b val="0"/>
        <i val="0"/>
        <strike val="0"/>
        <condense val="0"/>
        <extend val="0"/>
        <outline val="0"/>
        <shadow val="0"/>
        <u val="none"/>
        <vertAlign val="baseline"/>
        <sz val="11"/>
        <color rgb="FF005877"/>
        <name val="Calibri"/>
        <scheme val="minor"/>
      </font>
      <numFmt numFmtId="0" formatCode="General"/>
      <fill>
        <patternFill patternType="solid">
          <fgColor theme="0" tint="-0.14999847407452621"/>
          <bgColor theme="0" tint="-0.14999847407452621"/>
        </patternFill>
      </fill>
    </dxf>
    <dxf>
      <font>
        <b val="0"/>
        <i val="0"/>
        <strike val="0"/>
        <condense val="0"/>
        <extend val="0"/>
        <outline val="0"/>
        <shadow val="0"/>
        <u val="none"/>
        <vertAlign val="baseline"/>
        <sz val="11"/>
        <color rgb="FF005877"/>
        <name val="Calibri"/>
        <scheme val="minor"/>
      </font>
      <fill>
        <patternFill patternType="solid">
          <fgColor theme="0" tint="-0.14999847407452621"/>
          <bgColor theme="0" tint="-0.14999847407452621"/>
        </patternFill>
      </fill>
      <alignment horizontal="left" vertical="bottom" textRotation="0" wrapText="0" indent="0" justifyLastLine="0" shrinkToFit="0" readingOrder="0"/>
      <border diagonalUp="0" diagonalDown="0" outline="0">
        <left/>
        <right/>
        <top/>
        <bottom/>
      </border>
    </dxf>
    <dxf>
      <font>
        <b val="0"/>
        <i val="0"/>
        <strike val="0"/>
        <condense val="0"/>
        <extend val="0"/>
        <outline val="0"/>
        <shadow val="0"/>
        <u val="none"/>
        <vertAlign val="baseline"/>
        <sz val="11"/>
        <color rgb="FF005877"/>
        <name val="Calibri"/>
        <scheme val="minor"/>
      </font>
      <numFmt numFmtId="0" formatCode="General"/>
      <fill>
        <patternFill patternType="solid">
          <fgColor theme="0" tint="-0.14999847407452621"/>
          <bgColor theme="0" tint="-0.14999847407452621"/>
        </patternFill>
      </fill>
      <alignment horizontal="center" vertical="center" textRotation="0" wrapText="0" indent="0" justifyLastLine="0" shrinkToFit="0" readingOrder="0"/>
    </dxf>
    <dxf>
      <font>
        <b val="0"/>
        <i val="0"/>
        <strike val="0"/>
        <condense val="0"/>
        <extend val="0"/>
        <outline val="0"/>
        <shadow val="0"/>
        <u val="none"/>
        <vertAlign val="baseline"/>
        <sz val="11"/>
        <color rgb="FF005877"/>
        <name val="Calibri"/>
        <scheme val="minor"/>
      </font>
      <numFmt numFmtId="168" formatCode="0.0000"/>
      <fill>
        <patternFill patternType="solid">
          <fgColor theme="0" tint="-0.14999847407452621"/>
          <bgColor theme="0" tint="-0.14999847407452621"/>
        </patternFill>
      </fill>
      <alignment horizontal="left" vertical="bottom" textRotation="0" wrapText="0" indent="0" justifyLastLine="0" shrinkToFit="0" readingOrder="0"/>
    </dxf>
    <dxf>
      <font>
        <b val="0"/>
        <i val="0"/>
        <strike val="0"/>
        <condense val="0"/>
        <extend val="0"/>
        <outline val="0"/>
        <shadow val="0"/>
        <u val="none"/>
        <vertAlign val="baseline"/>
        <sz val="11"/>
        <color rgb="FF005877"/>
        <name val="Calibri"/>
        <scheme val="minor"/>
      </font>
      <fill>
        <patternFill patternType="solid">
          <fgColor theme="0" tint="-0.14999847407452621"/>
          <bgColor theme="0" tint="-0.14999847407452621"/>
        </patternFill>
      </fill>
      <alignment horizontal="left" vertical="bottom" textRotation="0" wrapText="0" indent="0" justifyLastLine="0" shrinkToFit="0" readingOrder="0"/>
    </dxf>
    <dxf>
      <font>
        <b/>
        <i val="0"/>
        <strike val="0"/>
        <condense val="0"/>
        <extend val="0"/>
        <outline val="0"/>
        <shadow val="0"/>
        <u val="none"/>
        <vertAlign val="baseline"/>
        <sz val="11"/>
        <color rgb="FF005877"/>
        <name val="Calibri"/>
        <scheme val="minor"/>
      </font>
      <fill>
        <patternFill patternType="solid">
          <fgColor indexed="64"/>
          <bgColor rgb="FFFFFF00"/>
        </patternFill>
      </fill>
      <alignment horizontal="center" vertical="center" textRotation="0" wrapText="0" indent="0" justifyLastLine="0" shrinkToFit="0" readingOrder="0"/>
    </dxf>
    <dxf>
      <font>
        <b val="0"/>
        <i val="0"/>
        <strike val="0"/>
        <condense val="0"/>
        <extend val="0"/>
        <outline val="0"/>
        <shadow val="0"/>
        <u val="none"/>
        <vertAlign val="baseline"/>
        <sz val="9"/>
        <color rgb="FF005877"/>
        <name val="Calibri"/>
        <scheme val="minor"/>
      </font>
      <fill>
        <patternFill patternType="solid">
          <fgColor indexed="64"/>
          <bgColor theme="7" tint="0.59999389629810485"/>
        </patternFill>
      </fill>
      <alignment horizontal="left" vertical="center" textRotation="0" wrapText="0" indent="0" justifyLastLine="0" shrinkToFit="0" readingOrder="0"/>
      <protection locked="0" hidden="0"/>
    </dxf>
    <dxf>
      <font>
        <b val="0"/>
        <i val="0"/>
        <strike val="0"/>
        <condense val="0"/>
        <extend val="0"/>
        <outline val="0"/>
        <shadow val="0"/>
        <u val="none"/>
        <vertAlign val="baseline"/>
        <sz val="9"/>
        <color rgb="FF005877"/>
        <name val="Calibri"/>
        <scheme val="minor"/>
      </font>
      <fill>
        <patternFill patternType="solid">
          <fgColor indexed="64"/>
          <bgColor theme="4" tint="0.79998168889431442"/>
        </patternFill>
      </fill>
      <alignment horizontal="left" vertical="center" textRotation="0" wrapText="0" indent="0" justifyLastLine="0" shrinkToFit="0" readingOrder="0"/>
      <protection locked="0" hidden="0"/>
    </dxf>
    <dxf>
      <font>
        <b val="0"/>
        <i val="0"/>
        <strike val="0"/>
        <condense val="0"/>
        <extend val="0"/>
        <outline val="0"/>
        <shadow val="0"/>
        <u val="none"/>
        <vertAlign val="baseline"/>
        <sz val="9"/>
        <color rgb="FF005877"/>
        <name val="Calibri"/>
        <scheme val="minor"/>
      </font>
      <fill>
        <patternFill patternType="solid">
          <fgColor indexed="64"/>
          <bgColor theme="4" tint="0.59999389629810485"/>
        </patternFill>
      </fill>
      <alignment horizontal="left" vertical="center" textRotation="0" wrapText="0" indent="0" justifyLastLine="0" shrinkToFit="0" readingOrder="0"/>
      <protection locked="0" hidden="0"/>
    </dxf>
    <dxf>
      <font>
        <b val="0"/>
        <i val="0"/>
        <strike val="0"/>
        <condense val="0"/>
        <extend val="0"/>
        <outline val="0"/>
        <shadow val="0"/>
        <u val="none"/>
        <vertAlign val="baseline"/>
        <sz val="9"/>
        <color rgb="FF005877"/>
        <name val="Calibri"/>
        <scheme val="minor"/>
      </font>
      <fill>
        <patternFill patternType="solid">
          <fgColor indexed="64"/>
          <bgColor theme="4" tint="0.39997558519241921"/>
        </patternFill>
      </fill>
      <alignment horizontal="left" vertical="center" textRotation="0" wrapText="0" indent="0" justifyLastLine="0" shrinkToFit="0" readingOrder="0"/>
      <protection locked="0" hidden="0"/>
    </dxf>
    <dxf>
      <font>
        <b val="0"/>
        <i val="0"/>
        <strike val="0"/>
        <condense val="0"/>
        <extend val="0"/>
        <outline val="0"/>
        <shadow val="0"/>
        <u val="none"/>
        <vertAlign val="baseline"/>
        <sz val="9"/>
        <color rgb="FF005877"/>
        <name val="Calibri"/>
        <scheme val="minor"/>
      </font>
      <fill>
        <patternFill patternType="solid">
          <fgColor indexed="64"/>
          <bgColor theme="4" tint="-0.249977111117893"/>
        </patternFill>
      </fill>
      <alignment horizontal="left" vertical="center" textRotation="0" wrapText="0" indent="0" justifyLastLine="0" shrinkToFit="0" readingOrder="0"/>
      <protection locked="0" hidden="0"/>
    </dxf>
    <dxf>
      <font>
        <b val="0"/>
        <i val="0"/>
        <strike val="0"/>
        <condense val="0"/>
        <extend val="0"/>
        <outline val="0"/>
        <shadow val="0"/>
        <u val="none"/>
        <vertAlign val="baseline"/>
        <sz val="9"/>
        <color rgb="FF005877"/>
        <name val="Calibri"/>
        <scheme val="minor"/>
      </font>
      <fill>
        <patternFill patternType="solid">
          <fgColor indexed="64"/>
          <bgColor theme="5" tint="0.79998168889431442"/>
        </patternFill>
      </fill>
      <alignment horizontal="left" vertical="center" textRotation="0" wrapText="0" indent="0" justifyLastLine="0" shrinkToFit="0" readingOrder="0"/>
      <protection locked="0" hidden="0"/>
    </dxf>
    <dxf>
      <font>
        <b val="0"/>
        <i val="0"/>
        <strike val="0"/>
        <condense val="0"/>
        <extend val="0"/>
        <outline val="0"/>
        <shadow val="0"/>
        <u val="none"/>
        <vertAlign val="baseline"/>
        <sz val="9"/>
        <color rgb="FF005877"/>
        <name val="Calibri"/>
        <scheme val="minor"/>
      </font>
      <fill>
        <patternFill patternType="solid">
          <fgColor indexed="64"/>
          <bgColor theme="5" tint="0.79998168889431442"/>
        </patternFill>
      </fill>
      <alignment horizontal="left" vertical="center" textRotation="0" wrapText="0" indent="0" justifyLastLine="0" shrinkToFit="0" readingOrder="0"/>
      <protection locked="0" hidden="0"/>
    </dxf>
    <dxf>
      <font>
        <b val="0"/>
        <i val="0"/>
        <strike val="0"/>
        <condense val="0"/>
        <extend val="0"/>
        <outline val="0"/>
        <shadow val="0"/>
        <u val="none"/>
        <vertAlign val="baseline"/>
        <sz val="9"/>
        <color rgb="FF005877"/>
        <name val="Calibri"/>
        <scheme val="minor"/>
      </font>
      <fill>
        <patternFill patternType="solid">
          <fgColor indexed="64"/>
          <bgColor theme="5" tint="0.79998168889431442"/>
        </patternFill>
      </fill>
      <alignment horizontal="left" vertical="center" textRotation="0" wrapText="0" indent="0" justifyLastLine="0" shrinkToFit="0" readingOrder="0"/>
      <protection locked="0" hidden="0"/>
    </dxf>
    <dxf>
      <font>
        <b val="0"/>
        <i val="0"/>
        <strike val="0"/>
        <condense val="0"/>
        <extend val="0"/>
        <outline val="0"/>
        <shadow val="0"/>
        <u val="none"/>
        <vertAlign val="baseline"/>
        <sz val="9"/>
        <color rgb="FF005877"/>
        <name val="Calibri"/>
        <scheme val="minor"/>
      </font>
      <fill>
        <patternFill patternType="solid">
          <fgColor indexed="64"/>
          <bgColor theme="5" tint="0.79998168889431442"/>
        </patternFill>
      </fill>
      <alignment horizontal="left" vertical="center" textRotation="0" wrapText="0" indent="0" justifyLastLine="0" shrinkToFit="0" readingOrder="0"/>
      <protection locked="0" hidden="0"/>
    </dxf>
    <dxf>
      <font>
        <b val="0"/>
        <i val="0"/>
        <strike val="0"/>
        <condense val="0"/>
        <extend val="0"/>
        <outline val="0"/>
        <shadow val="0"/>
        <u val="none"/>
        <vertAlign val="baseline"/>
        <sz val="9"/>
        <color rgb="FF005877"/>
        <name val="Calibri"/>
        <scheme val="minor"/>
      </font>
      <fill>
        <patternFill patternType="solid">
          <fgColor indexed="64"/>
          <bgColor theme="5" tint="0.79998168889431442"/>
        </patternFill>
      </fill>
      <alignment horizontal="left" vertical="center" textRotation="0" wrapText="0" indent="0" justifyLastLine="0" shrinkToFit="0" readingOrder="0"/>
      <protection locked="0" hidden="0"/>
    </dxf>
    <dxf>
      <font>
        <b val="0"/>
        <i val="0"/>
        <strike val="0"/>
        <condense val="0"/>
        <extend val="0"/>
        <outline val="0"/>
        <shadow val="0"/>
        <u val="none"/>
        <vertAlign val="baseline"/>
        <sz val="9"/>
        <color rgb="FF005877"/>
        <name val="Calibri"/>
        <scheme val="minor"/>
      </font>
      <fill>
        <patternFill patternType="solid">
          <fgColor indexed="64"/>
          <bgColor theme="5" tint="0.79998168889431442"/>
        </patternFill>
      </fill>
      <alignment horizontal="left" vertical="center" textRotation="0" wrapText="0" indent="0" justifyLastLine="0" shrinkToFit="0" readingOrder="0"/>
      <protection locked="0" hidden="0"/>
    </dxf>
    <dxf>
      <font>
        <b val="0"/>
        <i val="0"/>
        <strike val="0"/>
        <condense val="0"/>
        <extend val="0"/>
        <outline val="0"/>
        <shadow val="0"/>
        <u val="none"/>
        <vertAlign val="baseline"/>
        <sz val="9"/>
        <color rgb="FF005877"/>
        <name val="Calibri"/>
        <scheme val="minor"/>
      </font>
      <fill>
        <patternFill patternType="solid">
          <fgColor indexed="64"/>
          <bgColor theme="5" tint="0.79998168889431442"/>
        </patternFill>
      </fill>
      <alignment horizontal="left" vertical="center" textRotation="0" wrapText="0" indent="0" justifyLastLine="0" shrinkToFit="0" readingOrder="0"/>
      <protection locked="0" hidden="0"/>
    </dxf>
    <dxf>
      <font>
        <b val="0"/>
        <i val="0"/>
        <strike val="0"/>
        <condense val="0"/>
        <extend val="0"/>
        <outline val="0"/>
        <shadow val="0"/>
        <u val="none"/>
        <vertAlign val="baseline"/>
        <sz val="9"/>
        <color rgb="FF005877"/>
        <name val="Calibri"/>
        <scheme val="minor"/>
      </font>
      <fill>
        <patternFill patternType="solid">
          <fgColor indexed="64"/>
          <bgColor theme="5" tint="0.79998168889431442"/>
        </patternFill>
      </fill>
      <alignment horizontal="left" vertical="center" textRotation="0" wrapText="0" indent="0" justifyLastLine="0" shrinkToFit="0" readingOrder="0"/>
      <protection locked="0" hidden="0"/>
    </dxf>
    <dxf>
      <font>
        <b val="0"/>
        <i val="0"/>
        <strike val="0"/>
        <condense val="0"/>
        <extend val="0"/>
        <outline val="0"/>
        <shadow val="0"/>
        <u val="none"/>
        <vertAlign val="baseline"/>
        <sz val="9"/>
        <color rgb="FF005877"/>
        <name val="Calibri"/>
        <scheme val="minor"/>
      </font>
      <fill>
        <patternFill patternType="solid">
          <fgColor indexed="64"/>
          <bgColor theme="5" tint="0.79998168889431442"/>
        </patternFill>
      </fill>
      <alignment horizontal="left" vertical="center" textRotation="0" wrapText="0" indent="0" justifyLastLine="0" shrinkToFit="0" readingOrder="0"/>
      <protection locked="0" hidden="0"/>
    </dxf>
    <dxf>
      <font>
        <b val="0"/>
        <i val="0"/>
        <strike val="0"/>
        <condense val="0"/>
        <extend val="0"/>
        <outline val="0"/>
        <shadow val="0"/>
        <u val="none"/>
        <vertAlign val="baseline"/>
        <sz val="9"/>
        <color rgb="FF005877"/>
        <name val="Calibri"/>
        <scheme val="minor"/>
      </font>
      <fill>
        <patternFill patternType="solid">
          <fgColor indexed="64"/>
          <bgColor theme="5" tint="0.79998168889431442"/>
        </patternFill>
      </fill>
      <alignment horizontal="left" vertical="center" textRotation="0" wrapText="0" indent="0" justifyLastLine="0" shrinkToFit="0" readingOrder="0"/>
      <protection locked="0" hidden="0"/>
    </dxf>
    <dxf>
      <font>
        <b val="0"/>
        <i val="0"/>
        <strike val="0"/>
        <condense val="0"/>
        <extend val="0"/>
        <outline val="0"/>
        <shadow val="0"/>
        <u val="none"/>
        <vertAlign val="baseline"/>
        <sz val="9"/>
        <color rgb="FF005877"/>
        <name val="Calibri"/>
        <scheme val="minor"/>
      </font>
      <fill>
        <patternFill patternType="solid">
          <fgColor indexed="64"/>
          <bgColor theme="5" tint="0.79998168889431442"/>
        </patternFill>
      </fill>
      <alignment horizontal="left" vertical="center" textRotation="0" wrapText="0" indent="0" justifyLastLine="0" shrinkToFit="0" readingOrder="0"/>
      <protection locked="0" hidden="0"/>
    </dxf>
    <dxf>
      <font>
        <b val="0"/>
        <i val="0"/>
        <strike val="0"/>
        <condense val="0"/>
        <extend val="0"/>
        <outline val="0"/>
        <shadow val="0"/>
        <u val="none"/>
        <vertAlign val="baseline"/>
        <sz val="9"/>
        <color rgb="FF005877"/>
        <name val="Calibri"/>
        <scheme val="minor"/>
      </font>
      <fill>
        <patternFill patternType="solid">
          <fgColor indexed="64"/>
          <bgColor theme="5" tint="0.79998168889431442"/>
        </patternFill>
      </fill>
      <alignment horizontal="left" vertical="center" textRotation="0" wrapText="0" indent="0" justifyLastLine="0" shrinkToFit="0" readingOrder="0"/>
      <protection locked="0" hidden="0"/>
    </dxf>
    <dxf>
      <font>
        <b val="0"/>
        <i val="0"/>
        <strike val="0"/>
        <condense val="0"/>
        <extend val="0"/>
        <outline val="0"/>
        <shadow val="0"/>
        <u val="none"/>
        <vertAlign val="baseline"/>
        <sz val="9"/>
        <color rgb="FF005877"/>
        <name val="Calibri"/>
        <scheme val="minor"/>
      </font>
      <fill>
        <patternFill patternType="solid">
          <fgColor indexed="64"/>
          <bgColor theme="5" tint="0.79998168889431442"/>
        </patternFill>
      </fill>
      <alignment horizontal="left" vertical="center" textRotation="0" wrapText="0" indent="0" justifyLastLine="0" shrinkToFit="0" readingOrder="0"/>
      <protection locked="0" hidden="0"/>
    </dxf>
    <dxf>
      <font>
        <b val="0"/>
        <i val="0"/>
        <strike val="0"/>
        <condense val="0"/>
        <extend val="0"/>
        <outline val="0"/>
        <shadow val="0"/>
        <u val="none"/>
        <vertAlign val="baseline"/>
        <sz val="9"/>
        <color rgb="FF005877"/>
        <name val="Calibri"/>
        <scheme val="minor"/>
      </font>
      <fill>
        <patternFill patternType="solid">
          <fgColor indexed="64"/>
          <bgColor theme="5" tint="0.59999389629810485"/>
        </patternFill>
      </fill>
      <alignment horizontal="left" vertical="center" textRotation="0" wrapText="0" indent="0" justifyLastLine="0" shrinkToFit="0" readingOrder="0"/>
      <protection locked="0" hidden="0"/>
    </dxf>
    <dxf>
      <font>
        <b val="0"/>
        <i val="0"/>
        <strike val="0"/>
        <condense val="0"/>
        <extend val="0"/>
        <outline val="0"/>
        <shadow val="0"/>
        <u val="none"/>
        <vertAlign val="baseline"/>
        <sz val="9"/>
        <color rgb="FF005877"/>
        <name val="Calibri"/>
        <scheme val="minor"/>
      </font>
      <fill>
        <patternFill patternType="solid">
          <fgColor indexed="64"/>
          <bgColor theme="5" tint="0.39997558519241921"/>
        </patternFill>
      </fill>
      <alignment horizontal="left" vertical="center" textRotation="0" wrapText="0" indent="0" justifyLastLine="0" shrinkToFit="0" readingOrder="0"/>
      <protection locked="0" hidden="0"/>
    </dxf>
    <dxf>
      <font>
        <b val="0"/>
        <i val="0"/>
        <strike val="0"/>
        <condense val="0"/>
        <extend val="0"/>
        <outline val="0"/>
        <shadow val="0"/>
        <u val="none"/>
        <vertAlign val="baseline"/>
        <sz val="9"/>
        <color rgb="FF005877"/>
        <name val="Calibri"/>
        <scheme val="minor"/>
      </font>
      <fill>
        <patternFill patternType="solid">
          <fgColor indexed="64"/>
          <bgColor theme="7" tint="0.59999389629810485"/>
        </patternFill>
      </fill>
      <alignment horizontal="left" vertical="center" textRotation="0" wrapText="0" indent="0" justifyLastLine="0" shrinkToFit="0" readingOrder="0"/>
      <protection locked="0" hidden="0"/>
    </dxf>
    <dxf>
      <font>
        <b val="0"/>
        <i val="0"/>
        <strike val="0"/>
        <condense val="0"/>
        <extend val="0"/>
        <outline val="0"/>
        <shadow val="0"/>
        <u val="none"/>
        <vertAlign val="baseline"/>
        <sz val="9"/>
        <color rgb="FF005877"/>
        <name val="Calibri"/>
        <scheme val="minor"/>
      </font>
      <fill>
        <patternFill patternType="solid">
          <fgColor indexed="64"/>
          <bgColor theme="7" tint="0.39997558519241921"/>
        </patternFill>
      </fill>
      <alignment horizontal="left" vertical="center" textRotation="0" wrapText="0" indent="0" justifyLastLine="0" shrinkToFit="0" readingOrder="0"/>
      <protection locked="0" hidden="0"/>
    </dxf>
    <dxf>
      <font>
        <b val="0"/>
        <i val="0"/>
        <strike val="0"/>
        <condense val="0"/>
        <extend val="0"/>
        <outline val="0"/>
        <shadow val="0"/>
        <u val="none"/>
        <vertAlign val="baseline"/>
        <sz val="9"/>
        <color rgb="FF005877"/>
        <name val="Calibri"/>
        <scheme val="minor"/>
      </font>
      <fill>
        <patternFill patternType="solid">
          <fgColor indexed="64"/>
          <bgColor rgb="FFFFC000"/>
        </patternFill>
      </fill>
      <alignment horizontal="left" vertical="center" textRotation="0" wrapText="0" indent="0" justifyLastLine="0" shrinkToFit="0" readingOrder="0"/>
      <protection locked="0" hidden="0"/>
    </dxf>
    <dxf>
      <font>
        <b val="0"/>
        <i val="0"/>
        <strike val="0"/>
        <condense val="0"/>
        <extend val="0"/>
        <outline val="0"/>
        <shadow val="0"/>
        <u val="none"/>
        <vertAlign val="baseline"/>
        <sz val="9"/>
        <color rgb="FF005877"/>
        <name val="Calibri"/>
        <scheme val="minor"/>
      </font>
      <fill>
        <patternFill patternType="solid">
          <fgColor indexed="64"/>
          <bgColor theme="5" tint="0.79998168889431442"/>
        </patternFill>
      </fill>
      <alignment horizontal="left" vertical="center" textRotation="0" wrapText="0" indent="0" justifyLastLine="0" shrinkToFit="0" readingOrder="0"/>
      <protection locked="0" hidden="0"/>
    </dxf>
    <dxf>
      <font>
        <b val="0"/>
        <i val="0"/>
        <strike val="0"/>
        <condense val="0"/>
        <extend val="0"/>
        <outline val="0"/>
        <shadow val="0"/>
        <u val="none"/>
        <vertAlign val="baseline"/>
        <sz val="9"/>
        <color rgb="FF005877"/>
        <name val="Calibri"/>
        <scheme val="minor"/>
      </font>
      <fill>
        <patternFill patternType="solid">
          <fgColor indexed="64"/>
          <bgColor theme="5" tint="0.59999389629810485"/>
        </patternFill>
      </fill>
      <alignment horizontal="left" vertical="center" textRotation="0" wrapText="0" indent="0" justifyLastLine="0" shrinkToFit="0" readingOrder="0"/>
      <protection locked="0" hidden="0"/>
    </dxf>
    <dxf>
      <font>
        <b val="0"/>
        <i val="0"/>
        <strike val="0"/>
        <condense val="0"/>
        <extend val="0"/>
        <outline val="0"/>
        <shadow val="0"/>
        <u val="none"/>
        <vertAlign val="baseline"/>
        <sz val="9"/>
        <color rgb="FF005877"/>
        <name val="Calibri"/>
        <scheme val="minor"/>
      </font>
      <fill>
        <patternFill patternType="solid">
          <fgColor indexed="64"/>
          <bgColor theme="5" tint="0.39997558519241921"/>
        </patternFill>
      </fill>
      <alignment horizontal="left" vertical="center" textRotation="0" wrapText="0" indent="0" justifyLastLine="0" shrinkToFit="0" readingOrder="0"/>
      <protection locked="0" hidden="0"/>
    </dxf>
    <dxf>
      <font>
        <b val="0"/>
        <i val="0"/>
        <strike val="0"/>
        <condense val="0"/>
        <extend val="0"/>
        <outline val="0"/>
        <shadow val="0"/>
        <u val="none"/>
        <vertAlign val="baseline"/>
        <sz val="9"/>
        <color theme="0"/>
        <name val="Calibri"/>
        <scheme val="minor"/>
      </font>
      <fill>
        <patternFill patternType="none">
          <fgColor indexed="64"/>
          <bgColor indexed="65"/>
        </patternFill>
      </fill>
      <alignment horizontal="general" vertical="center" textRotation="0" wrapText="1" indent="0" justifyLastLine="0" shrinkToFit="0" readingOrder="0"/>
      <protection locked="0" hidden="0"/>
    </dxf>
    <dxf>
      <font>
        <b val="0"/>
        <i val="0"/>
        <strike val="0"/>
        <condense val="0"/>
        <extend val="0"/>
        <outline val="0"/>
        <shadow val="0"/>
        <u val="none"/>
        <vertAlign val="baseline"/>
        <sz val="9"/>
        <color theme="0"/>
        <name val="Calibri"/>
        <scheme val="minor"/>
      </font>
      <fill>
        <patternFill patternType="none">
          <fgColor indexed="64"/>
          <bgColor indexed="65"/>
        </patternFill>
      </fill>
      <alignment horizontal="general" vertical="center" textRotation="0" wrapText="1" indent="0" justifyLastLine="0" shrinkToFit="0" readingOrder="0"/>
      <protection locked="0" hidden="0"/>
    </dxf>
    <dxf>
      <font>
        <b val="0"/>
        <i val="0"/>
        <strike val="0"/>
        <condense val="0"/>
        <extend val="0"/>
        <outline val="0"/>
        <shadow val="0"/>
        <u val="none"/>
        <vertAlign val="baseline"/>
        <sz val="9"/>
        <color theme="0"/>
        <name val="Calibri"/>
        <scheme val="minor"/>
      </font>
      <fill>
        <patternFill patternType="solid">
          <fgColor indexed="64"/>
          <bgColor theme="7"/>
        </patternFill>
      </fill>
      <alignment horizontal="center" vertical="center" textRotation="0" wrapText="1" indent="0" justifyLastLine="0" shrinkToFit="0" readingOrder="0"/>
      <protection locked="0" hidden="0"/>
    </dxf>
    <dxf>
      <font>
        <b val="0"/>
        <i val="0"/>
        <strike val="0"/>
        <condense val="0"/>
        <extend val="0"/>
        <outline val="0"/>
        <shadow val="0"/>
        <u val="none"/>
        <vertAlign val="baseline"/>
        <sz val="9"/>
        <color theme="0"/>
        <name val="Calibri"/>
        <scheme val="minor"/>
      </font>
      <numFmt numFmtId="0" formatCode="General"/>
      <fill>
        <patternFill patternType="solid">
          <fgColor indexed="64"/>
          <bgColor rgb="FFE87B00"/>
        </patternFill>
      </fill>
      <alignment horizontal="left" vertical="center" textRotation="0" wrapText="1" indent="0" justifyLastLine="0" shrinkToFit="0" readingOrder="0"/>
      <protection locked="0" hidden="0"/>
    </dxf>
    <dxf>
      <font>
        <b val="0"/>
        <i val="0"/>
        <strike val="0"/>
        <condense val="0"/>
        <extend val="0"/>
        <outline val="0"/>
        <shadow val="0"/>
        <u val="none"/>
        <vertAlign val="baseline"/>
        <sz val="9"/>
        <color rgb="FF005877"/>
        <name val="Calibri"/>
        <scheme val="minor"/>
      </font>
      <fill>
        <patternFill patternType="solid">
          <fgColor indexed="64"/>
          <bgColor theme="0"/>
        </patternFill>
      </fill>
      <alignment horizontal="left" vertical="center" textRotation="0" wrapText="0" indent="0" justifyLastLine="0" shrinkToFit="0" readingOrder="0"/>
      <protection locked="0" hidden="0"/>
    </dxf>
    <dxf>
      <font>
        <b val="0"/>
        <i val="0"/>
        <strike val="0"/>
        <condense val="0"/>
        <extend val="0"/>
        <outline val="0"/>
        <shadow val="0"/>
        <u val="none"/>
        <vertAlign val="baseline"/>
        <sz val="9"/>
        <color rgb="FF005877"/>
        <name val="Calibri"/>
        <scheme val="minor"/>
      </font>
      <fill>
        <patternFill patternType="solid">
          <fgColor indexed="64"/>
          <bgColor rgb="FFFFFF00"/>
        </patternFill>
      </fill>
      <alignment horizontal="center" vertical="center" textRotation="0" wrapText="0" indent="0" justifyLastLine="0" shrinkToFit="0" readingOrder="0"/>
      <protection locked="0" hidden="0"/>
    </dxf>
    <dxf>
      <font>
        <b val="0"/>
        <i val="0"/>
        <strike val="0"/>
        <condense val="0"/>
        <extend val="0"/>
        <outline val="0"/>
        <shadow val="0"/>
        <u val="none"/>
        <vertAlign val="baseline"/>
        <sz val="9"/>
        <color rgb="FF005877"/>
        <name val="Calibri"/>
        <scheme val="minor"/>
      </font>
      <fill>
        <patternFill patternType="solid">
          <fgColor indexed="64"/>
          <bgColor rgb="FFFFFF00"/>
        </patternFill>
      </fill>
      <alignment horizontal="center" vertical="center" textRotation="0" wrapText="0" indent="0" justifyLastLine="0" shrinkToFit="0" readingOrder="0"/>
      <protection locked="0" hidden="0"/>
    </dxf>
    <dxf>
      <font>
        <b val="0"/>
        <i val="0"/>
        <strike val="0"/>
        <condense val="0"/>
        <extend val="0"/>
        <outline val="0"/>
        <shadow val="0"/>
        <u val="none"/>
        <vertAlign val="baseline"/>
        <sz val="9"/>
        <color theme="0"/>
        <name val="Calibri"/>
        <scheme val="minor"/>
      </font>
      <fill>
        <patternFill patternType="solid">
          <fgColor indexed="64"/>
          <bgColor rgb="FFE87B00"/>
        </patternFill>
      </fill>
      <alignment horizontal="center" vertical="center" textRotation="0" wrapText="0" indent="0" justifyLastLine="0" shrinkToFit="0" readingOrder="0"/>
      <protection locked="0" hidden="0"/>
    </dxf>
    <dxf>
      <font>
        <b val="0"/>
        <i val="0"/>
        <strike val="0"/>
        <condense val="0"/>
        <extend val="0"/>
        <outline val="0"/>
        <shadow val="0"/>
        <u val="none"/>
        <vertAlign val="baseline"/>
        <sz val="9"/>
        <color rgb="FF005877"/>
        <name val="Calibri"/>
        <scheme val="minor"/>
      </font>
      <fill>
        <patternFill patternType="solid">
          <fgColor indexed="64"/>
          <bgColor theme="0" tint="-0.249977111117893"/>
        </patternFill>
      </fill>
      <alignment horizontal="center" vertical="center" textRotation="0" wrapText="0" indent="0" justifyLastLine="0" shrinkToFit="0" readingOrder="0"/>
      <protection locked="1" hidden="0"/>
    </dxf>
    <dxf>
      <font>
        <b/>
        <i val="0"/>
        <strike val="0"/>
        <condense val="0"/>
        <extend val="0"/>
        <outline val="0"/>
        <shadow val="0"/>
        <u val="none"/>
        <vertAlign val="baseline"/>
        <sz val="9"/>
        <color rgb="FF005877"/>
        <name val="Calibri"/>
        <scheme val="minor"/>
      </font>
      <numFmt numFmtId="0" formatCode="General"/>
      <fill>
        <patternFill patternType="solid">
          <fgColor indexed="64"/>
          <bgColor theme="0" tint="-0.249977111117893"/>
        </patternFill>
      </fill>
      <alignment horizontal="left" vertical="center" textRotation="0" wrapText="0" indent="0" justifyLastLine="0" shrinkToFit="0" readingOrder="0"/>
      <protection locked="1" hidden="0"/>
    </dxf>
    <dxf>
      <border outline="0">
        <top style="thick">
          <color rgb="FF005877"/>
        </top>
      </border>
    </dxf>
    <dxf>
      <fill>
        <patternFill>
          <bgColor theme="0" tint="-0.14996795556505021"/>
        </patternFill>
      </fill>
    </dxf>
    <dxf>
      <fill>
        <patternFill>
          <bgColor theme="0" tint="-4.9989318521683403E-2"/>
        </patternFill>
      </fill>
    </dxf>
    <dxf>
      <fill>
        <patternFill>
          <bgColor theme="0" tint="-4.9989318521683403E-2"/>
        </patternFill>
      </fill>
    </dxf>
    <dxf>
      <fill>
        <patternFill>
          <bgColor theme="0" tint="-4.9989318521683403E-2"/>
        </patternFill>
      </fill>
    </dxf>
    <dxf>
      <font>
        <color theme="0"/>
      </font>
      <fill>
        <patternFill patternType="solid">
          <bgColor theme="0" tint="-4.9989318521683403E-2"/>
        </patternFill>
      </fill>
    </dxf>
    <dxf>
      <fill>
        <patternFill>
          <bgColor theme="0" tint="-0.14996795556505021"/>
        </patternFill>
      </fill>
    </dxf>
    <dxf>
      <fill>
        <patternFill>
          <bgColor theme="0" tint="-4.9989318521683403E-2"/>
        </patternFill>
      </fill>
    </dxf>
    <dxf>
      <fill>
        <patternFill>
          <bgColor theme="0" tint="-0.14996795556505021"/>
        </patternFill>
      </fill>
    </dxf>
    <dxf>
      <fill>
        <patternFill>
          <bgColor theme="0" tint="-4.9989318521683403E-2"/>
        </patternFill>
      </fill>
    </dxf>
    <dxf>
      <font>
        <color theme="0"/>
      </font>
      <fill>
        <patternFill patternType="solid">
          <bgColor theme="0" tint="-4.9989318521683403E-2"/>
        </patternFill>
      </fill>
    </dxf>
    <dxf>
      <fill>
        <patternFill>
          <bgColor theme="0" tint="-0.14996795556505021"/>
        </patternFill>
      </fill>
    </dxf>
    <dxf>
      <fill>
        <patternFill>
          <bgColor theme="0" tint="-4.9989318521683403E-2"/>
        </patternFill>
      </fill>
    </dxf>
    <dxf>
      <fill>
        <patternFill>
          <bgColor theme="0"/>
        </patternFill>
      </fill>
    </dxf>
    <dxf>
      <font>
        <b val="0"/>
        <i val="0"/>
        <strike val="0"/>
        <condense val="0"/>
        <extend val="0"/>
        <outline val="0"/>
        <shadow val="0"/>
        <u val="none"/>
        <vertAlign val="baseline"/>
        <sz val="9"/>
        <color rgb="FF005877"/>
        <name val="Calibri"/>
        <scheme val="minor"/>
      </font>
      <fill>
        <patternFill patternType="solid">
          <fgColor indexed="64"/>
          <bgColor theme="7" tint="0.59999389629810485"/>
        </patternFill>
      </fill>
      <alignment horizontal="left" vertical="center" textRotation="0" wrapText="0" indent="0" justifyLastLine="0" shrinkToFit="0" readingOrder="0"/>
      <protection locked="0" hidden="0"/>
    </dxf>
    <dxf>
      <font>
        <b val="0"/>
        <i val="0"/>
        <strike val="0"/>
        <condense val="0"/>
        <extend val="0"/>
        <outline val="0"/>
        <shadow val="0"/>
        <u val="none"/>
        <vertAlign val="baseline"/>
        <sz val="9"/>
        <color rgb="FF005877"/>
        <name val="Calibri"/>
        <scheme val="minor"/>
      </font>
      <fill>
        <patternFill patternType="solid">
          <fgColor indexed="64"/>
          <bgColor theme="4" tint="0.79998168889431442"/>
        </patternFill>
      </fill>
      <alignment horizontal="left" vertical="center" textRotation="0" wrapText="0" indent="0" justifyLastLine="0" shrinkToFit="0" readingOrder="0"/>
      <protection locked="0" hidden="0"/>
    </dxf>
    <dxf>
      <font>
        <b val="0"/>
        <i val="0"/>
        <strike val="0"/>
        <condense val="0"/>
        <extend val="0"/>
        <outline val="0"/>
        <shadow val="0"/>
        <u val="none"/>
        <vertAlign val="baseline"/>
        <sz val="9"/>
        <color rgb="FF005877"/>
        <name val="Calibri"/>
        <scheme val="minor"/>
      </font>
      <fill>
        <patternFill patternType="solid">
          <fgColor indexed="64"/>
          <bgColor theme="4" tint="0.59999389629810485"/>
        </patternFill>
      </fill>
      <alignment horizontal="left" vertical="center" textRotation="0" wrapText="0" indent="0" justifyLastLine="0" shrinkToFit="0" readingOrder="0"/>
      <protection locked="0" hidden="0"/>
    </dxf>
    <dxf>
      <font>
        <b val="0"/>
        <i val="0"/>
        <strike val="0"/>
        <condense val="0"/>
        <extend val="0"/>
        <outline val="0"/>
        <shadow val="0"/>
        <u val="none"/>
        <vertAlign val="baseline"/>
        <sz val="9"/>
        <color rgb="FF005877"/>
        <name val="Calibri"/>
        <scheme val="minor"/>
      </font>
      <fill>
        <patternFill patternType="solid">
          <fgColor indexed="64"/>
          <bgColor theme="4" tint="0.39997558519241921"/>
        </patternFill>
      </fill>
      <alignment horizontal="left" vertical="center" textRotation="0" wrapText="0" indent="0" justifyLastLine="0" shrinkToFit="0" readingOrder="0"/>
      <protection locked="0" hidden="0"/>
    </dxf>
    <dxf>
      <font>
        <b val="0"/>
        <i val="0"/>
        <strike val="0"/>
        <condense val="0"/>
        <extend val="0"/>
        <outline val="0"/>
        <shadow val="0"/>
        <u val="none"/>
        <vertAlign val="baseline"/>
        <sz val="9"/>
        <color rgb="FF005877"/>
        <name val="Calibri"/>
        <scheme val="minor"/>
      </font>
      <fill>
        <patternFill patternType="solid">
          <fgColor indexed="64"/>
          <bgColor theme="4" tint="-0.249977111117893"/>
        </patternFill>
      </fill>
      <alignment horizontal="left" vertical="center" textRotation="0" wrapText="0" indent="0" justifyLastLine="0" shrinkToFit="0" readingOrder="0"/>
      <protection locked="0" hidden="0"/>
    </dxf>
    <dxf>
      <font>
        <b val="0"/>
        <i val="0"/>
        <strike val="0"/>
        <condense val="0"/>
        <extend val="0"/>
        <outline val="0"/>
        <shadow val="0"/>
        <u val="none"/>
        <vertAlign val="baseline"/>
        <sz val="9"/>
        <color rgb="FF005877"/>
        <name val="Calibri"/>
        <scheme val="minor"/>
      </font>
      <fill>
        <patternFill patternType="solid">
          <fgColor indexed="64"/>
          <bgColor theme="5" tint="0.79998168889431442"/>
        </patternFill>
      </fill>
      <alignment horizontal="left" vertical="center" textRotation="0" wrapText="0" indent="0" justifyLastLine="0" shrinkToFit="0" readingOrder="0"/>
      <protection locked="0" hidden="0"/>
    </dxf>
    <dxf>
      <font>
        <b val="0"/>
        <i val="0"/>
        <strike val="0"/>
        <condense val="0"/>
        <extend val="0"/>
        <outline val="0"/>
        <shadow val="0"/>
        <u val="none"/>
        <vertAlign val="baseline"/>
        <sz val="9"/>
        <color rgb="FF005877"/>
        <name val="Calibri"/>
        <scheme val="minor"/>
      </font>
      <fill>
        <patternFill patternType="solid">
          <fgColor indexed="64"/>
          <bgColor theme="5" tint="0.79998168889431442"/>
        </patternFill>
      </fill>
      <alignment horizontal="left" vertical="center" textRotation="0" wrapText="0" indent="0" justifyLastLine="0" shrinkToFit="0" readingOrder="0"/>
      <protection locked="0" hidden="0"/>
    </dxf>
    <dxf>
      <font>
        <b val="0"/>
        <i val="0"/>
        <strike val="0"/>
        <condense val="0"/>
        <extend val="0"/>
        <outline val="0"/>
        <shadow val="0"/>
        <u val="none"/>
        <vertAlign val="baseline"/>
        <sz val="9"/>
        <color rgb="FF005877"/>
        <name val="Calibri"/>
        <scheme val="minor"/>
      </font>
      <fill>
        <patternFill patternType="solid">
          <fgColor indexed="64"/>
          <bgColor theme="5" tint="0.79998168889431442"/>
        </patternFill>
      </fill>
      <alignment horizontal="left" vertical="center" textRotation="0" wrapText="0" indent="0" justifyLastLine="0" shrinkToFit="0" readingOrder="0"/>
      <protection locked="0" hidden="0"/>
    </dxf>
    <dxf>
      <font>
        <b val="0"/>
        <i val="0"/>
        <strike val="0"/>
        <condense val="0"/>
        <extend val="0"/>
        <outline val="0"/>
        <shadow val="0"/>
        <u val="none"/>
        <vertAlign val="baseline"/>
        <sz val="9"/>
        <color rgb="FF005877"/>
        <name val="Calibri"/>
        <scheme val="minor"/>
      </font>
      <fill>
        <patternFill patternType="solid">
          <fgColor indexed="64"/>
          <bgColor theme="5" tint="0.79998168889431442"/>
        </patternFill>
      </fill>
      <alignment horizontal="left" vertical="center" textRotation="0" wrapText="0" indent="0" justifyLastLine="0" shrinkToFit="0" readingOrder="0"/>
      <protection locked="0" hidden="0"/>
    </dxf>
    <dxf>
      <font>
        <b val="0"/>
        <i val="0"/>
        <strike val="0"/>
        <condense val="0"/>
        <extend val="0"/>
        <outline val="0"/>
        <shadow val="0"/>
        <u val="none"/>
        <vertAlign val="baseline"/>
        <sz val="9"/>
        <color rgb="FF005877"/>
        <name val="Calibri"/>
        <scheme val="minor"/>
      </font>
      <fill>
        <patternFill patternType="solid">
          <fgColor indexed="64"/>
          <bgColor theme="5" tint="0.79998168889431442"/>
        </patternFill>
      </fill>
      <alignment horizontal="left" vertical="center" textRotation="0" wrapText="0" indent="0" justifyLastLine="0" shrinkToFit="0" readingOrder="0"/>
      <protection locked="0" hidden="0"/>
    </dxf>
    <dxf>
      <font>
        <b val="0"/>
        <i val="0"/>
        <strike val="0"/>
        <condense val="0"/>
        <extend val="0"/>
        <outline val="0"/>
        <shadow val="0"/>
        <u val="none"/>
        <vertAlign val="baseline"/>
        <sz val="9"/>
        <color rgb="FF005877"/>
        <name val="Calibri"/>
        <scheme val="minor"/>
      </font>
      <fill>
        <patternFill patternType="solid">
          <fgColor indexed="64"/>
          <bgColor theme="5" tint="0.79998168889431442"/>
        </patternFill>
      </fill>
      <alignment horizontal="left" vertical="center" textRotation="0" wrapText="0" indent="0" justifyLastLine="0" shrinkToFit="0" readingOrder="0"/>
      <protection locked="0" hidden="0"/>
    </dxf>
    <dxf>
      <font>
        <b val="0"/>
        <i val="0"/>
        <strike val="0"/>
        <condense val="0"/>
        <extend val="0"/>
        <outline val="0"/>
        <shadow val="0"/>
        <u val="none"/>
        <vertAlign val="baseline"/>
        <sz val="9"/>
        <color rgb="FF005877"/>
        <name val="Calibri"/>
        <scheme val="minor"/>
      </font>
      <fill>
        <patternFill patternType="solid">
          <fgColor indexed="64"/>
          <bgColor theme="5" tint="0.79998168889431442"/>
        </patternFill>
      </fill>
      <alignment horizontal="left" vertical="center" textRotation="0" wrapText="0" indent="0" justifyLastLine="0" shrinkToFit="0" readingOrder="0"/>
      <protection locked="0" hidden="0"/>
    </dxf>
    <dxf>
      <font>
        <b val="0"/>
        <i val="0"/>
        <strike val="0"/>
        <condense val="0"/>
        <extend val="0"/>
        <outline val="0"/>
        <shadow val="0"/>
        <u val="none"/>
        <vertAlign val="baseline"/>
        <sz val="9"/>
        <color rgb="FF005877"/>
        <name val="Calibri"/>
        <scheme val="minor"/>
      </font>
      <fill>
        <patternFill patternType="solid">
          <fgColor indexed="64"/>
          <bgColor theme="5" tint="0.79998168889431442"/>
        </patternFill>
      </fill>
      <alignment horizontal="left" vertical="center" textRotation="0" wrapText="0" indent="0" justifyLastLine="0" shrinkToFit="0" readingOrder="0"/>
      <protection locked="0" hidden="0"/>
    </dxf>
    <dxf>
      <font>
        <b val="0"/>
        <i val="0"/>
        <strike val="0"/>
        <condense val="0"/>
        <extend val="0"/>
        <outline val="0"/>
        <shadow val="0"/>
        <u val="none"/>
        <vertAlign val="baseline"/>
        <sz val="9"/>
        <color rgb="FF005877"/>
        <name val="Calibri"/>
        <scheme val="minor"/>
      </font>
      <fill>
        <patternFill patternType="solid">
          <fgColor indexed="64"/>
          <bgColor theme="5" tint="0.79998168889431442"/>
        </patternFill>
      </fill>
      <alignment horizontal="left" vertical="center" textRotation="0" wrapText="0" indent="0" justifyLastLine="0" shrinkToFit="0" readingOrder="0"/>
      <protection locked="0" hidden="0"/>
    </dxf>
    <dxf>
      <font>
        <b val="0"/>
        <i val="0"/>
        <strike val="0"/>
        <condense val="0"/>
        <extend val="0"/>
        <outline val="0"/>
        <shadow val="0"/>
        <u val="none"/>
        <vertAlign val="baseline"/>
        <sz val="9"/>
        <color rgb="FF005877"/>
        <name val="Calibri"/>
        <scheme val="minor"/>
      </font>
      <fill>
        <patternFill patternType="solid">
          <fgColor indexed="64"/>
          <bgColor theme="5" tint="0.79998168889431442"/>
        </patternFill>
      </fill>
      <alignment horizontal="left" vertical="center" textRotation="0" wrapText="0" indent="0" justifyLastLine="0" shrinkToFit="0" readingOrder="0"/>
      <protection locked="0" hidden="0"/>
    </dxf>
    <dxf>
      <font>
        <b val="0"/>
        <i val="0"/>
        <strike val="0"/>
        <condense val="0"/>
        <extend val="0"/>
        <outline val="0"/>
        <shadow val="0"/>
        <u val="none"/>
        <vertAlign val="baseline"/>
        <sz val="9"/>
        <color rgb="FF005877"/>
        <name val="Calibri"/>
        <scheme val="minor"/>
      </font>
      <fill>
        <patternFill patternType="solid">
          <fgColor indexed="64"/>
          <bgColor theme="5" tint="0.79998168889431442"/>
        </patternFill>
      </fill>
      <alignment horizontal="left" vertical="center" textRotation="0" wrapText="0" indent="0" justifyLastLine="0" shrinkToFit="0" readingOrder="0"/>
      <protection locked="0" hidden="0"/>
    </dxf>
    <dxf>
      <font>
        <b val="0"/>
        <i val="0"/>
        <strike val="0"/>
        <condense val="0"/>
        <extend val="0"/>
        <outline val="0"/>
        <shadow val="0"/>
        <u val="none"/>
        <vertAlign val="baseline"/>
        <sz val="9"/>
        <color rgb="FF005877"/>
        <name val="Calibri"/>
        <scheme val="minor"/>
      </font>
      <fill>
        <patternFill patternType="solid">
          <fgColor indexed="64"/>
          <bgColor theme="5" tint="0.79998168889431442"/>
        </patternFill>
      </fill>
      <alignment horizontal="left" vertical="center" textRotation="0" wrapText="0" indent="0" justifyLastLine="0" shrinkToFit="0" readingOrder="0"/>
      <protection locked="0" hidden="0"/>
    </dxf>
    <dxf>
      <font>
        <b val="0"/>
        <i val="0"/>
        <strike val="0"/>
        <condense val="0"/>
        <extend val="0"/>
        <outline val="0"/>
        <shadow val="0"/>
        <u val="none"/>
        <vertAlign val="baseline"/>
        <sz val="9"/>
        <color rgb="FF005877"/>
        <name val="Calibri"/>
        <scheme val="minor"/>
      </font>
      <fill>
        <patternFill patternType="solid">
          <fgColor indexed="64"/>
          <bgColor theme="5" tint="0.79998168889431442"/>
        </patternFill>
      </fill>
      <alignment horizontal="left" vertical="center" textRotation="0" wrapText="0" indent="0" justifyLastLine="0" shrinkToFit="0" readingOrder="0"/>
      <protection locked="0" hidden="0"/>
    </dxf>
    <dxf>
      <font>
        <b val="0"/>
        <i val="0"/>
        <strike val="0"/>
        <condense val="0"/>
        <extend val="0"/>
        <outline val="0"/>
        <shadow val="0"/>
        <u val="none"/>
        <vertAlign val="baseline"/>
        <sz val="9"/>
        <color rgb="FF005877"/>
        <name val="Calibri"/>
        <scheme val="minor"/>
      </font>
      <fill>
        <patternFill patternType="solid">
          <fgColor indexed="64"/>
          <bgColor theme="5" tint="0.59999389629810485"/>
        </patternFill>
      </fill>
      <alignment horizontal="left" vertical="center" textRotation="0" wrapText="0" indent="0" justifyLastLine="0" shrinkToFit="0" readingOrder="0"/>
      <protection locked="0" hidden="0"/>
    </dxf>
    <dxf>
      <font>
        <b val="0"/>
        <i val="0"/>
        <strike val="0"/>
        <condense val="0"/>
        <extend val="0"/>
        <outline val="0"/>
        <shadow val="0"/>
        <u val="none"/>
        <vertAlign val="baseline"/>
        <sz val="9"/>
        <color rgb="FF005877"/>
        <name val="Calibri"/>
        <scheme val="minor"/>
      </font>
      <fill>
        <patternFill patternType="solid">
          <fgColor indexed="64"/>
          <bgColor theme="5" tint="0.39997558519241921"/>
        </patternFill>
      </fill>
      <alignment horizontal="left" vertical="center" textRotation="0" wrapText="0" indent="0" justifyLastLine="0" shrinkToFit="0" readingOrder="0"/>
      <protection locked="0" hidden="0"/>
    </dxf>
    <dxf>
      <font>
        <b val="0"/>
        <i val="0"/>
        <strike val="0"/>
        <condense val="0"/>
        <extend val="0"/>
        <outline val="0"/>
        <shadow val="0"/>
        <u val="none"/>
        <vertAlign val="baseline"/>
        <sz val="9"/>
        <color rgb="FF005877"/>
        <name val="Calibri"/>
        <scheme val="minor"/>
      </font>
      <fill>
        <patternFill patternType="solid">
          <fgColor indexed="64"/>
          <bgColor theme="7" tint="0.59999389629810485"/>
        </patternFill>
      </fill>
      <alignment horizontal="left" vertical="center" textRotation="0" wrapText="0" indent="0" justifyLastLine="0" shrinkToFit="0" readingOrder="0"/>
      <protection locked="0" hidden="0"/>
    </dxf>
    <dxf>
      <font>
        <b val="0"/>
        <i val="0"/>
        <strike val="0"/>
        <condense val="0"/>
        <extend val="0"/>
        <outline val="0"/>
        <shadow val="0"/>
        <u val="none"/>
        <vertAlign val="baseline"/>
        <sz val="9"/>
        <color rgb="FF005877"/>
        <name val="Calibri"/>
        <scheme val="minor"/>
      </font>
      <fill>
        <patternFill patternType="solid">
          <fgColor indexed="64"/>
          <bgColor theme="7" tint="0.39997558519241921"/>
        </patternFill>
      </fill>
      <alignment horizontal="left" vertical="center" textRotation="0" wrapText="0" indent="0" justifyLastLine="0" shrinkToFit="0" readingOrder="0"/>
      <protection locked="0" hidden="0"/>
    </dxf>
    <dxf>
      <font>
        <b val="0"/>
        <i val="0"/>
        <strike val="0"/>
        <condense val="0"/>
        <extend val="0"/>
        <outline val="0"/>
        <shadow val="0"/>
        <u val="none"/>
        <vertAlign val="baseline"/>
        <sz val="9"/>
        <color rgb="FF005877"/>
        <name val="Calibri"/>
        <scheme val="minor"/>
      </font>
      <fill>
        <patternFill patternType="solid">
          <fgColor indexed="64"/>
          <bgColor rgb="FFFFC000"/>
        </patternFill>
      </fill>
      <alignment horizontal="left" vertical="center" textRotation="0" wrapText="1" indent="1" justifyLastLine="0" shrinkToFit="0" readingOrder="0"/>
      <protection locked="0" hidden="0"/>
    </dxf>
    <dxf>
      <font>
        <b val="0"/>
        <i val="0"/>
        <strike val="0"/>
        <condense val="0"/>
        <extend val="0"/>
        <outline val="0"/>
        <shadow val="0"/>
        <u val="none"/>
        <vertAlign val="baseline"/>
        <sz val="9"/>
        <color rgb="FF005877"/>
        <name val="Calibri"/>
        <scheme val="minor"/>
      </font>
      <fill>
        <patternFill patternType="solid">
          <fgColor indexed="64"/>
          <bgColor theme="5" tint="0.79998168889431442"/>
        </patternFill>
      </fill>
      <alignment horizontal="left" vertical="center" textRotation="0" wrapText="1" indent="1" justifyLastLine="0" shrinkToFit="0" readingOrder="0"/>
      <protection locked="0" hidden="0"/>
    </dxf>
    <dxf>
      <font>
        <b val="0"/>
        <i val="0"/>
        <strike val="0"/>
        <condense val="0"/>
        <extend val="0"/>
        <outline val="0"/>
        <shadow val="0"/>
        <u val="none"/>
        <vertAlign val="baseline"/>
        <sz val="9"/>
        <color rgb="FF005877"/>
        <name val="Calibri"/>
        <scheme val="minor"/>
      </font>
      <fill>
        <patternFill patternType="solid">
          <fgColor indexed="64"/>
          <bgColor theme="5" tint="0.59999389629810485"/>
        </patternFill>
      </fill>
      <alignment horizontal="left" vertical="center" textRotation="0" wrapText="1" indent="1" justifyLastLine="0" shrinkToFit="0" readingOrder="0"/>
      <protection locked="0" hidden="0"/>
    </dxf>
    <dxf>
      <font>
        <b val="0"/>
        <i val="0"/>
        <strike val="0"/>
        <condense val="0"/>
        <extend val="0"/>
        <outline val="0"/>
        <shadow val="0"/>
        <u val="none"/>
        <vertAlign val="baseline"/>
        <sz val="9"/>
        <color rgb="FF005877"/>
        <name val="Calibri"/>
        <scheme val="minor"/>
      </font>
      <fill>
        <patternFill patternType="solid">
          <fgColor indexed="64"/>
          <bgColor theme="5" tint="0.39997558519241921"/>
        </patternFill>
      </fill>
      <alignment horizontal="left" vertical="center" textRotation="0" wrapText="1" indent="1" justifyLastLine="0" shrinkToFit="0" readingOrder="0"/>
      <protection locked="0" hidden="0"/>
    </dxf>
    <dxf>
      <font>
        <b val="0"/>
        <i val="0"/>
        <strike val="0"/>
        <condense val="0"/>
        <extend val="0"/>
        <outline val="0"/>
        <shadow val="0"/>
        <u val="none"/>
        <vertAlign val="baseline"/>
        <sz val="9"/>
        <color rgb="FF005877"/>
        <name val="Calibri"/>
        <scheme val="minor"/>
      </font>
      <fill>
        <patternFill patternType="solid">
          <fgColor indexed="64"/>
          <bgColor theme="7" tint="0.59999389629810485"/>
        </patternFill>
      </fill>
      <alignment horizontal="left" vertical="center" textRotation="0" wrapText="1" indent="0" justifyLastLine="0" shrinkToFit="0" readingOrder="0"/>
      <protection locked="0" hidden="0"/>
    </dxf>
    <dxf>
      <font>
        <b val="0"/>
        <i val="0"/>
        <strike val="0"/>
        <condense val="0"/>
        <extend val="0"/>
        <outline val="0"/>
        <shadow val="0"/>
        <u val="none"/>
        <vertAlign val="baseline"/>
        <sz val="9"/>
        <color rgb="FF005877"/>
        <name val="Calibri"/>
        <scheme val="minor"/>
      </font>
      <fill>
        <patternFill patternType="solid">
          <fgColor indexed="64"/>
          <bgColor theme="7" tint="0.39997558519241921"/>
        </patternFill>
      </fill>
      <alignment horizontal="left" vertical="center" textRotation="0" wrapText="0" indent="0" justifyLastLine="0" shrinkToFit="0" readingOrder="0"/>
      <protection locked="0" hidden="0"/>
    </dxf>
    <dxf>
      <font>
        <b val="0"/>
        <i val="0"/>
        <strike val="0"/>
        <condense val="0"/>
        <extend val="0"/>
        <outline val="0"/>
        <shadow val="0"/>
        <u val="none"/>
        <vertAlign val="baseline"/>
        <sz val="9"/>
        <color rgb="FF005877"/>
        <name val="Calibri"/>
        <scheme val="minor"/>
      </font>
      <fill>
        <patternFill patternType="solid">
          <fgColor indexed="64"/>
          <bgColor rgb="FFFFC000"/>
        </patternFill>
      </fill>
      <alignment horizontal="left" vertical="center" textRotation="0" wrapText="1" indent="1" justifyLastLine="0" shrinkToFit="0" readingOrder="0"/>
      <protection locked="0" hidden="0"/>
    </dxf>
    <dxf>
      <font>
        <b val="0"/>
        <i val="0"/>
        <strike val="0"/>
        <condense val="0"/>
        <extend val="0"/>
        <outline val="0"/>
        <shadow val="0"/>
        <u val="none"/>
        <vertAlign val="baseline"/>
        <sz val="9"/>
        <color theme="0"/>
        <name val="Calibri"/>
        <scheme val="minor"/>
      </font>
      <fill>
        <patternFill patternType="solid">
          <fgColor indexed="64"/>
          <bgColor rgb="FFE87B00"/>
        </patternFill>
      </fill>
      <alignment horizontal="left" vertical="center" textRotation="0" wrapText="1" indent="0" justifyLastLine="0" shrinkToFit="0" readingOrder="0"/>
      <protection locked="0" hidden="0"/>
    </dxf>
    <dxf>
      <font>
        <b val="0"/>
        <i val="0"/>
        <strike val="0"/>
        <condense val="0"/>
        <extend val="0"/>
        <outline val="0"/>
        <shadow val="0"/>
        <u val="none"/>
        <vertAlign val="baseline"/>
        <sz val="9"/>
        <color rgb="FF005877"/>
        <name val="Calibri"/>
        <scheme val="minor"/>
      </font>
      <fill>
        <patternFill patternType="solid">
          <fgColor indexed="64"/>
          <bgColor theme="0"/>
        </patternFill>
      </fill>
      <alignment horizontal="general" vertical="center" textRotation="0" wrapText="0" indent="0" justifyLastLine="0" shrinkToFit="0" readingOrder="0"/>
      <protection locked="0" hidden="0"/>
    </dxf>
    <dxf>
      <font>
        <b val="0"/>
        <i val="0"/>
        <strike val="0"/>
        <condense val="0"/>
        <extend val="0"/>
        <outline val="0"/>
        <shadow val="0"/>
        <u val="none"/>
        <vertAlign val="baseline"/>
        <sz val="9"/>
        <color rgb="FF005877"/>
        <name val="Calibri"/>
        <scheme val="minor"/>
      </font>
      <fill>
        <patternFill patternType="solid">
          <fgColor indexed="64"/>
          <bgColor rgb="FFFFFF00"/>
        </patternFill>
      </fill>
      <alignment horizontal="center" vertical="center" textRotation="0" wrapText="0" indent="0" justifyLastLine="0" shrinkToFit="0" readingOrder="0"/>
      <protection locked="0" hidden="0"/>
    </dxf>
    <dxf>
      <font>
        <b val="0"/>
        <i val="0"/>
        <strike val="0"/>
        <condense val="0"/>
        <extend val="0"/>
        <outline val="0"/>
        <shadow val="0"/>
        <u val="none"/>
        <vertAlign val="baseline"/>
        <sz val="9"/>
        <color rgb="FF005877"/>
        <name val="Calibri"/>
        <scheme val="minor"/>
      </font>
      <fill>
        <patternFill patternType="solid">
          <fgColor indexed="64"/>
          <bgColor rgb="FFFFFF00"/>
        </patternFill>
      </fill>
      <alignment horizontal="center" vertical="center" textRotation="0" wrapText="0" indent="0" justifyLastLine="0" shrinkToFit="0" readingOrder="0"/>
      <protection locked="0" hidden="0"/>
    </dxf>
    <dxf>
      <font>
        <b/>
        <i val="0"/>
        <strike val="0"/>
        <condense val="0"/>
        <extend val="0"/>
        <outline val="0"/>
        <shadow val="0"/>
        <u val="none"/>
        <vertAlign val="baseline"/>
        <sz val="9"/>
        <color rgb="FF005877"/>
        <name val="Calibri"/>
        <scheme val="minor"/>
      </font>
      <numFmt numFmtId="0" formatCode="General"/>
      <fill>
        <patternFill patternType="solid">
          <fgColor indexed="64"/>
          <bgColor theme="0" tint="-0.249977111117893"/>
        </patternFill>
      </fill>
      <alignment horizontal="left" vertical="center" textRotation="0" wrapText="0" indent="0" justifyLastLine="0" shrinkToFit="0" readingOrder="0"/>
      <protection locked="0" hidden="0"/>
    </dxf>
    <dxf>
      <font>
        <b val="0"/>
        <i val="0"/>
        <strike val="0"/>
        <condense val="0"/>
        <extend val="0"/>
        <outline val="0"/>
        <shadow val="0"/>
        <u val="none"/>
        <vertAlign val="baseline"/>
        <sz val="9"/>
        <color rgb="FF005877"/>
        <name val="Calibri"/>
        <scheme val="minor"/>
      </font>
      <numFmt numFmtId="0" formatCode="General"/>
      <fill>
        <patternFill patternType="solid">
          <fgColor indexed="64"/>
          <bgColor theme="0" tint="-0.249977111117893"/>
        </patternFill>
      </fill>
      <alignment horizontal="left" vertical="center" textRotation="0" wrapText="0" indent="0" justifyLastLine="0" shrinkToFit="0" readingOrder="0"/>
      <protection locked="1" hidden="0"/>
    </dxf>
    <dxf>
      <font>
        <b/>
        <i val="0"/>
        <strike val="0"/>
        <condense val="0"/>
        <extend val="0"/>
        <outline val="0"/>
        <shadow val="0"/>
        <u val="none"/>
        <vertAlign val="baseline"/>
        <sz val="9"/>
        <color rgb="FF005877"/>
        <name val="Calibri"/>
        <scheme val="minor"/>
      </font>
      <numFmt numFmtId="0" formatCode="General"/>
      <fill>
        <patternFill patternType="solid">
          <fgColor indexed="64"/>
          <bgColor theme="0" tint="-0.249977111117893"/>
        </patternFill>
      </fill>
      <alignment horizontal="left" vertical="center" textRotation="0" wrapText="0" indent="0" justifyLastLine="0" shrinkToFit="0" readingOrder="0"/>
      <protection locked="1" hidden="0"/>
    </dxf>
    <dxf>
      <border outline="0">
        <top style="thick">
          <color rgb="FF005877"/>
        </top>
      </border>
    </dxf>
    <dxf>
      <fill>
        <patternFill>
          <bgColor theme="0" tint="-4.9989318521683403E-2"/>
        </patternFill>
      </fill>
    </dxf>
    <dxf>
      <fill>
        <patternFill>
          <bgColor theme="0" tint="-4.9989318521683403E-2"/>
        </patternFill>
      </fill>
    </dxf>
    <dxf>
      <fill>
        <patternFill>
          <bgColor theme="0" tint="-0.14996795556505021"/>
        </patternFill>
      </fill>
    </dxf>
    <dxf>
      <fill>
        <patternFill>
          <bgColor theme="0" tint="-4.9989318521683403E-2"/>
        </patternFill>
      </fill>
    </dxf>
    <dxf>
      <fill>
        <patternFill>
          <bgColor theme="0" tint="-0.14996795556505021"/>
        </patternFill>
      </fill>
    </dxf>
    <dxf>
      <fill>
        <patternFill>
          <bgColor theme="0" tint="-4.9989318521683403E-2"/>
        </patternFill>
      </fill>
    </dxf>
    <dxf>
      <fill>
        <patternFill>
          <bgColor theme="0" tint="-0.14996795556505021"/>
        </patternFill>
      </fill>
    </dxf>
    <dxf>
      <fill>
        <patternFill>
          <bgColor theme="0" tint="-4.9989318521683403E-2"/>
        </patternFill>
      </fill>
    </dxf>
    <dxf>
      <fill>
        <patternFill>
          <bgColor theme="0" tint="-0.14996795556505021"/>
        </patternFill>
      </fill>
    </dxf>
    <dxf>
      <fill>
        <patternFill>
          <bgColor theme="0" tint="-4.9989318521683403E-2"/>
        </patternFill>
      </fill>
    </dxf>
    <dxf>
      <fill>
        <patternFill>
          <bgColor theme="0" tint="-0.14996795556505021"/>
        </patternFill>
      </fill>
    </dxf>
    <dxf>
      <fill>
        <patternFill>
          <bgColor theme="0" tint="-4.9989318521683403E-2"/>
        </patternFill>
      </fill>
    </dxf>
    <dxf>
      <border>
        <left style="thin">
          <color rgb="FF005877"/>
        </left>
        <vertical/>
        <horizontal/>
      </border>
    </dxf>
    <dxf>
      <fill>
        <patternFill>
          <bgColor theme="0"/>
        </patternFill>
      </fill>
    </dxf>
    <dxf>
      <font>
        <color theme="0" tint="-0.14996795556505021"/>
      </font>
      <fill>
        <patternFill>
          <bgColor theme="0" tint="-0.14996795556505021"/>
        </patternFill>
      </fill>
      <border>
        <left/>
        <right/>
        <top/>
        <bottom/>
      </border>
    </dxf>
    <dxf>
      <font>
        <b/>
        <i val="0"/>
        <color rgb="FFFF0000"/>
      </font>
      <fill>
        <patternFill>
          <bgColor rgb="FFFFFF00"/>
        </patternFill>
      </fill>
    </dxf>
    <dxf>
      <font>
        <b/>
        <i val="0"/>
        <color rgb="FFFF0000"/>
      </font>
      <fill>
        <patternFill>
          <bgColor rgb="FFFFFF00"/>
        </patternFill>
      </fill>
    </dxf>
    <dxf>
      <font>
        <b/>
        <i val="0"/>
        <color theme="0"/>
      </font>
      <fill>
        <patternFill>
          <fgColor rgb="FFE87B00"/>
          <bgColor rgb="FFE87B00"/>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b val="0"/>
        <i val="0"/>
        <strike val="0"/>
        <condense val="0"/>
        <extend val="0"/>
        <outline val="0"/>
        <shadow val="0"/>
        <u val="none"/>
        <vertAlign val="baseline"/>
        <sz val="9"/>
        <color rgb="FF005877"/>
        <name val="Calibri"/>
        <scheme val="minor"/>
      </font>
      <fill>
        <patternFill patternType="solid">
          <fgColor indexed="64"/>
          <bgColor theme="7" tint="0.79998168889431442"/>
        </patternFill>
      </fill>
      <alignment horizontal="center" vertical="center" textRotation="0" wrapText="1" indent="0" justifyLastLine="0" shrinkToFit="0" readingOrder="0"/>
      <protection locked="0" hidden="0"/>
    </dxf>
    <dxf>
      <font>
        <b val="0"/>
        <i val="0"/>
        <strike val="0"/>
        <condense val="0"/>
        <extend val="0"/>
        <outline val="0"/>
        <shadow val="0"/>
        <u val="none"/>
        <vertAlign val="baseline"/>
        <sz val="11"/>
        <color rgb="FF005877"/>
        <name val="Calibri"/>
        <scheme val="minor"/>
      </font>
      <fill>
        <patternFill patternType="solid">
          <fgColor indexed="64"/>
          <bgColor theme="4" tint="0.79998168889431442"/>
        </patternFill>
      </fill>
      <alignment horizontal="left" vertical="center" textRotation="0" wrapText="0" indent="0" justifyLastLine="0" shrinkToFit="0" readingOrder="0"/>
      <protection locked="0" hidden="0"/>
    </dxf>
    <dxf>
      <font>
        <b val="0"/>
        <i val="0"/>
        <strike val="0"/>
        <condense val="0"/>
        <extend val="0"/>
        <outline val="0"/>
        <shadow val="0"/>
        <u val="none"/>
        <vertAlign val="baseline"/>
        <sz val="11"/>
        <color rgb="FF005877"/>
        <name val="Calibri"/>
        <scheme val="minor"/>
      </font>
      <fill>
        <patternFill patternType="solid">
          <fgColor indexed="64"/>
          <bgColor theme="4" tint="0.59999389629810485"/>
        </patternFill>
      </fill>
      <alignment horizontal="left" vertical="center" textRotation="0" wrapText="0" indent="0" justifyLastLine="0" shrinkToFit="0" readingOrder="0"/>
      <protection locked="0" hidden="0"/>
    </dxf>
    <dxf>
      <font>
        <b val="0"/>
        <i val="0"/>
        <strike val="0"/>
        <condense val="0"/>
        <extend val="0"/>
        <outline val="0"/>
        <shadow val="0"/>
        <u val="none"/>
        <vertAlign val="baseline"/>
        <sz val="11"/>
        <color rgb="FF005877"/>
        <name val="Calibri"/>
        <scheme val="minor"/>
      </font>
      <fill>
        <patternFill patternType="solid">
          <fgColor indexed="64"/>
          <bgColor theme="4" tint="0.39997558519241921"/>
        </patternFill>
      </fill>
      <alignment horizontal="left" vertical="center" textRotation="0" wrapText="0" indent="0" justifyLastLine="0" shrinkToFit="0" readingOrder="0"/>
      <protection locked="0" hidden="0"/>
    </dxf>
    <dxf>
      <font>
        <b val="0"/>
        <i val="0"/>
        <strike val="0"/>
        <condense val="0"/>
        <extend val="0"/>
        <outline val="0"/>
        <shadow val="0"/>
        <u val="none"/>
        <vertAlign val="baseline"/>
        <sz val="11"/>
        <color rgb="FF005877"/>
        <name val="Calibri"/>
        <scheme val="minor"/>
      </font>
      <fill>
        <patternFill patternType="solid">
          <fgColor indexed="64"/>
          <bgColor theme="4" tint="-0.249977111117893"/>
        </patternFill>
      </fill>
      <alignment horizontal="left" vertical="center" textRotation="0" wrapText="0" indent="0" justifyLastLine="0" shrinkToFit="0" readingOrder="0"/>
      <protection locked="0" hidden="0"/>
    </dxf>
    <dxf>
      <font>
        <b val="0"/>
        <i val="0"/>
        <strike val="0"/>
        <condense val="0"/>
        <extend val="0"/>
        <outline val="0"/>
        <shadow val="0"/>
        <u val="none"/>
        <vertAlign val="baseline"/>
        <sz val="11"/>
        <color rgb="FF005877"/>
        <name val="Calibri"/>
        <scheme val="minor"/>
      </font>
      <fill>
        <patternFill patternType="solid">
          <fgColor indexed="64"/>
          <bgColor theme="7" tint="0.39997558519241921"/>
        </patternFill>
      </fill>
      <alignment horizontal="left" vertical="center" textRotation="0" wrapText="1" indent="0" justifyLastLine="0" shrinkToFit="0" readingOrder="0"/>
      <protection locked="0" hidden="0"/>
    </dxf>
    <dxf>
      <font>
        <b val="0"/>
        <i val="0"/>
        <strike val="0"/>
        <condense val="0"/>
        <extend val="0"/>
        <outline val="0"/>
        <shadow val="0"/>
        <u val="none"/>
        <vertAlign val="baseline"/>
        <sz val="11"/>
        <color rgb="FF005877"/>
        <name val="Calibri"/>
        <scheme val="minor"/>
      </font>
      <fill>
        <patternFill patternType="solid">
          <fgColor indexed="64"/>
          <bgColor theme="7" tint="0.39997558519241921"/>
        </patternFill>
      </fill>
      <alignment horizontal="left" vertical="center" textRotation="0" wrapText="1" indent="0" justifyLastLine="0" shrinkToFit="0" readingOrder="0"/>
      <protection locked="0" hidden="0"/>
    </dxf>
    <dxf>
      <font>
        <b val="0"/>
        <i val="0"/>
        <strike val="0"/>
        <condense val="0"/>
        <extend val="0"/>
        <outline val="0"/>
        <shadow val="0"/>
        <u val="none"/>
        <vertAlign val="baseline"/>
        <sz val="11"/>
        <color rgb="FF005877"/>
        <name val="Calibri"/>
        <scheme val="minor"/>
      </font>
      <fill>
        <patternFill patternType="solid">
          <fgColor indexed="64"/>
          <bgColor rgb="FFFFC000"/>
        </patternFill>
      </fill>
      <alignment horizontal="left" vertical="center" textRotation="0" wrapText="1" indent="0" justifyLastLine="0" shrinkToFit="0" readingOrder="0"/>
      <protection locked="0" hidden="0"/>
    </dxf>
    <dxf>
      <font>
        <b val="0"/>
        <i val="0"/>
        <strike val="0"/>
        <condense val="0"/>
        <extend val="0"/>
        <outline val="0"/>
        <shadow val="0"/>
        <u val="none"/>
        <vertAlign val="baseline"/>
        <sz val="11"/>
        <color rgb="FF005877"/>
        <name val="Calibri"/>
        <scheme val="minor"/>
      </font>
      <fill>
        <patternFill patternType="solid">
          <fgColor indexed="64"/>
          <bgColor rgb="FFFFC000"/>
        </patternFill>
      </fill>
      <alignment horizontal="left" vertical="center" textRotation="0" wrapText="1" indent="0" justifyLastLine="0" shrinkToFit="0" readingOrder="0"/>
      <protection locked="0" hidden="0"/>
    </dxf>
    <dxf>
      <font>
        <b val="0"/>
        <i val="0"/>
        <strike val="0"/>
        <condense val="0"/>
        <extend val="0"/>
        <outline val="0"/>
        <shadow val="0"/>
        <u val="none"/>
        <vertAlign val="baseline"/>
        <sz val="11"/>
        <color rgb="FF005877"/>
        <name val="Calibri"/>
        <scheme val="minor"/>
      </font>
      <fill>
        <patternFill patternType="solid">
          <fgColor indexed="64"/>
          <bgColor theme="7" tint="0.39997558519241921"/>
        </patternFill>
      </fill>
      <alignment horizontal="left" vertical="center" textRotation="0" wrapText="1" indent="0" justifyLastLine="0" shrinkToFit="0" readingOrder="0"/>
      <protection locked="0" hidden="0"/>
    </dxf>
    <dxf>
      <font>
        <b val="0"/>
        <i val="0"/>
        <strike val="0"/>
        <condense val="0"/>
        <extend val="0"/>
        <outline val="0"/>
        <shadow val="0"/>
        <u val="none"/>
        <vertAlign val="baseline"/>
        <sz val="11"/>
        <color rgb="FF005877"/>
        <name val="Calibri"/>
        <scheme val="minor"/>
      </font>
      <fill>
        <patternFill patternType="solid">
          <fgColor indexed="64"/>
          <bgColor theme="7" tint="0.39997558519241921"/>
        </patternFill>
      </fill>
      <alignment horizontal="left" vertical="center" textRotation="0" wrapText="1" indent="0" justifyLastLine="0" shrinkToFit="0" readingOrder="0"/>
      <protection locked="0" hidden="0"/>
    </dxf>
    <dxf>
      <font>
        <b val="0"/>
        <i val="0"/>
        <strike val="0"/>
        <condense val="0"/>
        <extend val="0"/>
        <outline val="0"/>
        <shadow val="0"/>
        <u val="none"/>
        <vertAlign val="baseline"/>
        <sz val="11"/>
        <color rgb="FF005877"/>
        <name val="Calibri"/>
        <scheme val="minor"/>
      </font>
      <fill>
        <patternFill patternType="solid">
          <fgColor indexed="64"/>
          <bgColor rgb="FFFFC000"/>
        </patternFill>
      </fill>
      <alignment horizontal="left" vertical="center" textRotation="0" wrapText="1" indent="0" justifyLastLine="0" shrinkToFit="0" readingOrder="0"/>
      <protection locked="0" hidden="0"/>
    </dxf>
    <dxf>
      <font>
        <b val="0"/>
        <i val="0"/>
        <strike val="0"/>
        <condense val="0"/>
        <extend val="0"/>
        <outline val="0"/>
        <shadow val="0"/>
        <u val="none"/>
        <vertAlign val="baseline"/>
        <sz val="11"/>
        <color rgb="FF005877"/>
        <name val="Calibri"/>
        <scheme val="minor"/>
      </font>
      <fill>
        <patternFill patternType="solid">
          <fgColor indexed="64"/>
          <bgColor rgb="FFFFC000"/>
        </patternFill>
      </fill>
      <alignment horizontal="left" vertical="center" textRotation="0" wrapText="1" indent="0" justifyLastLine="0" shrinkToFit="0" readingOrder="0"/>
      <protection locked="0" hidden="0"/>
    </dxf>
    <dxf>
      <font>
        <b val="0"/>
        <i val="0"/>
        <strike val="0"/>
        <condense val="0"/>
        <extend val="0"/>
        <outline val="0"/>
        <shadow val="0"/>
        <u val="none"/>
        <vertAlign val="baseline"/>
        <sz val="11"/>
        <color rgb="FF005877"/>
        <name val="Calibri"/>
        <scheme val="minor"/>
      </font>
      <fill>
        <patternFill patternType="solid">
          <fgColor indexed="64"/>
          <bgColor theme="7" tint="0.39997558519241921"/>
        </patternFill>
      </fill>
      <alignment horizontal="left" vertical="center" textRotation="0" wrapText="1" indent="0" justifyLastLine="0" shrinkToFit="0" readingOrder="0"/>
      <protection locked="0" hidden="0"/>
    </dxf>
    <dxf>
      <font>
        <b val="0"/>
        <i val="0"/>
        <strike val="0"/>
        <condense val="0"/>
        <extend val="0"/>
        <outline val="0"/>
        <shadow val="0"/>
        <u val="none"/>
        <vertAlign val="baseline"/>
        <sz val="11"/>
        <color rgb="FF005877"/>
        <name val="Calibri"/>
        <scheme val="minor"/>
      </font>
      <fill>
        <patternFill patternType="solid">
          <fgColor indexed="64"/>
          <bgColor theme="7" tint="0.39997558519241921"/>
        </patternFill>
      </fill>
      <alignment horizontal="left" vertical="center" textRotation="0" wrapText="1" indent="0" justifyLastLine="0" shrinkToFit="0" readingOrder="0"/>
      <protection locked="0" hidden="0"/>
    </dxf>
    <dxf>
      <font>
        <b val="0"/>
        <i val="0"/>
        <strike val="0"/>
        <condense val="0"/>
        <extend val="0"/>
        <outline val="0"/>
        <shadow val="0"/>
        <u val="none"/>
        <vertAlign val="baseline"/>
        <sz val="11"/>
        <color rgb="FF005877"/>
        <name val="Calibri"/>
        <scheme val="minor"/>
      </font>
      <fill>
        <patternFill patternType="solid">
          <fgColor indexed="64"/>
          <bgColor rgb="FFFFC000"/>
        </patternFill>
      </fill>
      <alignment horizontal="left" vertical="center" textRotation="0" wrapText="1" indent="0" justifyLastLine="0" shrinkToFit="0" readingOrder="0"/>
      <protection locked="0" hidden="0"/>
    </dxf>
    <dxf>
      <font>
        <b val="0"/>
        <i val="0"/>
        <strike val="0"/>
        <condense val="0"/>
        <extend val="0"/>
        <outline val="0"/>
        <shadow val="0"/>
        <u val="none"/>
        <vertAlign val="baseline"/>
        <sz val="11"/>
        <color rgb="FF005877"/>
        <name val="Calibri"/>
        <scheme val="minor"/>
      </font>
      <fill>
        <patternFill patternType="solid">
          <fgColor indexed="64"/>
          <bgColor rgb="FFFFC000"/>
        </patternFill>
      </fill>
      <alignment horizontal="left" vertical="center" textRotation="0" wrapText="1" indent="0" justifyLastLine="0" shrinkToFit="0" readingOrder="0"/>
      <protection locked="0" hidden="0"/>
    </dxf>
    <dxf>
      <font>
        <b val="0"/>
        <i val="0"/>
        <strike val="0"/>
        <condense val="0"/>
        <extend val="0"/>
        <outline val="0"/>
        <shadow val="0"/>
        <u val="none"/>
        <vertAlign val="baseline"/>
        <sz val="11"/>
        <color rgb="FF005877"/>
        <name val="Calibri"/>
        <scheme val="minor"/>
      </font>
      <fill>
        <patternFill patternType="solid">
          <fgColor indexed="64"/>
          <bgColor theme="7" tint="0.39997558519241921"/>
        </patternFill>
      </fill>
      <alignment horizontal="left" vertical="center" textRotation="0" wrapText="1" indent="0" justifyLastLine="0" shrinkToFit="0" readingOrder="0"/>
      <protection locked="0" hidden="0"/>
    </dxf>
    <dxf>
      <font>
        <b val="0"/>
        <i val="0"/>
        <strike val="0"/>
        <condense val="0"/>
        <extend val="0"/>
        <outline val="0"/>
        <shadow val="0"/>
        <u val="none"/>
        <vertAlign val="baseline"/>
        <sz val="11"/>
        <color rgb="FF005877"/>
        <name val="Calibri"/>
        <scheme val="minor"/>
      </font>
      <fill>
        <patternFill patternType="solid">
          <fgColor indexed="64"/>
          <bgColor theme="7" tint="0.39997558519241921"/>
        </patternFill>
      </fill>
      <alignment horizontal="left" vertical="center" textRotation="0" wrapText="1" indent="0" justifyLastLine="0" shrinkToFit="0" readingOrder="0"/>
      <protection locked="0" hidden="0"/>
    </dxf>
    <dxf>
      <font>
        <b val="0"/>
        <i val="0"/>
        <strike val="0"/>
        <condense val="0"/>
        <extend val="0"/>
        <outline val="0"/>
        <shadow val="0"/>
        <u val="none"/>
        <vertAlign val="baseline"/>
        <sz val="11"/>
        <color rgb="FF005877"/>
        <name val="Calibri"/>
        <scheme val="minor"/>
      </font>
      <fill>
        <patternFill patternType="solid">
          <fgColor indexed="64"/>
          <bgColor rgb="FFFFC000"/>
        </patternFill>
      </fill>
      <alignment horizontal="left" vertical="center" textRotation="0" wrapText="1" indent="0" justifyLastLine="0" shrinkToFit="0" readingOrder="0"/>
      <protection locked="0" hidden="0"/>
    </dxf>
    <dxf>
      <font>
        <b val="0"/>
        <i val="0"/>
        <strike val="0"/>
        <condense val="0"/>
        <extend val="0"/>
        <outline val="0"/>
        <shadow val="0"/>
        <u val="none"/>
        <vertAlign val="baseline"/>
        <sz val="11"/>
        <color rgb="FF005877"/>
        <name val="Calibri"/>
        <scheme val="minor"/>
      </font>
      <fill>
        <patternFill patternType="solid">
          <fgColor indexed="64"/>
          <bgColor rgb="FFFFC000"/>
        </patternFill>
      </fill>
      <alignment horizontal="left" vertical="center" textRotation="0" wrapText="1" indent="0" justifyLastLine="0" shrinkToFit="0" readingOrder="0"/>
      <protection locked="0" hidden="0"/>
    </dxf>
    <dxf>
      <font>
        <b val="0"/>
        <i val="0"/>
        <strike val="0"/>
        <condense val="0"/>
        <extend val="0"/>
        <outline val="0"/>
        <shadow val="0"/>
        <u val="none"/>
        <vertAlign val="baseline"/>
        <sz val="11"/>
        <color rgb="FF005877"/>
        <name val="Calibri"/>
        <scheme val="minor"/>
      </font>
      <fill>
        <patternFill patternType="solid">
          <fgColor indexed="64"/>
          <bgColor theme="7" tint="0.39997558519241921"/>
        </patternFill>
      </fill>
      <alignment horizontal="left" vertical="center" textRotation="0" wrapText="1" indent="0" justifyLastLine="0" shrinkToFit="0" readingOrder="0"/>
      <protection locked="0" hidden="0"/>
    </dxf>
    <dxf>
      <font>
        <b val="0"/>
        <i val="0"/>
        <strike val="0"/>
        <condense val="0"/>
        <extend val="0"/>
        <outline val="0"/>
        <shadow val="0"/>
        <u val="none"/>
        <vertAlign val="baseline"/>
        <sz val="11"/>
        <color rgb="FF005877"/>
        <name val="Calibri"/>
        <scheme val="minor"/>
      </font>
      <fill>
        <patternFill patternType="solid">
          <fgColor indexed="64"/>
          <bgColor theme="7" tint="0.39997558519241921"/>
        </patternFill>
      </fill>
      <alignment horizontal="left" vertical="center" textRotation="0" wrapText="1" indent="0" justifyLastLine="0" shrinkToFit="0" readingOrder="0"/>
      <protection locked="0" hidden="0"/>
    </dxf>
    <dxf>
      <font>
        <b val="0"/>
        <i val="0"/>
        <strike val="0"/>
        <condense val="0"/>
        <extend val="0"/>
        <outline val="0"/>
        <shadow val="0"/>
        <u val="none"/>
        <vertAlign val="baseline"/>
        <sz val="11"/>
        <color rgb="FF005877"/>
        <name val="Calibri"/>
        <scheme val="minor"/>
      </font>
      <fill>
        <patternFill patternType="solid">
          <fgColor indexed="64"/>
          <bgColor rgb="FFFFC000"/>
        </patternFill>
      </fill>
      <alignment horizontal="left" vertical="center" textRotation="0" wrapText="1" indent="0" justifyLastLine="0" shrinkToFit="0" readingOrder="0"/>
      <protection locked="0" hidden="0"/>
    </dxf>
    <dxf>
      <font>
        <b val="0"/>
        <i val="0"/>
        <strike val="0"/>
        <condense val="0"/>
        <extend val="0"/>
        <outline val="0"/>
        <shadow val="0"/>
        <u val="none"/>
        <vertAlign val="baseline"/>
        <sz val="11"/>
        <color rgb="FF005877"/>
        <name val="Calibri"/>
        <scheme val="minor"/>
      </font>
      <fill>
        <patternFill patternType="solid">
          <fgColor indexed="64"/>
          <bgColor rgb="FFFFC000"/>
        </patternFill>
      </fill>
      <alignment horizontal="left" vertical="center" textRotation="0" wrapText="1" indent="0" justifyLastLine="0" shrinkToFit="0" readingOrder="0"/>
      <protection locked="0" hidden="0"/>
    </dxf>
    <dxf>
      <font>
        <b val="0"/>
        <i val="0"/>
        <strike val="0"/>
        <condense val="0"/>
        <extend val="0"/>
        <outline val="0"/>
        <shadow val="0"/>
        <u val="none"/>
        <vertAlign val="baseline"/>
        <sz val="11"/>
        <color rgb="FF005877"/>
        <name val="Calibri"/>
        <scheme val="minor"/>
      </font>
      <fill>
        <patternFill patternType="solid">
          <fgColor indexed="64"/>
          <bgColor theme="7" tint="0.39997558519241921"/>
        </patternFill>
      </fill>
      <alignment horizontal="left" vertical="center" textRotation="0" wrapText="1" indent="0" justifyLastLine="0" shrinkToFit="0" readingOrder="0"/>
      <protection locked="0" hidden="0"/>
    </dxf>
    <dxf>
      <font>
        <b val="0"/>
        <i val="0"/>
        <strike val="0"/>
        <condense val="0"/>
        <extend val="0"/>
        <outline val="0"/>
        <shadow val="0"/>
        <u val="none"/>
        <vertAlign val="baseline"/>
        <sz val="11"/>
        <color rgb="FF005877"/>
        <name val="Calibri"/>
        <scheme val="minor"/>
      </font>
      <fill>
        <patternFill patternType="solid">
          <fgColor indexed="64"/>
          <bgColor theme="7" tint="0.39997558519241921"/>
        </patternFill>
      </fill>
      <alignment horizontal="left" vertical="center" textRotation="0" wrapText="1" indent="0" justifyLastLine="0" shrinkToFit="0" readingOrder="0"/>
      <protection locked="0" hidden="0"/>
    </dxf>
    <dxf>
      <font>
        <b val="0"/>
        <i val="0"/>
        <strike val="0"/>
        <condense val="0"/>
        <extend val="0"/>
        <outline val="0"/>
        <shadow val="0"/>
        <u val="none"/>
        <vertAlign val="baseline"/>
        <sz val="11"/>
        <color rgb="FF005877"/>
        <name val="Calibri"/>
        <scheme val="minor"/>
      </font>
      <fill>
        <patternFill patternType="solid">
          <fgColor indexed="64"/>
          <bgColor rgb="FFFFC000"/>
        </patternFill>
      </fill>
      <alignment horizontal="left" vertical="center" textRotation="0" wrapText="1" indent="0" justifyLastLine="0" shrinkToFit="0" readingOrder="0"/>
      <protection locked="0" hidden="0"/>
    </dxf>
    <dxf>
      <font>
        <b val="0"/>
        <i val="0"/>
        <strike val="0"/>
        <condense val="0"/>
        <extend val="0"/>
        <outline val="0"/>
        <shadow val="0"/>
        <u val="none"/>
        <vertAlign val="baseline"/>
        <sz val="11"/>
        <color rgb="FF005877"/>
        <name val="Calibri"/>
        <scheme val="minor"/>
      </font>
      <fill>
        <patternFill patternType="solid">
          <fgColor indexed="64"/>
          <bgColor rgb="FFFFC000"/>
        </patternFill>
      </fill>
      <alignment horizontal="left" vertical="center" textRotation="0" wrapText="1" indent="0" justifyLastLine="0" shrinkToFit="0" readingOrder="0"/>
      <protection locked="0" hidden="0"/>
    </dxf>
    <dxf>
      <font>
        <b/>
        <i val="0"/>
        <strike val="0"/>
        <condense val="0"/>
        <extend val="0"/>
        <outline val="0"/>
        <shadow val="0"/>
        <u val="none"/>
        <vertAlign val="baseline"/>
        <sz val="11"/>
        <color theme="0"/>
        <name val="Calibri"/>
        <scheme val="minor"/>
      </font>
      <fill>
        <patternFill patternType="solid">
          <fgColor indexed="64"/>
          <bgColor rgb="FFE87B00"/>
        </patternFill>
      </fill>
      <alignment horizontal="general" vertical="center" textRotation="0" wrapText="1" indent="0" justifyLastLine="0" shrinkToFit="0" readingOrder="0"/>
      <protection locked="0" hidden="0"/>
    </dxf>
    <dxf>
      <font>
        <b/>
        <i val="0"/>
        <strike val="0"/>
        <condense val="0"/>
        <extend val="0"/>
        <outline val="0"/>
        <shadow val="0"/>
        <u val="none"/>
        <vertAlign val="baseline"/>
        <sz val="9"/>
        <color rgb="FF005877"/>
        <name val="Calibri"/>
        <scheme val="minor"/>
      </font>
      <fill>
        <patternFill patternType="solid">
          <fgColor indexed="64"/>
          <bgColor theme="0"/>
        </patternFill>
      </fill>
      <alignment horizontal="general" vertical="center" textRotation="0" wrapText="0" indent="0" justifyLastLine="0" shrinkToFit="0" readingOrder="0"/>
      <protection locked="0" hidden="0"/>
    </dxf>
    <dxf>
      <font>
        <b val="0"/>
        <i val="0"/>
        <strike val="0"/>
        <condense val="0"/>
        <extend val="0"/>
        <outline val="0"/>
        <shadow val="0"/>
        <u val="none"/>
        <vertAlign val="baseline"/>
        <sz val="9"/>
        <color rgb="FF005877"/>
        <name val="Calibri"/>
        <scheme val="minor"/>
      </font>
      <fill>
        <patternFill patternType="solid">
          <fgColor indexed="64"/>
          <bgColor rgb="FFFFFF00"/>
        </patternFill>
      </fill>
      <alignment horizontal="center" vertical="center" textRotation="0" wrapText="0" indent="0" justifyLastLine="0" shrinkToFit="0" readingOrder="0"/>
    </dxf>
    <dxf>
      <font>
        <b val="0"/>
        <i val="0"/>
        <strike val="0"/>
        <condense val="0"/>
        <extend val="0"/>
        <outline val="0"/>
        <shadow val="0"/>
        <u val="none"/>
        <vertAlign val="baseline"/>
        <sz val="9"/>
        <color rgb="FF005877"/>
        <name val="Calibri"/>
        <scheme val="minor"/>
      </font>
      <fill>
        <patternFill patternType="solid">
          <fgColor indexed="64"/>
          <bgColor rgb="FFFFFF00"/>
        </patternFill>
      </fill>
      <alignment horizontal="center" vertical="center" textRotation="0" wrapText="0" indent="0" justifyLastLine="0" shrinkToFit="0" readingOrder="0"/>
    </dxf>
    <dxf>
      <font>
        <b val="0"/>
        <i val="0"/>
        <strike val="0"/>
        <condense val="0"/>
        <extend val="0"/>
        <outline val="0"/>
        <shadow val="0"/>
        <u val="none"/>
        <vertAlign val="baseline"/>
        <sz val="9"/>
        <color theme="0"/>
        <name val="Calibri"/>
        <scheme val="minor"/>
      </font>
      <fill>
        <patternFill patternType="solid">
          <fgColor indexed="64"/>
          <bgColor rgb="FFE87B00"/>
        </patternFill>
      </fill>
      <alignment horizontal="center" vertical="center" textRotation="0" wrapText="0" indent="0" justifyLastLine="0" shrinkToFit="0" readingOrder="0"/>
    </dxf>
    <dxf>
      <font>
        <b/>
        <i val="0"/>
        <strike val="0"/>
        <condense val="0"/>
        <extend val="0"/>
        <outline val="0"/>
        <shadow val="0"/>
        <u val="none"/>
        <vertAlign val="baseline"/>
        <sz val="11"/>
        <color rgb="FF005877"/>
        <name val="Calibri"/>
        <scheme val="minor"/>
      </font>
      <fill>
        <patternFill patternType="solid">
          <fgColor indexed="64"/>
          <bgColor theme="0" tint="-0.249977111117893"/>
        </patternFill>
      </fill>
      <alignment horizontal="center" vertical="center" textRotation="0" wrapText="0" indent="0" justifyLastLine="0" shrinkToFit="0" readingOrder="0"/>
    </dxf>
    <dxf>
      <font>
        <b/>
        <i val="0"/>
        <strike val="0"/>
        <condense val="0"/>
        <extend val="0"/>
        <outline val="0"/>
        <shadow val="0"/>
        <u val="none"/>
        <vertAlign val="baseline"/>
        <sz val="9"/>
        <color rgb="FF005877"/>
        <name val="Calibri"/>
        <scheme val="minor"/>
      </font>
      <numFmt numFmtId="0" formatCode="General"/>
      <fill>
        <patternFill patternType="solid">
          <fgColor indexed="64"/>
          <bgColor theme="0" tint="-0.249977111117893"/>
        </patternFill>
      </fill>
      <alignment horizontal="left" vertical="center" textRotation="0" wrapText="0" indent="0" justifyLastLine="0" shrinkToFit="0" readingOrder="0"/>
    </dxf>
    <dxf>
      <border outline="0">
        <top style="thick">
          <color rgb="FF005877"/>
        </top>
        <bottom style="medium">
          <color theme="1"/>
        </bottom>
      </border>
    </dxf>
    <dxf>
      <fill>
        <patternFill>
          <bgColor theme="0" tint="-0.14996795556505021"/>
        </patternFill>
      </fill>
    </dxf>
    <dxf>
      <fill>
        <patternFill>
          <bgColor theme="0" tint="-4.9989318521683403E-2"/>
        </patternFill>
      </fill>
    </dxf>
    <dxf>
      <fill>
        <patternFill>
          <bgColor theme="0" tint="-4.9989318521683403E-2"/>
        </patternFill>
      </fill>
    </dxf>
    <dxf>
      <fill>
        <patternFill>
          <bgColor theme="0" tint="-4.9989318521683403E-2"/>
        </patternFill>
      </fill>
    </dxf>
    <dxf>
      <fill>
        <patternFill>
          <bgColor theme="0" tint="-0.14996795556505021"/>
        </patternFill>
      </fill>
    </dxf>
    <dxf>
      <fill>
        <patternFill>
          <bgColor theme="0" tint="-4.9989318521683403E-2"/>
        </patternFill>
      </fill>
    </dxf>
    <dxf>
      <fill>
        <patternFill>
          <bgColor theme="0" tint="-0.14996795556505021"/>
        </patternFill>
      </fill>
    </dxf>
    <dxf>
      <fill>
        <patternFill>
          <bgColor theme="0" tint="-4.9989318521683403E-2"/>
        </patternFill>
      </fill>
    </dxf>
    <dxf>
      <fill>
        <patternFill>
          <bgColor theme="0" tint="-4.9989318521683403E-2"/>
        </patternFill>
      </fill>
    </dxf>
    <dxf>
      <fill>
        <patternFill>
          <bgColor theme="0" tint="-4.9989318521683403E-2"/>
        </patternFill>
      </fill>
    </dxf>
    <dxf>
      <fill>
        <patternFill>
          <bgColor theme="0"/>
        </patternFill>
      </fill>
    </dxf>
    <dxf>
      <font>
        <b val="0"/>
        <i val="0"/>
        <strike val="0"/>
        <condense val="0"/>
        <extend val="0"/>
        <outline val="0"/>
        <shadow val="0"/>
        <u val="none"/>
        <vertAlign val="baseline"/>
        <sz val="9"/>
        <color rgb="FF005877"/>
        <name val="Calibri"/>
        <scheme val="minor"/>
      </font>
      <fill>
        <patternFill patternType="solid">
          <fgColor indexed="64"/>
          <bgColor theme="7" tint="0.79998168889431442"/>
        </patternFill>
      </fill>
      <alignment horizontal="left" vertical="center" textRotation="0" wrapText="1" indent="0" justifyLastLine="0" shrinkToFit="0" readingOrder="0"/>
      <protection locked="0" hidden="0"/>
    </dxf>
    <dxf>
      <font>
        <b val="0"/>
        <i val="0"/>
        <strike val="0"/>
        <condense val="0"/>
        <extend val="0"/>
        <outline val="0"/>
        <shadow val="0"/>
        <u val="none"/>
        <vertAlign val="baseline"/>
        <sz val="9"/>
        <color rgb="FF005877"/>
        <name val="Calibri"/>
        <scheme val="minor"/>
      </font>
      <fill>
        <patternFill patternType="solid">
          <fgColor indexed="64"/>
          <bgColor theme="4" tint="0.79998168889431442"/>
        </patternFill>
      </fill>
      <alignment horizontal="left" vertical="center" textRotation="0" wrapText="0" indent="0" justifyLastLine="0" shrinkToFit="0" readingOrder="0"/>
      <protection locked="0" hidden="0"/>
    </dxf>
    <dxf>
      <font>
        <b val="0"/>
        <i val="0"/>
        <strike val="0"/>
        <condense val="0"/>
        <extend val="0"/>
        <outline val="0"/>
        <shadow val="0"/>
        <u val="none"/>
        <vertAlign val="baseline"/>
        <sz val="9"/>
        <color rgb="FF005877"/>
        <name val="Calibri"/>
        <scheme val="minor"/>
      </font>
      <fill>
        <patternFill patternType="solid">
          <fgColor indexed="64"/>
          <bgColor theme="4" tint="0.59999389629810485"/>
        </patternFill>
      </fill>
      <alignment horizontal="left" vertical="center" textRotation="0" wrapText="0" indent="0" justifyLastLine="0" shrinkToFit="0" readingOrder="0"/>
      <protection locked="0" hidden="0"/>
    </dxf>
    <dxf>
      <font>
        <b val="0"/>
        <i val="0"/>
        <strike val="0"/>
        <condense val="0"/>
        <extend val="0"/>
        <outline val="0"/>
        <shadow val="0"/>
        <u val="none"/>
        <vertAlign val="baseline"/>
        <sz val="9"/>
        <color rgb="FF005877"/>
        <name val="Calibri"/>
        <scheme val="minor"/>
      </font>
      <fill>
        <patternFill patternType="solid">
          <fgColor indexed="64"/>
          <bgColor theme="4" tint="0.39997558519241921"/>
        </patternFill>
      </fill>
      <alignment horizontal="left" vertical="center" textRotation="0" wrapText="0" indent="0" justifyLastLine="0" shrinkToFit="0" readingOrder="0"/>
      <protection locked="0" hidden="0"/>
    </dxf>
    <dxf>
      <font>
        <b val="0"/>
        <i val="0"/>
        <strike val="0"/>
        <condense val="0"/>
        <extend val="0"/>
        <outline val="0"/>
        <shadow val="0"/>
        <u val="none"/>
        <vertAlign val="baseline"/>
        <sz val="9"/>
        <color rgb="FF005877"/>
        <name val="Calibri"/>
        <scheme val="minor"/>
      </font>
      <fill>
        <patternFill patternType="solid">
          <fgColor indexed="64"/>
          <bgColor theme="4" tint="-0.249977111117893"/>
        </patternFill>
      </fill>
      <alignment horizontal="left" vertical="center" textRotation="0" wrapText="0" indent="0" justifyLastLine="0" shrinkToFit="0" readingOrder="0"/>
      <protection locked="0" hidden="0"/>
    </dxf>
    <dxf>
      <font>
        <b val="0"/>
        <i val="0"/>
        <strike val="0"/>
        <condense val="0"/>
        <extend val="0"/>
        <outline val="0"/>
        <shadow val="0"/>
        <u val="none"/>
        <vertAlign val="baseline"/>
        <sz val="9"/>
        <color rgb="FF005877"/>
        <name val="Calibri"/>
        <scheme val="minor"/>
      </font>
      <fill>
        <patternFill patternType="solid">
          <fgColor indexed="64"/>
          <bgColor theme="7" tint="0.39997558519241921"/>
        </patternFill>
      </fill>
      <alignment horizontal="left" vertical="center" textRotation="0" wrapText="0" indent="0" justifyLastLine="0" shrinkToFit="0" readingOrder="0"/>
      <protection locked="0" hidden="0"/>
    </dxf>
    <dxf>
      <font>
        <b val="0"/>
        <i val="0"/>
        <strike val="0"/>
        <condense val="0"/>
        <extend val="0"/>
        <outline val="0"/>
        <shadow val="0"/>
        <u val="none"/>
        <vertAlign val="baseline"/>
        <sz val="9"/>
        <color rgb="FF005877"/>
        <name val="Calibri"/>
        <scheme val="minor"/>
      </font>
      <fill>
        <patternFill patternType="solid">
          <fgColor indexed="64"/>
          <bgColor theme="7" tint="0.39997558519241921"/>
        </patternFill>
      </fill>
      <alignment horizontal="left" vertical="center" textRotation="0" wrapText="0" indent="0" justifyLastLine="0" shrinkToFit="0" readingOrder="0"/>
      <protection locked="0" hidden="0"/>
    </dxf>
    <dxf>
      <font>
        <b val="0"/>
        <i val="0"/>
        <strike val="0"/>
        <condense val="0"/>
        <extend val="0"/>
        <outline val="0"/>
        <shadow val="0"/>
        <u val="none"/>
        <vertAlign val="baseline"/>
        <sz val="9"/>
        <color rgb="FF005877"/>
        <name val="Calibri"/>
        <scheme val="minor"/>
      </font>
      <fill>
        <patternFill patternType="solid">
          <fgColor indexed="64"/>
          <bgColor theme="7" tint="0.39997558519241921"/>
        </patternFill>
      </fill>
      <alignment horizontal="left" vertical="center" textRotation="0" wrapText="1" indent="0" justifyLastLine="0" shrinkToFit="0" readingOrder="0"/>
      <protection locked="0" hidden="0"/>
    </dxf>
    <dxf>
      <font>
        <b val="0"/>
        <i val="0"/>
        <strike val="0"/>
        <condense val="0"/>
        <extend val="0"/>
        <outline val="0"/>
        <shadow val="0"/>
        <u val="none"/>
        <vertAlign val="baseline"/>
        <sz val="9"/>
        <color rgb="FF005877"/>
        <name val="Calibri"/>
        <scheme val="minor"/>
      </font>
      <fill>
        <patternFill patternType="solid">
          <fgColor indexed="64"/>
          <bgColor rgb="FFFFC000"/>
        </patternFill>
      </fill>
      <alignment horizontal="left" vertical="center" textRotation="0" wrapText="0" indent="0" justifyLastLine="0" shrinkToFit="0" readingOrder="0"/>
      <protection locked="0" hidden="0"/>
    </dxf>
    <dxf>
      <font>
        <b val="0"/>
        <i val="0"/>
        <strike val="0"/>
        <condense val="0"/>
        <extend val="0"/>
        <outline val="0"/>
        <shadow val="0"/>
        <u val="none"/>
        <vertAlign val="baseline"/>
        <sz val="9"/>
        <color rgb="FF005877"/>
        <name val="Calibri"/>
        <scheme val="minor"/>
      </font>
      <fill>
        <patternFill patternType="solid">
          <fgColor indexed="64"/>
          <bgColor rgb="FFFFC000"/>
        </patternFill>
      </fill>
      <alignment horizontal="left" vertical="center" textRotation="0" wrapText="0" indent="0" justifyLastLine="0" shrinkToFit="0" readingOrder="0"/>
      <protection locked="0" hidden="0"/>
    </dxf>
    <dxf>
      <font>
        <b val="0"/>
        <i val="0"/>
        <strike val="0"/>
        <condense val="0"/>
        <extend val="0"/>
        <outline val="0"/>
        <shadow val="0"/>
        <u val="none"/>
        <vertAlign val="baseline"/>
        <sz val="9"/>
        <color rgb="FF005877"/>
        <name val="Calibri"/>
        <scheme val="minor"/>
      </font>
      <fill>
        <patternFill patternType="solid">
          <fgColor indexed="64"/>
          <bgColor rgb="FFFFC000"/>
        </patternFill>
      </fill>
      <alignment horizontal="left" vertical="center" textRotation="0" wrapText="1" indent="0" justifyLastLine="0" shrinkToFit="0" readingOrder="0"/>
      <protection locked="0" hidden="0"/>
    </dxf>
    <dxf>
      <font>
        <b val="0"/>
        <i val="0"/>
        <strike val="0"/>
        <condense val="0"/>
        <extend val="0"/>
        <outline val="0"/>
        <shadow val="0"/>
        <u val="none"/>
        <vertAlign val="baseline"/>
        <sz val="9"/>
        <color rgb="FF005877"/>
        <name val="Calibri"/>
        <scheme val="minor"/>
      </font>
      <fill>
        <patternFill patternType="solid">
          <fgColor indexed="64"/>
          <bgColor theme="5" tint="0.79998168889431442"/>
        </patternFill>
      </fill>
      <alignment horizontal="left" vertical="center" textRotation="0" wrapText="0" indent="0" justifyLastLine="0" shrinkToFit="0" readingOrder="0"/>
      <protection locked="0" hidden="0"/>
    </dxf>
    <dxf>
      <font>
        <b val="0"/>
        <i val="0"/>
        <strike val="0"/>
        <condense val="0"/>
        <extend val="0"/>
        <outline val="0"/>
        <shadow val="0"/>
        <u val="none"/>
        <vertAlign val="baseline"/>
        <sz val="9"/>
        <color rgb="FF005877"/>
        <name val="Calibri"/>
        <scheme val="minor"/>
      </font>
      <fill>
        <patternFill patternType="solid">
          <fgColor indexed="64"/>
          <bgColor theme="5" tint="0.79998168889431442"/>
        </patternFill>
      </fill>
      <alignment horizontal="left" vertical="center" textRotation="0" wrapText="0" indent="0" justifyLastLine="0" shrinkToFit="0" readingOrder="0"/>
      <protection locked="0" hidden="0"/>
    </dxf>
    <dxf>
      <font>
        <b val="0"/>
        <i val="0"/>
        <strike val="0"/>
        <condense val="0"/>
        <extend val="0"/>
        <outline val="0"/>
        <shadow val="0"/>
        <u val="none"/>
        <vertAlign val="baseline"/>
        <sz val="9"/>
        <color rgb="FF005877"/>
        <name val="Calibri"/>
        <scheme val="minor"/>
      </font>
      <fill>
        <patternFill patternType="solid">
          <fgColor indexed="64"/>
          <bgColor theme="5" tint="0.79998168889431442"/>
        </patternFill>
      </fill>
      <alignment horizontal="left" vertical="center" textRotation="0" wrapText="1" indent="0" justifyLastLine="0" shrinkToFit="0" readingOrder="0"/>
      <protection locked="0" hidden="0"/>
    </dxf>
    <dxf>
      <font>
        <b val="0"/>
        <i val="0"/>
        <strike val="0"/>
        <condense val="0"/>
        <extend val="0"/>
        <outline val="0"/>
        <shadow val="0"/>
        <u val="none"/>
        <vertAlign val="baseline"/>
        <sz val="9"/>
        <color rgb="FF005877"/>
        <name val="Calibri"/>
        <scheme val="minor"/>
      </font>
      <fill>
        <patternFill patternType="solid">
          <fgColor indexed="64"/>
          <bgColor theme="5" tint="0.59999389629810485"/>
        </patternFill>
      </fill>
      <alignment horizontal="left" vertical="center" textRotation="0" wrapText="0" indent="0" justifyLastLine="0" shrinkToFit="0" readingOrder="0"/>
      <protection locked="0" hidden="0"/>
    </dxf>
    <dxf>
      <font>
        <b val="0"/>
        <i val="0"/>
        <strike val="0"/>
        <condense val="0"/>
        <extend val="0"/>
        <outline val="0"/>
        <shadow val="0"/>
        <u val="none"/>
        <vertAlign val="baseline"/>
        <sz val="9"/>
        <color rgb="FF005877"/>
        <name val="Calibri"/>
        <scheme val="minor"/>
      </font>
      <fill>
        <patternFill patternType="solid">
          <fgColor indexed="64"/>
          <bgColor theme="5" tint="0.59999389629810485"/>
        </patternFill>
      </fill>
      <alignment horizontal="left" vertical="center" textRotation="0" wrapText="0" indent="0" justifyLastLine="0" shrinkToFit="0" readingOrder="0"/>
      <protection locked="0" hidden="0"/>
    </dxf>
    <dxf>
      <font>
        <b val="0"/>
        <i val="0"/>
        <strike val="0"/>
        <condense val="0"/>
        <extend val="0"/>
        <outline val="0"/>
        <shadow val="0"/>
        <u val="none"/>
        <vertAlign val="baseline"/>
        <sz val="9"/>
        <color rgb="FF005877"/>
        <name val="Calibri"/>
        <scheme val="minor"/>
      </font>
      <fill>
        <patternFill patternType="solid">
          <fgColor indexed="64"/>
          <bgColor theme="5" tint="0.59999389629810485"/>
        </patternFill>
      </fill>
      <alignment horizontal="left" vertical="center" textRotation="0" wrapText="1" indent="0" justifyLastLine="0" shrinkToFit="0" readingOrder="0"/>
      <protection locked="0" hidden="0"/>
    </dxf>
    <dxf>
      <font>
        <b val="0"/>
        <i val="0"/>
        <strike val="0"/>
        <condense val="0"/>
        <extend val="0"/>
        <outline val="0"/>
        <shadow val="0"/>
        <u val="none"/>
        <vertAlign val="baseline"/>
        <sz val="9"/>
        <color rgb="FF005877"/>
        <name val="Calibri"/>
        <scheme val="minor"/>
      </font>
      <fill>
        <patternFill patternType="solid">
          <fgColor indexed="64"/>
          <bgColor theme="5" tint="0.39997558519241921"/>
        </patternFill>
      </fill>
      <alignment horizontal="left" vertical="center" textRotation="0" wrapText="0" indent="0" justifyLastLine="0" shrinkToFit="0" readingOrder="0"/>
      <protection locked="0" hidden="0"/>
    </dxf>
    <dxf>
      <font>
        <b val="0"/>
        <i val="0"/>
        <strike val="0"/>
        <condense val="0"/>
        <extend val="0"/>
        <outline val="0"/>
        <shadow val="0"/>
        <u val="none"/>
        <vertAlign val="baseline"/>
        <sz val="9"/>
        <color rgb="FF005877"/>
        <name val="Calibri"/>
        <scheme val="minor"/>
      </font>
      <fill>
        <patternFill patternType="solid">
          <fgColor indexed="64"/>
          <bgColor theme="5" tint="0.39997558519241921"/>
        </patternFill>
      </fill>
      <alignment horizontal="left" vertical="center" textRotation="0" wrapText="0" indent="0" justifyLastLine="0" shrinkToFit="0" readingOrder="0"/>
      <protection locked="0" hidden="0"/>
    </dxf>
    <dxf>
      <font>
        <b val="0"/>
        <i val="0"/>
        <strike val="0"/>
        <condense val="0"/>
        <extend val="0"/>
        <outline val="0"/>
        <shadow val="0"/>
        <u val="none"/>
        <vertAlign val="baseline"/>
        <sz val="9"/>
        <color rgb="FF005877"/>
        <name val="Calibri"/>
        <scheme val="minor"/>
      </font>
      <fill>
        <patternFill patternType="solid">
          <fgColor indexed="64"/>
          <bgColor theme="5" tint="0.39997558519241921"/>
        </patternFill>
      </fill>
      <alignment horizontal="left" vertical="center" textRotation="0" wrapText="1" indent="0" justifyLastLine="0" shrinkToFit="0" readingOrder="0"/>
      <protection locked="0" hidden="0"/>
    </dxf>
    <dxf>
      <font>
        <b val="0"/>
        <i val="0"/>
        <strike val="0"/>
        <condense val="0"/>
        <extend val="0"/>
        <outline val="0"/>
        <shadow val="0"/>
        <u val="none"/>
        <vertAlign val="baseline"/>
        <sz val="9"/>
        <color rgb="FF005877"/>
        <name val="Calibri"/>
        <scheme val="minor"/>
      </font>
      <fill>
        <patternFill patternType="solid">
          <fgColor indexed="64"/>
          <bgColor theme="7" tint="0.59999389629810485"/>
        </patternFill>
      </fill>
      <alignment horizontal="left" vertical="center" textRotation="0" wrapText="0" indent="0" justifyLastLine="0" shrinkToFit="0" readingOrder="0"/>
      <protection locked="0" hidden="0"/>
    </dxf>
    <dxf>
      <font>
        <b val="0"/>
        <i val="0"/>
        <strike val="0"/>
        <condense val="0"/>
        <extend val="0"/>
        <outline val="0"/>
        <shadow val="0"/>
        <u val="none"/>
        <vertAlign val="baseline"/>
        <sz val="9"/>
        <color rgb="FF005877"/>
        <name val="Calibri"/>
        <scheme val="minor"/>
      </font>
      <fill>
        <patternFill patternType="solid">
          <fgColor indexed="64"/>
          <bgColor theme="7" tint="0.59999389629810485"/>
        </patternFill>
      </fill>
      <alignment horizontal="left" vertical="center" textRotation="0" wrapText="0" indent="0" justifyLastLine="0" shrinkToFit="0" readingOrder="0"/>
      <protection locked="0" hidden="0"/>
    </dxf>
    <dxf>
      <font>
        <b val="0"/>
        <i val="0"/>
        <strike val="0"/>
        <condense val="0"/>
        <extend val="0"/>
        <outline val="0"/>
        <shadow val="0"/>
        <u val="none"/>
        <vertAlign val="baseline"/>
        <sz val="9"/>
        <color rgb="FF005877"/>
        <name val="Calibri"/>
        <scheme val="minor"/>
      </font>
      <fill>
        <patternFill patternType="solid">
          <fgColor indexed="64"/>
          <bgColor theme="7" tint="0.59999389629810485"/>
        </patternFill>
      </fill>
      <alignment horizontal="left" vertical="center" textRotation="0" wrapText="1" indent="0" justifyLastLine="0" shrinkToFit="0" readingOrder="0"/>
      <protection locked="0" hidden="0"/>
    </dxf>
    <dxf>
      <font>
        <b val="0"/>
        <i val="0"/>
        <strike val="0"/>
        <condense val="0"/>
        <extend val="0"/>
        <outline val="0"/>
        <shadow val="0"/>
        <u val="none"/>
        <vertAlign val="baseline"/>
        <sz val="9"/>
        <color rgb="FF005877"/>
        <name val="Calibri"/>
        <scheme val="minor"/>
      </font>
      <fill>
        <patternFill patternType="solid">
          <fgColor indexed="64"/>
          <bgColor theme="7" tint="0.39997558519241921"/>
        </patternFill>
      </fill>
      <alignment horizontal="left" vertical="center" textRotation="0" wrapText="0" indent="0" justifyLastLine="0" shrinkToFit="0" readingOrder="0"/>
      <protection locked="0" hidden="0"/>
    </dxf>
    <dxf>
      <font>
        <b val="0"/>
        <i val="0"/>
        <strike val="0"/>
        <condense val="0"/>
        <extend val="0"/>
        <outline val="0"/>
        <shadow val="0"/>
        <u val="none"/>
        <vertAlign val="baseline"/>
        <sz val="9"/>
        <color rgb="FF005877"/>
        <name val="Calibri"/>
        <scheme val="minor"/>
      </font>
      <fill>
        <patternFill patternType="solid">
          <fgColor indexed="64"/>
          <bgColor theme="7" tint="0.39997558519241921"/>
        </patternFill>
      </fill>
      <alignment horizontal="left" vertical="center" textRotation="0" wrapText="0" indent="0" justifyLastLine="0" shrinkToFit="0" readingOrder="0"/>
      <protection locked="0" hidden="0"/>
    </dxf>
    <dxf>
      <font>
        <b val="0"/>
        <i val="0"/>
        <strike val="0"/>
        <condense val="0"/>
        <extend val="0"/>
        <outline val="0"/>
        <shadow val="0"/>
        <u val="none"/>
        <vertAlign val="baseline"/>
        <sz val="9"/>
        <color rgb="FF005877"/>
        <name val="Calibri"/>
        <scheme val="minor"/>
      </font>
      <fill>
        <patternFill patternType="solid">
          <fgColor indexed="64"/>
          <bgColor theme="7" tint="0.39997558519241921"/>
        </patternFill>
      </fill>
      <alignment horizontal="left" vertical="center" textRotation="0" wrapText="1" indent="0" justifyLastLine="0" shrinkToFit="0" readingOrder="0"/>
      <protection locked="0" hidden="0"/>
    </dxf>
    <dxf>
      <font>
        <b val="0"/>
        <i val="0"/>
        <strike val="0"/>
        <condense val="0"/>
        <extend val="0"/>
        <outline val="0"/>
        <shadow val="0"/>
        <u val="none"/>
        <vertAlign val="baseline"/>
        <sz val="9"/>
        <color rgb="FF005877"/>
        <name val="Calibri"/>
        <scheme val="minor"/>
      </font>
      <fill>
        <patternFill patternType="solid">
          <fgColor indexed="64"/>
          <bgColor rgb="FFFFC000"/>
        </patternFill>
      </fill>
      <alignment horizontal="left" vertical="center" textRotation="0" wrapText="0" indent="0" justifyLastLine="0" shrinkToFit="0" readingOrder="0"/>
      <protection locked="0" hidden="0"/>
    </dxf>
    <dxf>
      <font>
        <b val="0"/>
        <i val="0"/>
        <strike val="0"/>
        <condense val="0"/>
        <extend val="0"/>
        <outline val="0"/>
        <shadow val="0"/>
        <u val="none"/>
        <vertAlign val="baseline"/>
        <sz val="9"/>
        <color rgb="FF005877"/>
        <name val="Calibri"/>
        <scheme val="minor"/>
      </font>
      <fill>
        <patternFill patternType="solid">
          <fgColor indexed="64"/>
          <bgColor rgb="FFFFC000"/>
        </patternFill>
      </fill>
      <alignment horizontal="left" vertical="center" textRotation="0" wrapText="0" indent="0" justifyLastLine="0" shrinkToFit="0" readingOrder="0"/>
      <protection locked="0" hidden="0"/>
    </dxf>
    <dxf>
      <font>
        <b val="0"/>
        <i val="0"/>
        <strike val="0"/>
        <condense val="0"/>
        <extend val="0"/>
        <outline val="0"/>
        <shadow val="0"/>
        <u val="none"/>
        <vertAlign val="baseline"/>
        <sz val="9"/>
        <color rgb="FF005877"/>
        <name val="Calibri"/>
        <scheme val="minor"/>
      </font>
      <fill>
        <patternFill patternType="solid">
          <fgColor indexed="64"/>
          <bgColor rgb="FFFFC000"/>
        </patternFill>
      </fill>
      <alignment horizontal="left" vertical="center" textRotation="0" wrapText="1" indent="0" justifyLastLine="0" shrinkToFit="0" readingOrder="0"/>
      <protection locked="0" hidden="0"/>
    </dxf>
    <dxf>
      <font>
        <b val="0"/>
        <i val="0"/>
        <strike val="0"/>
        <condense val="0"/>
        <extend val="0"/>
        <outline val="0"/>
        <shadow val="0"/>
        <u val="none"/>
        <vertAlign val="baseline"/>
        <sz val="9"/>
        <color theme="0"/>
        <name val="Calibri"/>
        <scheme val="minor"/>
      </font>
      <fill>
        <patternFill patternType="solid">
          <fgColor indexed="64"/>
          <bgColor rgb="FFE87B00"/>
        </patternFill>
      </fill>
      <alignment horizontal="left" vertical="center" textRotation="0" wrapText="1" indent="0" justifyLastLine="0" shrinkToFit="0" readingOrder="0"/>
      <protection locked="0" hidden="0"/>
    </dxf>
    <dxf>
      <font>
        <b val="0"/>
        <i val="0"/>
        <strike val="0"/>
        <condense val="0"/>
        <extend val="0"/>
        <outline val="0"/>
        <shadow val="0"/>
        <u val="none"/>
        <vertAlign val="baseline"/>
        <sz val="9"/>
        <color rgb="FF005877"/>
        <name val="Calibri"/>
        <scheme val="minor"/>
      </font>
      <fill>
        <patternFill patternType="solid">
          <fgColor indexed="64"/>
          <bgColor theme="0"/>
        </patternFill>
      </fill>
      <alignment horizontal="left" vertical="center" textRotation="0" wrapText="0" indent="0" justifyLastLine="0" shrinkToFit="0" readingOrder="0"/>
      <protection locked="0" hidden="0"/>
    </dxf>
    <dxf>
      <font>
        <b val="0"/>
        <i val="0"/>
        <strike val="0"/>
        <condense val="0"/>
        <extend val="0"/>
        <outline val="0"/>
        <shadow val="0"/>
        <u val="none"/>
        <vertAlign val="baseline"/>
        <sz val="9"/>
        <color theme="0"/>
        <name val="Calibri"/>
        <scheme val="minor"/>
      </font>
      <fill>
        <patternFill patternType="solid">
          <fgColor indexed="64"/>
          <bgColor rgb="FFE87B00"/>
        </patternFill>
      </fill>
      <alignment horizontal="center" vertical="center" textRotation="0" wrapText="0" indent="0" justifyLastLine="0" shrinkToFit="1" readingOrder="0"/>
      <protection locked="0" hidden="0"/>
    </dxf>
    <dxf>
      <font>
        <b val="0"/>
        <i val="0"/>
        <strike val="0"/>
        <condense val="0"/>
        <extend val="0"/>
        <outline val="0"/>
        <shadow val="0"/>
        <u val="none"/>
        <vertAlign val="baseline"/>
        <sz val="9"/>
        <color rgb="FF005877"/>
        <name val="Calibri"/>
        <scheme val="minor"/>
      </font>
      <fill>
        <patternFill patternType="solid">
          <fgColor indexed="64"/>
          <bgColor rgb="FFFFFF00"/>
        </patternFill>
      </fill>
      <alignment horizontal="center" vertical="center" textRotation="0" wrapText="0" indent="0" justifyLastLine="0" shrinkToFit="0" readingOrder="0"/>
    </dxf>
    <dxf>
      <font>
        <b/>
        <i val="0"/>
        <strike val="0"/>
        <condense val="0"/>
        <extend val="0"/>
        <outline val="0"/>
        <shadow val="0"/>
        <u val="none"/>
        <vertAlign val="baseline"/>
        <sz val="9"/>
        <color rgb="FF005877"/>
        <name val="Calibri"/>
        <scheme val="minor"/>
      </font>
      <numFmt numFmtId="0" formatCode="General"/>
      <fill>
        <patternFill patternType="solid">
          <fgColor indexed="64"/>
          <bgColor theme="0" tint="-0.249977111117893"/>
        </patternFill>
      </fill>
      <alignment horizontal="left" vertical="center" textRotation="0" wrapText="0" indent="0" justifyLastLine="0" shrinkToFit="0" readingOrder="0"/>
    </dxf>
    <dxf>
      <font>
        <b/>
        <i val="0"/>
        <strike val="0"/>
        <condense val="0"/>
        <extend val="0"/>
        <outline val="0"/>
        <shadow val="0"/>
        <u val="none"/>
        <vertAlign val="baseline"/>
        <sz val="9"/>
        <color rgb="FF005877"/>
        <name val="Calibri"/>
        <scheme val="minor"/>
      </font>
      <numFmt numFmtId="0" formatCode="General"/>
      <fill>
        <patternFill patternType="solid">
          <fgColor indexed="64"/>
          <bgColor theme="0" tint="-0.249977111117893"/>
        </patternFill>
      </fill>
      <alignment horizontal="center" vertical="center" textRotation="0" wrapText="0" indent="0" justifyLastLine="0" shrinkToFit="0" readingOrder="0"/>
    </dxf>
    <dxf>
      <font>
        <b/>
        <i val="0"/>
        <strike val="0"/>
        <condense val="0"/>
        <extend val="0"/>
        <outline val="0"/>
        <shadow val="0"/>
        <u val="none"/>
        <vertAlign val="baseline"/>
        <sz val="9"/>
        <color rgb="FF005877"/>
        <name val="Calibri"/>
        <scheme val="minor"/>
      </font>
      <numFmt numFmtId="0" formatCode="General"/>
      <fill>
        <patternFill patternType="solid">
          <fgColor indexed="64"/>
          <bgColor theme="0" tint="-0.249977111117893"/>
        </patternFill>
      </fill>
      <alignment horizontal="left" vertical="center" textRotation="0" wrapText="0" indent="0" justifyLastLine="0" shrinkToFit="0" readingOrder="0"/>
      <protection locked="1" hidden="0"/>
    </dxf>
    <dxf>
      <border outline="0">
        <top style="thick">
          <color rgb="FF005877"/>
        </top>
      </border>
    </dxf>
    <dxf>
      <font>
        <color theme="0" tint="-0.14996795556505021"/>
      </font>
      <fill>
        <patternFill>
          <fgColor theme="0"/>
          <bgColor theme="0" tint="-0.14996795556505021"/>
        </patternFill>
      </fill>
    </dxf>
    <dxf>
      <fill>
        <patternFill>
          <bgColor theme="0" tint="-0.14996795556505021"/>
        </patternFill>
      </fill>
    </dxf>
    <dxf>
      <fill>
        <patternFill>
          <bgColor theme="0" tint="-4.9989318521683403E-2"/>
        </patternFill>
      </fill>
    </dxf>
    <dxf>
      <fill>
        <patternFill>
          <bgColor theme="0" tint="-4.9989318521683403E-2"/>
        </patternFill>
      </fill>
    </dxf>
    <dxf>
      <fill>
        <patternFill>
          <bgColor theme="0" tint="-0.14996795556505021"/>
        </patternFill>
      </fill>
    </dxf>
    <dxf>
      <fill>
        <patternFill>
          <bgColor theme="0" tint="-4.9989318521683403E-2"/>
        </patternFill>
      </fill>
    </dxf>
    <dxf>
      <fill>
        <patternFill>
          <bgColor theme="0" tint="-0.14996795556505021"/>
        </patternFill>
      </fill>
    </dxf>
    <dxf>
      <fill>
        <patternFill>
          <bgColor theme="0" tint="-4.9989318521683403E-2"/>
        </patternFill>
      </fill>
    </dxf>
    <dxf>
      <fill>
        <patternFill>
          <bgColor theme="0" tint="-4.9989318521683403E-2"/>
        </patternFill>
      </fill>
    </dxf>
    <dxf>
      <fill>
        <patternFill>
          <bgColor theme="0"/>
        </patternFill>
      </fill>
    </dxf>
    <dxf>
      <font>
        <color theme="0" tint="-0.14996795556505021"/>
      </font>
      <fill>
        <patternFill>
          <fgColor theme="0"/>
          <bgColor theme="0" tint="-0.14996795556505021"/>
        </patternFill>
      </fill>
    </dxf>
    <dxf>
      <font>
        <color rgb="FF9C0006"/>
      </font>
      <fill>
        <patternFill>
          <bgColor rgb="FFFFFF00"/>
        </patternFill>
      </fill>
    </dxf>
    <dxf>
      <font>
        <b val="0"/>
        <i val="0"/>
        <strike val="0"/>
        <condense val="0"/>
        <extend val="0"/>
        <outline val="0"/>
        <shadow val="0"/>
        <u val="none"/>
        <vertAlign val="baseline"/>
        <sz val="9"/>
        <color rgb="FF005877"/>
        <name val="Calibri"/>
        <scheme val="minor"/>
      </font>
      <fill>
        <patternFill patternType="solid">
          <fgColor indexed="64"/>
          <bgColor theme="7" tint="0.59999389629810485"/>
        </patternFill>
      </fill>
      <alignment horizontal="left" vertical="center" textRotation="0" wrapText="0" indent="0" justifyLastLine="0" shrinkToFit="0" readingOrder="0"/>
      <protection locked="0" hidden="0"/>
    </dxf>
    <dxf>
      <font>
        <b val="0"/>
        <i val="0"/>
        <strike val="0"/>
        <condense val="0"/>
        <extend val="0"/>
        <outline val="0"/>
        <shadow val="0"/>
        <u val="none"/>
        <vertAlign val="baseline"/>
        <sz val="9"/>
        <color rgb="FF005877"/>
        <name val="Calibri"/>
        <scheme val="minor"/>
      </font>
      <fill>
        <patternFill patternType="solid">
          <fgColor indexed="64"/>
          <bgColor theme="4" tint="0.79998168889431442"/>
        </patternFill>
      </fill>
      <alignment horizontal="left" vertical="center" textRotation="0" wrapText="0" indent="0" justifyLastLine="0" shrinkToFit="0" readingOrder="0"/>
      <protection locked="0" hidden="0"/>
    </dxf>
    <dxf>
      <font>
        <b val="0"/>
        <i val="0"/>
        <strike val="0"/>
        <condense val="0"/>
        <extend val="0"/>
        <outline val="0"/>
        <shadow val="0"/>
        <u val="none"/>
        <vertAlign val="baseline"/>
        <sz val="9"/>
        <color rgb="FF005877"/>
        <name val="Calibri"/>
        <scheme val="minor"/>
      </font>
      <fill>
        <patternFill patternType="solid">
          <fgColor indexed="64"/>
          <bgColor theme="4" tint="0.59999389629810485"/>
        </patternFill>
      </fill>
      <alignment horizontal="left" vertical="center" textRotation="0" wrapText="0" indent="0" justifyLastLine="0" shrinkToFit="0" readingOrder="0"/>
      <protection locked="0" hidden="0"/>
    </dxf>
    <dxf>
      <font>
        <b val="0"/>
        <i val="0"/>
        <strike val="0"/>
        <condense val="0"/>
        <extend val="0"/>
        <outline val="0"/>
        <shadow val="0"/>
        <u val="none"/>
        <vertAlign val="baseline"/>
        <sz val="9"/>
        <color rgb="FF005877"/>
        <name val="Calibri"/>
        <scheme val="minor"/>
      </font>
      <fill>
        <patternFill patternType="solid">
          <fgColor indexed="64"/>
          <bgColor theme="4" tint="0.39997558519241921"/>
        </patternFill>
      </fill>
      <alignment horizontal="left" vertical="center" textRotation="0" wrapText="0" indent="0" justifyLastLine="0" shrinkToFit="0" readingOrder="0"/>
      <protection locked="0" hidden="0"/>
    </dxf>
    <dxf>
      <font>
        <b val="0"/>
        <i val="0"/>
        <strike val="0"/>
        <condense val="0"/>
        <extend val="0"/>
        <outline val="0"/>
        <shadow val="0"/>
        <u val="none"/>
        <vertAlign val="baseline"/>
        <sz val="9"/>
        <color rgb="FF005877"/>
        <name val="Calibri"/>
        <scheme val="minor"/>
      </font>
      <fill>
        <patternFill patternType="solid">
          <fgColor indexed="64"/>
          <bgColor theme="4" tint="-0.249977111117893"/>
        </patternFill>
      </fill>
      <alignment horizontal="left" vertical="center" textRotation="0" wrapText="0" indent="0" justifyLastLine="0" shrinkToFit="0" readingOrder="0"/>
      <protection locked="0" hidden="0"/>
    </dxf>
    <dxf>
      <font>
        <b val="0"/>
        <i val="0"/>
        <strike val="0"/>
        <condense val="0"/>
        <extend val="0"/>
        <outline val="0"/>
        <shadow val="0"/>
        <u val="none"/>
        <vertAlign val="baseline"/>
        <sz val="9"/>
        <color rgb="FF005877"/>
        <name val="Calibri"/>
        <scheme val="minor"/>
      </font>
      <fill>
        <patternFill patternType="solid">
          <fgColor indexed="64"/>
          <bgColor theme="5" tint="0.79998168889431442"/>
        </patternFill>
      </fill>
      <alignment horizontal="left" vertical="center" textRotation="0" wrapText="1" indent="0" justifyLastLine="0" shrinkToFit="0" readingOrder="0"/>
      <protection locked="0" hidden="0"/>
    </dxf>
    <dxf>
      <font>
        <b val="0"/>
        <i val="0"/>
        <strike val="0"/>
        <condense val="0"/>
        <extend val="0"/>
        <outline val="0"/>
        <shadow val="0"/>
        <u val="none"/>
        <vertAlign val="baseline"/>
        <sz val="9"/>
        <color rgb="FF005877"/>
        <name val="Calibri"/>
        <scheme val="minor"/>
      </font>
      <fill>
        <patternFill patternType="solid">
          <fgColor indexed="64"/>
          <bgColor theme="5" tint="0.79998168889431442"/>
        </patternFill>
      </fill>
      <alignment horizontal="left" vertical="center" textRotation="0" wrapText="1" indent="0" justifyLastLine="0" shrinkToFit="0" readingOrder="0"/>
      <protection locked="0" hidden="0"/>
    </dxf>
    <dxf>
      <font>
        <b val="0"/>
        <i val="0"/>
        <strike val="0"/>
        <condense val="0"/>
        <extend val="0"/>
        <outline val="0"/>
        <shadow val="0"/>
        <u val="none"/>
        <vertAlign val="baseline"/>
        <sz val="9"/>
        <color rgb="FF005877"/>
        <name val="Calibri"/>
        <scheme val="minor"/>
      </font>
      <fill>
        <patternFill patternType="solid">
          <fgColor indexed="64"/>
          <bgColor theme="5" tint="0.59999389629810485"/>
        </patternFill>
      </fill>
      <alignment horizontal="left" vertical="center" textRotation="0" wrapText="1" indent="0" justifyLastLine="0" shrinkToFit="0" readingOrder="0"/>
      <protection locked="0" hidden="0"/>
    </dxf>
    <dxf>
      <font>
        <b val="0"/>
        <i val="0"/>
        <strike val="0"/>
        <condense val="0"/>
        <extend val="0"/>
        <outline val="0"/>
        <shadow val="0"/>
        <u val="none"/>
        <vertAlign val="baseline"/>
        <sz val="9"/>
        <color rgb="FF005877"/>
        <name val="Calibri"/>
        <scheme val="minor"/>
      </font>
      <fill>
        <patternFill patternType="solid">
          <fgColor indexed="64"/>
          <bgColor theme="5" tint="0.59999389629810485"/>
        </patternFill>
      </fill>
      <alignment horizontal="left" vertical="center" textRotation="0" wrapText="1" indent="0" justifyLastLine="0" shrinkToFit="0" readingOrder="0"/>
      <protection locked="0" hidden="0"/>
    </dxf>
    <dxf>
      <font>
        <b val="0"/>
        <i val="0"/>
        <strike val="0"/>
        <condense val="0"/>
        <extend val="0"/>
        <outline val="0"/>
        <shadow val="0"/>
        <u val="none"/>
        <vertAlign val="baseline"/>
        <sz val="9"/>
        <color rgb="FF005877"/>
        <name val="Calibri"/>
        <scheme val="minor"/>
      </font>
      <fill>
        <patternFill patternType="solid">
          <fgColor indexed="64"/>
          <bgColor theme="5" tint="0.39997558519241921"/>
        </patternFill>
      </fill>
      <alignment horizontal="left" vertical="center" textRotation="0" wrapText="1" indent="0" justifyLastLine="0" shrinkToFit="0" readingOrder="0"/>
      <protection locked="0" hidden="0"/>
    </dxf>
    <dxf>
      <font>
        <b val="0"/>
        <i val="0"/>
        <strike val="0"/>
        <condense val="0"/>
        <extend val="0"/>
        <outline val="0"/>
        <shadow val="0"/>
        <u val="none"/>
        <vertAlign val="baseline"/>
        <sz val="9"/>
        <color rgb="FF005877"/>
        <name val="Calibri"/>
        <scheme val="minor"/>
      </font>
      <fill>
        <patternFill patternType="solid">
          <fgColor indexed="64"/>
          <bgColor theme="5" tint="0.39997558519241921"/>
        </patternFill>
      </fill>
      <alignment horizontal="left" vertical="center" textRotation="0" wrapText="1" indent="0" justifyLastLine="0" shrinkToFit="0" readingOrder="0"/>
      <protection locked="0" hidden="0"/>
    </dxf>
    <dxf>
      <font>
        <b val="0"/>
        <i val="0"/>
        <strike val="0"/>
        <condense val="0"/>
        <extend val="0"/>
        <outline val="0"/>
        <shadow val="0"/>
        <u val="none"/>
        <vertAlign val="baseline"/>
        <sz val="9"/>
        <color rgb="FF005877"/>
        <name val="Calibri"/>
        <scheme val="minor"/>
      </font>
      <fill>
        <patternFill patternType="solid">
          <fgColor indexed="64"/>
          <bgColor theme="7" tint="0.59999389629810485"/>
        </patternFill>
      </fill>
      <alignment horizontal="left" vertical="center" textRotation="0" wrapText="1" indent="0" justifyLastLine="0" shrinkToFit="0" readingOrder="0"/>
      <protection locked="0" hidden="0"/>
    </dxf>
    <dxf>
      <font>
        <b val="0"/>
        <i val="0"/>
        <strike val="0"/>
        <condense val="0"/>
        <extend val="0"/>
        <outline val="0"/>
        <shadow val="0"/>
        <u val="none"/>
        <vertAlign val="baseline"/>
        <sz val="9"/>
        <color rgb="FF005877"/>
        <name val="Calibri"/>
        <scheme val="minor"/>
      </font>
      <fill>
        <patternFill patternType="solid">
          <fgColor indexed="64"/>
          <bgColor theme="7" tint="0.59999389629810485"/>
        </patternFill>
      </fill>
      <alignment horizontal="left" vertical="center" textRotation="0" wrapText="1" indent="0" justifyLastLine="0" shrinkToFit="0" readingOrder="0"/>
      <protection locked="0" hidden="0"/>
    </dxf>
    <dxf>
      <font>
        <b val="0"/>
        <i val="0"/>
        <strike val="0"/>
        <condense val="0"/>
        <extend val="0"/>
        <outline val="0"/>
        <shadow val="0"/>
        <u val="none"/>
        <vertAlign val="baseline"/>
        <sz val="9"/>
        <color rgb="FF005877"/>
        <name val="Calibri"/>
        <scheme val="minor"/>
      </font>
      <fill>
        <patternFill patternType="solid">
          <fgColor indexed="64"/>
          <bgColor theme="7" tint="0.39997558519241921"/>
        </patternFill>
      </fill>
      <alignment horizontal="left" vertical="center" textRotation="0" wrapText="1" indent="0" justifyLastLine="0" shrinkToFit="0" readingOrder="0"/>
      <protection locked="0" hidden="0"/>
    </dxf>
    <dxf>
      <font>
        <b val="0"/>
        <i val="0"/>
        <strike val="0"/>
        <condense val="0"/>
        <extend val="0"/>
        <outline val="0"/>
        <shadow val="0"/>
        <u val="none"/>
        <vertAlign val="baseline"/>
        <sz val="9"/>
        <color rgb="FF005877"/>
        <name val="Calibri"/>
        <scheme val="minor"/>
      </font>
      <fill>
        <patternFill patternType="solid">
          <fgColor indexed="64"/>
          <bgColor theme="7" tint="0.39997558519241921"/>
        </patternFill>
      </fill>
      <alignment horizontal="left" vertical="center" textRotation="0" wrapText="1" indent="0" justifyLastLine="0" shrinkToFit="0" readingOrder="0"/>
      <protection locked="0" hidden="0"/>
    </dxf>
    <dxf>
      <font>
        <b val="0"/>
        <i val="0"/>
        <strike val="0"/>
        <condense val="0"/>
        <extend val="0"/>
        <outline val="0"/>
        <shadow val="0"/>
        <u val="none"/>
        <vertAlign val="baseline"/>
        <sz val="9"/>
        <color rgb="FF005877"/>
        <name val="Calibri"/>
        <scheme val="minor"/>
      </font>
      <fill>
        <patternFill patternType="solid">
          <fgColor indexed="64"/>
          <bgColor rgb="FFFFC000"/>
        </patternFill>
      </fill>
      <alignment horizontal="left" vertical="center" textRotation="0" wrapText="1" indent="0" justifyLastLine="0" shrinkToFit="0" readingOrder="0"/>
      <protection locked="0" hidden="0"/>
    </dxf>
    <dxf>
      <font>
        <b val="0"/>
        <i val="0"/>
        <strike val="0"/>
        <condense val="0"/>
        <extend val="0"/>
        <outline val="0"/>
        <shadow val="0"/>
        <u val="none"/>
        <vertAlign val="baseline"/>
        <sz val="9"/>
        <color rgb="FF005877"/>
        <name val="Calibri"/>
        <scheme val="minor"/>
      </font>
      <fill>
        <patternFill patternType="solid">
          <fgColor indexed="64"/>
          <bgColor rgb="FFFFC000"/>
        </patternFill>
      </fill>
      <alignment horizontal="left" vertical="center" textRotation="0" wrapText="1" indent="0" justifyLastLine="0" shrinkToFit="0" readingOrder="0"/>
      <protection locked="0" hidden="0"/>
    </dxf>
    <dxf>
      <font>
        <b val="0"/>
        <i val="0"/>
        <strike val="0"/>
        <condense val="0"/>
        <extend val="0"/>
        <outline val="0"/>
        <shadow val="0"/>
        <u val="none"/>
        <vertAlign val="baseline"/>
        <sz val="9"/>
        <color rgb="FF005877"/>
        <name val="Calibri"/>
        <scheme val="minor"/>
      </font>
      <fill>
        <patternFill patternType="solid">
          <fgColor indexed="64"/>
          <bgColor theme="5" tint="0.79998168889431442"/>
        </patternFill>
      </fill>
      <alignment horizontal="left" vertical="center" textRotation="0" wrapText="1" indent="0" justifyLastLine="0" shrinkToFit="0" readingOrder="0"/>
      <protection locked="0" hidden="0"/>
    </dxf>
    <dxf>
      <font>
        <b val="0"/>
        <i val="0"/>
        <strike val="0"/>
        <condense val="0"/>
        <extend val="0"/>
        <outline val="0"/>
        <shadow val="0"/>
        <u val="none"/>
        <vertAlign val="baseline"/>
        <sz val="9"/>
        <color rgb="FF005877"/>
        <name val="Calibri"/>
        <scheme val="minor"/>
      </font>
      <fill>
        <patternFill patternType="solid">
          <fgColor indexed="64"/>
          <bgColor theme="5" tint="0.79998168889431442"/>
        </patternFill>
      </fill>
      <alignment horizontal="left" vertical="center" textRotation="0" wrapText="1" indent="0" justifyLastLine="0" shrinkToFit="0" readingOrder="0"/>
      <protection locked="0" hidden="0"/>
    </dxf>
    <dxf>
      <font>
        <b val="0"/>
        <i val="0"/>
        <strike val="0"/>
        <condense val="0"/>
        <extend val="0"/>
        <outline val="0"/>
        <shadow val="0"/>
        <u val="none"/>
        <vertAlign val="baseline"/>
        <sz val="9"/>
        <color rgb="FF005877"/>
        <name val="Calibri"/>
        <scheme val="minor"/>
      </font>
      <fill>
        <patternFill patternType="solid">
          <fgColor indexed="64"/>
          <bgColor theme="5" tint="0.59999389629810485"/>
        </patternFill>
      </fill>
      <alignment horizontal="left" vertical="center" textRotation="0" wrapText="1" indent="0" justifyLastLine="0" shrinkToFit="0" readingOrder="0"/>
      <protection locked="0" hidden="0"/>
    </dxf>
    <dxf>
      <font>
        <b val="0"/>
        <i val="0"/>
        <strike val="0"/>
        <condense val="0"/>
        <extend val="0"/>
        <outline val="0"/>
        <shadow val="0"/>
        <u val="none"/>
        <vertAlign val="baseline"/>
        <sz val="9"/>
        <color rgb="FF005877"/>
        <name val="Calibri"/>
        <scheme val="minor"/>
      </font>
      <fill>
        <patternFill patternType="solid">
          <fgColor indexed="64"/>
          <bgColor theme="5" tint="0.59999389629810485"/>
        </patternFill>
      </fill>
      <alignment horizontal="left" vertical="center" textRotation="0" wrapText="1" indent="0" justifyLastLine="0" shrinkToFit="0" readingOrder="0"/>
      <protection locked="0" hidden="0"/>
    </dxf>
    <dxf>
      <font>
        <b val="0"/>
        <i val="0"/>
        <strike val="0"/>
        <condense val="0"/>
        <extend val="0"/>
        <outline val="0"/>
        <shadow val="0"/>
        <u val="none"/>
        <vertAlign val="baseline"/>
        <sz val="9"/>
        <color rgb="FF005877"/>
        <name val="Calibri"/>
        <scheme val="minor"/>
      </font>
      <fill>
        <patternFill patternType="solid">
          <fgColor indexed="64"/>
          <bgColor theme="5" tint="0.39997558519241921"/>
        </patternFill>
      </fill>
      <alignment horizontal="left" vertical="center" textRotation="0" wrapText="1" indent="0" justifyLastLine="0" shrinkToFit="0" readingOrder="0"/>
      <protection locked="0" hidden="0"/>
    </dxf>
    <dxf>
      <font>
        <b val="0"/>
        <i val="0"/>
        <strike val="0"/>
        <condense val="0"/>
        <extend val="0"/>
        <outline val="0"/>
        <shadow val="0"/>
        <u val="none"/>
        <vertAlign val="baseline"/>
        <sz val="9"/>
        <color rgb="FF005877"/>
        <name val="Calibri"/>
        <scheme val="minor"/>
      </font>
      <fill>
        <patternFill patternType="solid">
          <fgColor indexed="64"/>
          <bgColor theme="5" tint="0.39997558519241921"/>
        </patternFill>
      </fill>
      <alignment horizontal="left" vertical="center" textRotation="0" wrapText="1" indent="0" justifyLastLine="0" shrinkToFit="0" readingOrder="0"/>
      <protection locked="0" hidden="0"/>
    </dxf>
    <dxf>
      <font>
        <b val="0"/>
        <i val="0"/>
        <strike val="0"/>
        <condense val="0"/>
        <extend val="0"/>
        <outline val="0"/>
        <shadow val="0"/>
        <u val="none"/>
        <vertAlign val="baseline"/>
        <sz val="9"/>
        <color rgb="FF005877"/>
        <name val="Calibri"/>
        <scheme val="minor"/>
      </font>
      <fill>
        <patternFill patternType="solid">
          <fgColor indexed="64"/>
          <bgColor theme="7" tint="0.59999389629810485"/>
        </patternFill>
      </fill>
      <alignment horizontal="left" vertical="center" textRotation="0" wrapText="1" indent="0" justifyLastLine="0" shrinkToFit="0" readingOrder="0"/>
      <protection locked="0" hidden="0"/>
    </dxf>
    <dxf>
      <font>
        <b val="0"/>
        <i val="0"/>
        <strike val="0"/>
        <condense val="0"/>
        <extend val="0"/>
        <outline val="0"/>
        <shadow val="0"/>
        <u val="none"/>
        <vertAlign val="baseline"/>
        <sz val="9"/>
        <color rgb="FF005877"/>
        <name val="Calibri"/>
        <scheme val="minor"/>
      </font>
      <fill>
        <patternFill patternType="solid">
          <fgColor indexed="64"/>
          <bgColor theme="7" tint="0.59999389629810485"/>
        </patternFill>
      </fill>
      <alignment horizontal="left" vertical="center" textRotation="0" wrapText="1" indent="0" justifyLastLine="0" shrinkToFit="0" readingOrder="0"/>
      <protection locked="0" hidden="0"/>
    </dxf>
    <dxf>
      <font>
        <b val="0"/>
        <i val="0"/>
        <strike val="0"/>
        <condense val="0"/>
        <extend val="0"/>
        <outline val="0"/>
        <shadow val="0"/>
        <u val="none"/>
        <vertAlign val="baseline"/>
        <sz val="9"/>
        <color rgb="FF005877"/>
        <name val="Calibri"/>
        <scheme val="minor"/>
      </font>
      <fill>
        <patternFill patternType="solid">
          <fgColor indexed="64"/>
          <bgColor theme="7" tint="0.39997558519241921"/>
        </patternFill>
      </fill>
      <alignment horizontal="left" vertical="center" textRotation="0" wrapText="1" indent="0" justifyLastLine="0" shrinkToFit="0" readingOrder="0"/>
      <protection locked="0" hidden="0"/>
    </dxf>
    <dxf>
      <font>
        <b val="0"/>
        <i val="0"/>
        <strike val="0"/>
        <condense val="0"/>
        <extend val="0"/>
        <outline val="0"/>
        <shadow val="0"/>
        <u val="none"/>
        <vertAlign val="baseline"/>
        <sz val="9"/>
        <color rgb="FF005877"/>
        <name val="Calibri"/>
        <scheme val="minor"/>
      </font>
      <fill>
        <patternFill patternType="solid">
          <fgColor indexed="64"/>
          <bgColor theme="7" tint="0.39997558519241921"/>
        </patternFill>
      </fill>
      <alignment horizontal="left" vertical="center" textRotation="0" wrapText="1" indent="0" justifyLastLine="0" shrinkToFit="0" readingOrder="0"/>
      <protection locked="0" hidden="0"/>
    </dxf>
    <dxf>
      <font>
        <b val="0"/>
        <i val="0"/>
        <strike val="0"/>
        <condense val="0"/>
        <extend val="0"/>
        <outline val="0"/>
        <shadow val="0"/>
        <u val="none"/>
        <vertAlign val="baseline"/>
        <sz val="9"/>
        <color rgb="FF005877"/>
        <name val="Calibri"/>
        <scheme val="minor"/>
      </font>
      <fill>
        <patternFill patternType="solid">
          <fgColor indexed="64"/>
          <bgColor rgb="FFFFC000"/>
        </patternFill>
      </fill>
      <alignment horizontal="left" vertical="center" textRotation="0" wrapText="1" indent="0" justifyLastLine="0" shrinkToFit="0" readingOrder="0"/>
      <protection locked="0" hidden="0"/>
    </dxf>
    <dxf>
      <font>
        <b val="0"/>
        <i val="0"/>
        <strike val="0"/>
        <condense val="0"/>
        <extend val="0"/>
        <outline val="0"/>
        <shadow val="0"/>
        <u val="none"/>
        <vertAlign val="baseline"/>
        <sz val="9"/>
        <color rgb="FF005877"/>
        <name val="Calibri"/>
        <scheme val="minor"/>
      </font>
      <fill>
        <patternFill patternType="solid">
          <fgColor indexed="64"/>
          <bgColor rgb="FFFFC000"/>
        </patternFill>
      </fill>
      <alignment horizontal="left" vertical="center" textRotation="0" wrapText="1" indent="0" justifyLastLine="0" shrinkToFit="0" readingOrder="0"/>
      <protection locked="0" hidden="0"/>
    </dxf>
    <dxf>
      <font>
        <b val="0"/>
        <i val="0"/>
        <strike val="0"/>
        <condense val="0"/>
        <extend val="0"/>
        <outline val="0"/>
        <shadow val="0"/>
        <u val="none"/>
        <vertAlign val="baseline"/>
        <sz val="9"/>
        <color theme="0"/>
        <name val="Calibri"/>
        <scheme val="minor"/>
      </font>
      <fill>
        <patternFill patternType="solid">
          <fgColor indexed="64"/>
          <bgColor rgb="FFE87B00"/>
        </patternFill>
      </fill>
      <alignment horizontal="left" vertical="center" textRotation="0" wrapText="1" indent="0" justifyLastLine="0" shrinkToFit="0" readingOrder="0"/>
      <protection locked="0" hidden="0"/>
    </dxf>
    <dxf>
      <font>
        <b val="0"/>
        <i val="0"/>
        <strike val="0"/>
        <condense val="0"/>
        <extend val="0"/>
        <outline val="0"/>
        <shadow val="0"/>
        <u val="none"/>
        <vertAlign val="baseline"/>
        <sz val="9"/>
        <color rgb="FF005877"/>
        <name val="Calibri"/>
        <scheme val="minor"/>
      </font>
      <fill>
        <patternFill patternType="solid">
          <fgColor indexed="64"/>
          <bgColor theme="0"/>
        </patternFill>
      </fill>
      <alignment horizontal="left" vertical="center" textRotation="0" wrapText="0" indent="0" justifyLastLine="0" shrinkToFit="0" readingOrder="0"/>
      <protection locked="0" hidden="0"/>
    </dxf>
    <dxf>
      <font>
        <b/>
        <i val="0"/>
        <strike val="0"/>
        <condense val="0"/>
        <extend val="0"/>
        <outline val="0"/>
        <shadow val="0"/>
        <u val="none"/>
        <vertAlign val="baseline"/>
        <sz val="9"/>
        <color rgb="FF005877"/>
        <name val="Calibri"/>
        <scheme val="minor"/>
      </font>
      <fill>
        <patternFill patternType="solid">
          <fgColor theme="0" tint="-0.14999847407452621"/>
          <bgColor theme="0" tint="-0.14999847407452621"/>
        </patternFill>
      </fill>
      <alignment horizontal="center" vertical="center" textRotation="0" wrapText="0" indent="0" justifyLastLine="0" shrinkToFit="0" readingOrder="0"/>
    </dxf>
    <dxf>
      <font>
        <b/>
        <i val="0"/>
        <strike val="0"/>
        <condense val="0"/>
        <extend val="0"/>
        <outline val="0"/>
        <shadow val="0"/>
        <u val="none"/>
        <vertAlign val="baseline"/>
        <sz val="9"/>
        <color rgb="FF005877"/>
        <name val="Calibri"/>
        <scheme val="minor"/>
      </font>
      <fill>
        <patternFill patternType="solid">
          <fgColor theme="0" tint="-0.14999847407452621"/>
          <bgColor theme="0" tint="-0.14999847407452621"/>
        </patternFill>
      </fill>
      <alignment horizontal="center" vertical="center" textRotation="0" wrapText="0" indent="0" justifyLastLine="0" shrinkToFit="0" readingOrder="0"/>
    </dxf>
    <dxf>
      <font>
        <b/>
        <i val="0"/>
        <strike val="0"/>
        <condense val="0"/>
        <extend val="0"/>
        <outline val="0"/>
        <shadow val="0"/>
        <u val="none"/>
        <vertAlign val="baseline"/>
        <sz val="9"/>
        <color theme="0"/>
        <name val="Calibri"/>
        <scheme val="minor"/>
      </font>
      <fill>
        <patternFill patternType="solid">
          <fgColor theme="0" tint="-0.14999847407452621"/>
          <bgColor theme="0" tint="-0.14999847407452621"/>
        </patternFill>
      </fill>
      <alignment horizontal="center" vertical="center" textRotation="0" wrapText="0" indent="0" justifyLastLine="0" shrinkToFit="0" readingOrder="0"/>
    </dxf>
    <dxf>
      <font>
        <b/>
        <i val="0"/>
        <strike val="0"/>
        <condense val="0"/>
        <extend val="0"/>
        <outline val="0"/>
        <shadow val="0"/>
        <u val="none"/>
        <vertAlign val="baseline"/>
        <sz val="9"/>
        <color rgb="FF005877"/>
        <name val="Calibri"/>
        <scheme val="minor"/>
      </font>
      <numFmt numFmtId="0" formatCode="General"/>
      <fill>
        <patternFill patternType="solid">
          <fgColor indexed="64"/>
          <bgColor theme="0" tint="-0.249977111117893"/>
        </patternFill>
      </fill>
      <alignment horizontal="center" vertical="center" textRotation="0" wrapText="0" indent="0" justifyLastLine="0" shrinkToFit="0" readingOrder="0"/>
    </dxf>
    <dxf>
      <font>
        <b/>
        <i val="0"/>
        <strike val="0"/>
        <condense val="0"/>
        <extend val="0"/>
        <outline val="0"/>
        <shadow val="0"/>
        <u val="none"/>
        <vertAlign val="baseline"/>
        <sz val="9"/>
        <color rgb="FF005877"/>
        <name val="Calibri"/>
        <scheme val="minor"/>
      </font>
      <numFmt numFmtId="0" formatCode="General"/>
      <fill>
        <patternFill patternType="solid">
          <fgColor indexed="64"/>
          <bgColor theme="0" tint="-0.249977111117893"/>
        </patternFill>
      </fill>
      <alignment horizontal="left" vertical="center" textRotation="0" wrapText="0" indent="0" justifyLastLine="0" shrinkToFit="0" readingOrder="0"/>
    </dxf>
    <dxf>
      <border outline="0">
        <top style="thick">
          <color rgb="FF005877"/>
        </top>
      </border>
    </dxf>
    <dxf>
      <fill>
        <patternFill>
          <bgColor theme="0"/>
        </patternFill>
      </fill>
    </dxf>
    <dxf>
      <fill>
        <patternFill>
          <bgColor theme="0"/>
        </patternFill>
      </fill>
    </dxf>
    <dxf>
      <fill>
        <patternFill>
          <bgColor theme="0" tint="-0.14996795556505021"/>
        </patternFill>
      </fill>
    </dxf>
    <dxf>
      <fill>
        <patternFill>
          <bgColor theme="0" tint="-4.9989318521683403E-2"/>
        </patternFill>
      </fill>
    </dxf>
    <dxf>
      <fill>
        <patternFill>
          <bgColor theme="0" tint="-0.14996795556505021"/>
        </patternFill>
      </fill>
    </dxf>
    <dxf>
      <fill>
        <patternFill>
          <bgColor theme="0" tint="-4.9989318521683403E-2"/>
        </patternFill>
      </fill>
    </dxf>
    <dxf>
      <fill>
        <patternFill>
          <bgColor theme="0" tint="-0.14996795556505021"/>
        </patternFill>
      </fill>
    </dxf>
    <dxf>
      <fill>
        <patternFill>
          <bgColor theme="0" tint="-4.9989318521683403E-2"/>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tint="-0.14996795556505021"/>
        </patternFill>
      </fill>
    </dxf>
    <dxf>
      <fill>
        <patternFill>
          <bgColor theme="0" tint="-4.9989318521683403E-2"/>
        </patternFill>
      </fill>
    </dxf>
    <dxf>
      <fill>
        <patternFill>
          <bgColor theme="0"/>
        </patternFill>
      </fill>
    </dxf>
    <dxf>
      <font>
        <b val="0"/>
        <i val="0"/>
        <strike val="0"/>
        <condense val="0"/>
        <extend val="0"/>
        <outline val="0"/>
        <shadow val="0"/>
        <u val="none"/>
        <vertAlign val="baseline"/>
        <sz val="9"/>
        <color rgb="FF005877"/>
        <name val="Calibri"/>
        <scheme val="minor"/>
      </font>
      <fill>
        <patternFill patternType="solid">
          <fgColor indexed="64"/>
          <bgColor theme="7" tint="0.59999389629810485"/>
        </patternFill>
      </fill>
      <alignment horizontal="left" vertical="center" textRotation="0" wrapText="0" indent="0" justifyLastLine="0" shrinkToFit="0" readingOrder="0"/>
      <protection locked="0" hidden="0"/>
    </dxf>
    <dxf>
      <font>
        <b val="0"/>
        <i val="0"/>
        <strike val="0"/>
        <condense val="0"/>
        <extend val="0"/>
        <outline val="0"/>
        <shadow val="0"/>
        <u val="none"/>
        <vertAlign val="baseline"/>
        <sz val="9"/>
        <color rgb="FF005877"/>
        <name val="Calibri"/>
        <scheme val="minor"/>
      </font>
      <fill>
        <patternFill patternType="solid">
          <fgColor indexed="64"/>
          <bgColor theme="4" tint="0.79998168889431442"/>
        </patternFill>
      </fill>
      <alignment horizontal="left" vertical="center" textRotation="0" wrapText="0" indent="0" justifyLastLine="0" shrinkToFit="0" readingOrder="0"/>
      <protection locked="0" hidden="0"/>
    </dxf>
    <dxf>
      <font>
        <b val="0"/>
        <i val="0"/>
        <strike val="0"/>
        <condense val="0"/>
        <extend val="0"/>
        <outline val="0"/>
        <shadow val="0"/>
        <u val="none"/>
        <vertAlign val="baseline"/>
        <sz val="9"/>
        <color rgb="FF005877"/>
        <name val="Calibri"/>
        <scheme val="minor"/>
      </font>
      <fill>
        <patternFill patternType="solid">
          <fgColor indexed="64"/>
          <bgColor theme="4" tint="0.59999389629810485"/>
        </patternFill>
      </fill>
      <alignment horizontal="left" vertical="center" textRotation="0" wrapText="0" indent="0" justifyLastLine="0" shrinkToFit="0" readingOrder="0"/>
      <protection locked="0" hidden="0"/>
    </dxf>
    <dxf>
      <font>
        <b val="0"/>
        <i val="0"/>
        <strike val="0"/>
        <condense val="0"/>
        <extend val="0"/>
        <outline val="0"/>
        <shadow val="0"/>
        <u val="none"/>
        <vertAlign val="baseline"/>
        <sz val="9"/>
        <color rgb="FF005877"/>
        <name val="Calibri"/>
        <scheme val="minor"/>
      </font>
      <fill>
        <patternFill patternType="solid">
          <fgColor indexed="64"/>
          <bgColor theme="4" tint="0.39997558519241921"/>
        </patternFill>
      </fill>
      <alignment horizontal="left" vertical="center" textRotation="0" wrapText="0" indent="0" justifyLastLine="0" shrinkToFit="0" readingOrder="0"/>
      <protection locked="0" hidden="0"/>
    </dxf>
    <dxf>
      <font>
        <b val="0"/>
        <i val="0"/>
        <strike val="0"/>
        <condense val="0"/>
        <extend val="0"/>
        <outline val="0"/>
        <shadow val="0"/>
        <u val="none"/>
        <vertAlign val="baseline"/>
        <sz val="9"/>
        <color rgb="FF005877"/>
        <name val="Calibri"/>
        <scheme val="minor"/>
      </font>
      <fill>
        <patternFill patternType="solid">
          <fgColor indexed="64"/>
          <bgColor theme="4" tint="-0.249977111117893"/>
        </patternFill>
      </fill>
      <alignment horizontal="left" vertical="center" textRotation="0" wrapText="0" indent="0" justifyLastLine="0" shrinkToFit="0" readingOrder="0"/>
      <protection locked="0" hidden="0"/>
    </dxf>
    <dxf>
      <font>
        <b val="0"/>
        <i val="0"/>
        <strike val="0"/>
        <condense val="0"/>
        <extend val="0"/>
        <outline val="0"/>
        <shadow val="0"/>
        <u val="none"/>
        <vertAlign val="baseline"/>
        <sz val="9"/>
        <color rgb="FF005877"/>
        <name val="Calibri"/>
        <scheme val="minor"/>
      </font>
      <fill>
        <patternFill patternType="solid">
          <fgColor indexed="64"/>
          <bgColor theme="5" tint="0.79998168889431442"/>
        </patternFill>
      </fill>
      <alignment horizontal="left" vertical="center" textRotation="0" wrapText="0" indent="0" justifyLastLine="0" shrinkToFit="0" readingOrder="0"/>
      <protection locked="0" hidden="0"/>
    </dxf>
    <dxf>
      <font>
        <b val="0"/>
        <i val="0"/>
        <strike val="0"/>
        <condense val="0"/>
        <extend val="0"/>
        <outline val="0"/>
        <shadow val="0"/>
        <u val="none"/>
        <vertAlign val="baseline"/>
        <sz val="9"/>
        <color rgb="FF005877"/>
        <name val="Calibri"/>
        <scheme val="minor"/>
      </font>
      <fill>
        <patternFill patternType="solid">
          <fgColor indexed="64"/>
          <bgColor theme="5" tint="0.79998168889431442"/>
        </patternFill>
      </fill>
      <alignment horizontal="left" vertical="center" textRotation="0" wrapText="0" indent="0" justifyLastLine="0" shrinkToFit="0" readingOrder="0"/>
      <protection locked="0" hidden="0"/>
    </dxf>
    <dxf>
      <font>
        <b val="0"/>
        <i val="0"/>
        <strike val="0"/>
        <condense val="0"/>
        <extend val="0"/>
        <outline val="0"/>
        <shadow val="0"/>
        <u val="none"/>
        <vertAlign val="baseline"/>
        <sz val="9"/>
        <color rgb="FF005877"/>
        <name val="Calibri"/>
        <scheme val="minor"/>
      </font>
      <fill>
        <patternFill patternType="solid">
          <fgColor indexed="64"/>
          <bgColor theme="5" tint="0.79998168889431442"/>
        </patternFill>
      </fill>
      <alignment horizontal="left" vertical="center" textRotation="0" wrapText="0" indent="0" justifyLastLine="0" shrinkToFit="0" readingOrder="0"/>
      <protection locked="0" hidden="0"/>
    </dxf>
    <dxf>
      <font>
        <b val="0"/>
        <i val="0"/>
        <strike val="0"/>
        <condense val="0"/>
        <extend val="0"/>
        <outline val="0"/>
        <shadow val="0"/>
        <u val="none"/>
        <vertAlign val="baseline"/>
        <sz val="9"/>
        <color rgb="FF005877"/>
        <name val="Calibri"/>
        <scheme val="minor"/>
      </font>
      <fill>
        <patternFill patternType="solid">
          <fgColor indexed="64"/>
          <bgColor theme="5" tint="0.79998168889431442"/>
        </patternFill>
      </fill>
      <alignment horizontal="left" vertical="center" textRotation="0" wrapText="0" indent="0" justifyLastLine="0" shrinkToFit="0" readingOrder="0"/>
      <protection locked="0" hidden="0"/>
    </dxf>
    <dxf>
      <font>
        <b val="0"/>
        <i val="0"/>
        <strike val="0"/>
        <condense val="0"/>
        <extend val="0"/>
        <outline val="0"/>
        <shadow val="0"/>
        <u val="none"/>
        <vertAlign val="baseline"/>
        <sz val="9"/>
        <color rgb="FF005877"/>
        <name val="Calibri"/>
        <scheme val="minor"/>
      </font>
      <fill>
        <patternFill patternType="solid">
          <fgColor indexed="64"/>
          <bgColor theme="5" tint="0.79998168889431442"/>
        </patternFill>
      </fill>
      <alignment horizontal="left" vertical="center" textRotation="0" wrapText="0" indent="0" justifyLastLine="0" shrinkToFit="0" readingOrder="0"/>
      <protection locked="0" hidden="0"/>
    </dxf>
    <dxf>
      <font>
        <b val="0"/>
        <i val="0"/>
        <strike val="0"/>
        <condense val="0"/>
        <extend val="0"/>
        <outline val="0"/>
        <shadow val="0"/>
        <u val="none"/>
        <vertAlign val="baseline"/>
        <sz val="9"/>
        <color rgb="FF005877"/>
        <name val="Calibri"/>
        <scheme val="minor"/>
      </font>
      <fill>
        <patternFill patternType="solid">
          <fgColor indexed="64"/>
          <bgColor theme="5" tint="0.79998168889431442"/>
        </patternFill>
      </fill>
      <alignment horizontal="left" vertical="center" textRotation="0" wrapText="0" indent="0" justifyLastLine="0" shrinkToFit="0" readingOrder="0"/>
      <protection locked="0" hidden="0"/>
    </dxf>
    <dxf>
      <font>
        <b val="0"/>
        <i val="0"/>
        <strike val="0"/>
        <condense val="0"/>
        <extend val="0"/>
        <outline val="0"/>
        <shadow val="0"/>
        <u val="none"/>
        <vertAlign val="baseline"/>
        <sz val="9"/>
        <color rgb="FF005877"/>
        <name val="Calibri"/>
        <scheme val="minor"/>
      </font>
      <fill>
        <patternFill patternType="solid">
          <fgColor indexed="64"/>
          <bgColor theme="5" tint="0.79998168889431442"/>
        </patternFill>
      </fill>
      <alignment horizontal="left" vertical="center" textRotation="0" wrapText="0" indent="0" justifyLastLine="0" shrinkToFit="0" readingOrder="0"/>
      <protection locked="0" hidden="0"/>
    </dxf>
    <dxf>
      <font>
        <b val="0"/>
        <i val="0"/>
        <strike val="0"/>
        <condense val="0"/>
        <extend val="0"/>
        <outline val="0"/>
        <shadow val="0"/>
        <u val="none"/>
        <vertAlign val="baseline"/>
        <sz val="9"/>
        <color rgb="FF005877"/>
        <name val="Calibri"/>
        <scheme val="minor"/>
      </font>
      <fill>
        <patternFill patternType="solid">
          <fgColor indexed="64"/>
          <bgColor theme="5" tint="0.79998168889431442"/>
        </patternFill>
      </fill>
      <alignment horizontal="left" vertical="center" textRotation="0" wrapText="0" indent="0" justifyLastLine="0" shrinkToFit="0" readingOrder="0"/>
      <protection locked="0" hidden="0"/>
    </dxf>
    <dxf>
      <font>
        <b val="0"/>
        <i val="0"/>
        <strike val="0"/>
        <condense val="0"/>
        <extend val="0"/>
        <outline val="0"/>
        <shadow val="0"/>
        <u val="none"/>
        <vertAlign val="baseline"/>
        <sz val="9"/>
        <color rgb="FF005877"/>
        <name val="Calibri"/>
        <scheme val="minor"/>
      </font>
      <fill>
        <patternFill patternType="solid">
          <fgColor indexed="64"/>
          <bgColor theme="5" tint="0.79998168889431442"/>
        </patternFill>
      </fill>
      <alignment horizontal="left" vertical="center" textRotation="0" wrapText="0" indent="0" justifyLastLine="0" shrinkToFit="0" readingOrder="0"/>
      <protection locked="0" hidden="0"/>
    </dxf>
    <dxf>
      <font>
        <b val="0"/>
        <i val="0"/>
        <strike val="0"/>
        <condense val="0"/>
        <extend val="0"/>
        <outline val="0"/>
        <shadow val="0"/>
        <u val="none"/>
        <vertAlign val="baseline"/>
        <sz val="9"/>
        <color rgb="FF005877"/>
        <name val="Calibri"/>
        <scheme val="minor"/>
      </font>
      <fill>
        <patternFill patternType="solid">
          <fgColor indexed="64"/>
          <bgColor theme="5" tint="0.79998168889431442"/>
        </patternFill>
      </fill>
      <alignment horizontal="left" vertical="center" textRotation="0" wrapText="0" indent="0" justifyLastLine="0" shrinkToFit="0" readingOrder="0"/>
      <protection locked="0" hidden="0"/>
    </dxf>
    <dxf>
      <font>
        <b val="0"/>
        <i val="0"/>
        <strike val="0"/>
        <condense val="0"/>
        <extend val="0"/>
        <outline val="0"/>
        <shadow val="0"/>
        <u val="none"/>
        <vertAlign val="baseline"/>
        <sz val="9"/>
        <color rgb="FF005877"/>
        <name val="Calibri"/>
        <scheme val="minor"/>
      </font>
      <fill>
        <patternFill patternType="solid">
          <fgColor indexed="64"/>
          <bgColor theme="5" tint="0.79998168889431442"/>
        </patternFill>
      </fill>
      <alignment horizontal="left" vertical="center" textRotation="0" wrapText="0" indent="0" justifyLastLine="0" shrinkToFit="0" readingOrder="0"/>
      <protection locked="0" hidden="0"/>
    </dxf>
    <dxf>
      <font>
        <b val="0"/>
        <i val="0"/>
        <strike val="0"/>
        <condense val="0"/>
        <extend val="0"/>
        <outline val="0"/>
        <shadow val="0"/>
        <u val="none"/>
        <vertAlign val="baseline"/>
        <sz val="9"/>
        <color rgb="FF005877"/>
        <name val="Calibri"/>
        <scheme val="minor"/>
      </font>
      <fill>
        <patternFill patternType="solid">
          <fgColor indexed="64"/>
          <bgColor theme="5" tint="0.79998168889431442"/>
        </patternFill>
      </fill>
      <alignment horizontal="left" vertical="center" textRotation="0" wrapText="0" indent="0" justifyLastLine="0" shrinkToFit="0" readingOrder="0"/>
      <protection locked="0" hidden="0"/>
    </dxf>
    <dxf>
      <font>
        <b val="0"/>
        <i val="0"/>
        <strike val="0"/>
        <condense val="0"/>
        <extend val="0"/>
        <outline val="0"/>
        <shadow val="0"/>
        <u val="none"/>
        <vertAlign val="baseline"/>
        <sz val="9"/>
        <color rgb="FF005877"/>
        <name val="Calibri"/>
        <scheme val="minor"/>
      </font>
      <fill>
        <patternFill patternType="solid">
          <fgColor indexed="64"/>
          <bgColor theme="5" tint="0.79998168889431442"/>
        </patternFill>
      </fill>
      <alignment horizontal="left" vertical="center" textRotation="0" wrapText="0" indent="0" justifyLastLine="0" shrinkToFit="0" readingOrder="0"/>
      <protection locked="0" hidden="0"/>
    </dxf>
    <dxf>
      <font>
        <b val="0"/>
        <i val="0"/>
        <strike val="0"/>
        <condense val="0"/>
        <extend val="0"/>
        <outline val="0"/>
        <shadow val="0"/>
        <u val="none"/>
        <vertAlign val="baseline"/>
        <sz val="9"/>
        <color rgb="FF005877"/>
        <name val="Calibri"/>
        <scheme val="minor"/>
      </font>
      <fill>
        <patternFill patternType="solid">
          <fgColor indexed="64"/>
          <bgColor theme="5" tint="0.59999389629810485"/>
        </patternFill>
      </fill>
      <alignment horizontal="left" vertical="center" textRotation="0" wrapText="0" indent="0" justifyLastLine="0" shrinkToFit="0" readingOrder="0"/>
      <protection locked="0" hidden="0"/>
    </dxf>
    <dxf>
      <font>
        <b val="0"/>
        <i val="0"/>
        <strike val="0"/>
        <condense val="0"/>
        <extend val="0"/>
        <outline val="0"/>
        <shadow val="0"/>
        <u val="none"/>
        <vertAlign val="baseline"/>
        <sz val="9"/>
        <color rgb="FF005877"/>
        <name val="Calibri"/>
        <scheme val="minor"/>
      </font>
      <fill>
        <patternFill patternType="solid">
          <fgColor indexed="64"/>
          <bgColor theme="5" tint="0.39997558519241921"/>
        </patternFill>
      </fill>
      <alignment horizontal="left" vertical="center" textRotation="0" wrapText="0" indent="0" justifyLastLine="0" shrinkToFit="0" readingOrder="0"/>
      <protection locked="0" hidden="0"/>
    </dxf>
    <dxf>
      <font>
        <b val="0"/>
        <i val="0"/>
        <strike val="0"/>
        <condense val="0"/>
        <extend val="0"/>
        <outline val="0"/>
        <shadow val="0"/>
        <u val="none"/>
        <vertAlign val="baseline"/>
        <sz val="9"/>
        <color rgb="FF005877"/>
        <name val="Calibri"/>
        <scheme val="minor"/>
      </font>
      <fill>
        <patternFill patternType="solid">
          <fgColor indexed="64"/>
          <bgColor theme="7" tint="0.59999389629810485"/>
        </patternFill>
      </fill>
      <alignment horizontal="left" vertical="center" textRotation="0" wrapText="0" indent="0" justifyLastLine="0" shrinkToFit="0" readingOrder="0"/>
      <protection locked="0" hidden="0"/>
    </dxf>
    <dxf>
      <font>
        <b val="0"/>
        <i val="0"/>
        <strike val="0"/>
        <condense val="0"/>
        <extend val="0"/>
        <outline val="0"/>
        <shadow val="0"/>
        <u val="none"/>
        <vertAlign val="baseline"/>
        <sz val="9"/>
        <color rgb="FF005877"/>
        <name val="Calibri"/>
        <scheme val="minor"/>
      </font>
      <fill>
        <patternFill patternType="solid">
          <fgColor indexed="64"/>
          <bgColor theme="7" tint="0.39997558519241921"/>
        </patternFill>
      </fill>
      <alignment horizontal="left" vertical="center" textRotation="0" wrapText="0" indent="0" justifyLastLine="0" shrinkToFit="0" readingOrder="0"/>
      <protection locked="0" hidden="0"/>
    </dxf>
    <dxf>
      <font>
        <b val="0"/>
        <i val="0"/>
        <strike val="0"/>
        <condense val="0"/>
        <extend val="0"/>
        <outline val="0"/>
        <shadow val="0"/>
        <u val="none"/>
        <vertAlign val="baseline"/>
        <sz val="9"/>
        <color rgb="FF005877"/>
        <name val="Calibri"/>
        <scheme val="minor"/>
      </font>
      <fill>
        <patternFill patternType="solid">
          <fgColor indexed="64"/>
          <bgColor rgb="FFFFC000"/>
        </patternFill>
      </fill>
      <alignment horizontal="left" vertical="center" textRotation="0" wrapText="0" indent="0" justifyLastLine="0" shrinkToFit="0" readingOrder="0"/>
      <protection locked="0" hidden="0"/>
    </dxf>
    <dxf>
      <font>
        <b val="0"/>
        <i val="0"/>
        <strike val="0"/>
        <condense val="0"/>
        <extend val="0"/>
        <outline val="0"/>
        <shadow val="0"/>
        <u val="none"/>
        <vertAlign val="baseline"/>
        <sz val="9"/>
        <color rgb="FF005877"/>
        <name val="Calibri"/>
        <scheme val="minor"/>
      </font>
      <fill>
        <patternFill patternType="solid">
          <fgColor indexed="64"/>
          <bgColor theme="5" tint="0.79998168889431442"/>
        </patternFill>
      </fill>
      <alignment horizontal="left" vertical="center" textRotation="0" wrapText="0" indent="0" justifyLastLine="0" shrinkToFit="0" readingOrder="0"/>
      <protection locked="0" hidden="0"/>
    </dxf>
    <dxf>
      <font>
        <b val="0"/>
        <i val="0"/>
        <strike val="0"/>
        <condense val="0"/>
        <extend val="0"/>
        <outline val="0"/>
        <shadow val="0"/>
        <u val="none"/>
        <vertAlign val="baseline"/>
        <sz val="9"/>
        <color rgb="FF005877"/>
        <name val="Calibri"/>
        <scheme val="minor"/>
      </font>
      <fill>
        <patternFill patternType="solid">
          <fgColor indexed="64"/>
          <bgColor theme="5" tint="0.59999389629810485"/>
        </patternFill>
      </fill>
      <alignment horizontal="left" vertical="center" textRotation="0" wrapText="0" indent="0" justifyLastLine="0" shrinkToFit="0" readingOrder="0"/>
      <protection locked="0" hidden="0"/>
    </dxf>
    <dxf>
      <font>
        <b val="0"/>
        <i val="0"/>
        <strike val="0"/>
        <condense val="0"/>
        <extend val="0"/>
        <outline val="0"/>
        <shadow val="0"/>
        <u val="none"/>
        <vertAlign val="baseline"/>
        <sz val="9"/>
        <color rgb="FF005877"/>
        <name val="Calibri"/>
        <scheme val="minor"/>
      </font>
      <fill>
        <patternFill patternType="solid">
          <fgColor indexed="64"/>
          <bgColor theme="5" tint="0.39997558519241921"/>
        </patternFill>
      </fill>
      <alignment horizontal="left" vertical="center" textRotation="0" wrapText="0" indent="0" justifyLastLine="0" shrinkToFit="0" readingOrder="0"/>
      <protection locked="0" hidden="0"/>
    </dxf>
    <dxf>
      <font>
        <b val="0"/>
        <i val="0"/>
        <strike val="0"/>
        <condense val="0"/>
        <extend val="0"/>
        <outline val="0"/>
        <shadow val="0"/>
        <u val="none"/>
        <vertAlign val="baseline"/>
        <sz val="9"/>
        <color rgb="FF005877"/>
        <name val="Calibri"/>
        <scheme val="minor"/>
      </font>
      <fill>
        <patternFill patternType="solid">
          <fgColor indexed="64"/>
          <bgColor theme="7" tint="0.59999389629810485"/>
        </patternFill>
      </fill>
      <alignment horizontal="left" vertical="center" textRotation="0" wrapText="0" indent="0" justifyLastLine="0" shrinkToFit="0" readingOrder="0"/>
      <protection locked="0" hidden="0"/>
    </dxf>
    <dxf>
      <font>
        <b val="0"/>
        <i val="0"/>
        <strike val="0"/>
        <condense val="0"/>
        <extend val="0"/>
        <outline val="0"/>
        <shadow val="0"/>
        <u val="none"/>
        <vertAlign val="baseline"/>
        <sz val="9"/>
        <color rgb="FF005877"/>
        <name val="Calibri"/>
        <scheme val="minor"/>
      </font>
      <fill>
        <patternFill patternType="solid">
          <fgColor indexed="64"/>
          <bgColor theme="7" tint="0.39997558519241921"/>
        </patternFill>
      </fill>
      <alignment horizontal="left" vertical="center" textRotation="0" wrapText="0" indent="0" justifyLastLine="0" shrinkToFit="0" readingOrder="0"/>
      <protection locked="0" hidden="0"/>
    </dxf>
    <dxf>
      <font>
        <b val="0"/>
        <i val="0"/>
        <strike val="0"/>
        <condense val="0"/>
        <extend val="0"/>
        <outline val="0"/>
        <shadow val="0"/>
        <u val="none"/>
        <vertAlign val="baseline"/>
        <sz val="9"/>
        <color rgb="FF005877"/>
        <name val="Calibri"/>
        <scheme val="minor"/>
      </font>
      <fill>
        <patternFill patternType="solid">
          <fgColor indexed="64"/>
          <bgColor rgb="FFFFC000"/>
        </patternFill>
      </fill>
      <alignment horizontal="left" vertical="center" textRotation="0" wrapText="1" indent="0" justifyLastLine="0" shrinkToFit="0" readingOrder="0"/>
      <protection locked="0" hidden="0"/>
    </dxf>
    <dxf>
      <font>
        <b/>
        <i val="0"/>
        <strike val="0"/>
        <condense val="0"/>
        <extend val="0"/>
        <outline val="0"/>
        <shadow val="0"/>
        <u val="none"/>
        <vertAlign val="baseline"/>
        <sz val="9"/>
        <color theme="0"/>
        <name val="Calibri"/>
        <scheme val="minor"/>
      </font>
      <fill>
        <patternFill patternType="solid">
          <fgColor indexed="64"/>
          <bgColor rgb="FFE87B00"/>
        </patternFill>
      </fill>
      <alignment horizontal="left" vertical="center" textRotation="0" wrapText="1" indent="0" justifyLastLine="0" shrinkToFit="0" readingOrder="0"/>
      <protection locked="0" hidden="0"/>
    </dxf>
    <dxf>
      <font>
        <b/>
        <i val="0"/>
        <strike val="0"/>
        <condense val="0"/>
        <extend val="0"/>
        <outline val="0"/>
        <shadow val="0"/>
        <u val="none"/>
        <vertAlign val="baseline"/>
        <sz val="9"/>
        <color rgb="FF005877"/>
        <name val="Calibri"/>
        <scheme val="minor"/>
      </font>
      <fill>
        <patternFill patternType="solid">
          <fgColor indexed="64"/>
          <bgColor theme="0"/>
        </patternFill>
      </fill>
      <alignment horizontal="left" vertical="center" textRotation="0" wrapText="0" indent="0" justifyLastLine="0" shrinkToFit="0" readingOrder="0"/>
      <protection locked="0" hidden="0"/>
    </dxf>
    <dxf>
      <font>
        <b val="0"/>
        <i val="0"/>
        <strike val="0"/>
        <condense val="0"/>
        <extend val="0"/>
        <outline val="0"/>
        <shadow val="0"/>
        <u val="none"/>
        <vertAlign val="baseline"/>
        <sz val="9"/>
        <color rgb="FF005877"/>
        <name val="Calibri"/>
        <scheme val="minor"/>
      </font>
      <fill>
        <patternFill patternType="solid">
          <fgColor indexed="64"/>
          <bgColor rgb="FFFFFF00"/>
        </patternFill>
      </fill>
      <alignment horizontal="center" vertical="center" textRotation="0" wrapText="0" indent="0" justifyLastLine="0" shrinkToFit="0" readingOrder="0"/>
      <protection locked="0" hidden="0"/>
    </dxf>
    <dxf>
      <font>
        <b val="0"/>
        <i val="0"/>
        <strike val="0"/>
        <condense val="0"/>
        <extend val="0"/>
        <outline val="0"/>
        <shadow val="0"/>
        <u val="none"/>
        <vertAlign val="baseline"/>
        <sz val="9"/>
        <color rgb="FF005877"/>
        <name val="Calibri"/>
        <scheme val="minor"/>
      </font>
      <fill>
        <patternFill patternType="solid">
          <fgColor indexed="64"/>
          <bgColor rgb="FFFFFF00"/>
        </patternFill>
      </fill>
      <alignment horizontal="center" vertical="center" textRotation="0" wrapText="0" indent="0" justifyLastLine="0" shrinkToFit="0" readingOrder="0"/>
      <protection locked="0" hidden="0"/>
    </dxf>
    <dxf>
      <font>
        <b val="0"/>
        <i val="0"/>
        <strike val="0"/>
        <condense val="0"/>
        <extend val="0"/>
        <outline val="0"/>
        <shadow val="0"/>
        <u val="none"/>
        <vertAlign val="baseline"/>
        <sz val="9"/>
        <color theme="0"/>
        <name val="Calibri"/>
        <scheme val="minor"/>
      </font>
      <fill>
        <patternFill patternType="solid">
          <fgColor indexed="64"/>
          <bgColor rgb="FFE87B00"/>
        </patternFill>
      </fill>
      <alignment horizontal="center" vertical="center" textRotation="0" wrapText="0" indent="0" justifyLastLine="0" shrinkToFit="0" readingOrder="0"/>
      <protection locked="0" hidden="0"/>
    </dxf>
    <dxf>
      <font>
        <b val="0"/>
        <i val="0"/>
        <strike val="0"/>
        <condense val="0"/>
        <extend val="0"/>
        <outline val="0"/>
        <shadow val="0"/>
        <u val="none"/>
        <vertAlign val="baseline"/>
        <sz val="9"/>
        <color rgb="FF005877"/>
        <name val="Calibri"/>
        <scheme val="minor"/>
      </font>
      <fill>
        <patternFill patternType="solid">
          <fgColor indexed="64"/>
          <bgColor theme="0" tint="-0.249977111117893"/>
        </patternFill>
      </fill>
      <alignment horizontal="center" vertical="center" textRotation="0" wrapText="0" indent="0" justifyLastLine="0" shrinkToFit="0" readingOrder="0"/>
      <protection locked="1" hidden="0"/>
    </dxf>
    <dxf>
      <font>
        <b/>
        <i val="0"/>
        <strike val="0"/>
        <condense val="0"/>
        <extend val="0"/>
        <outline val="0"/>
        <shadow val="0"/>
        <u val="none"/>
        <vertAlign val="baseline"/>
        <sz val="9"/>
        <color rgb="FF005877"/>
        <name val="Calibri"/>
        <scheme val="minor"/>
      </font>
      <numFmt numFmtId="0" formatCode="General"/>
      <fill>
        <patternFill patternType="solid">
          <fgColor indexed="64"/>
          <bgColor theme="0" tint="-0.249977111117893"/>
        </patternFill>
      </fill>
      <alignment horizontal="left" vertical="center" textRotation="0" wrapText="0" indent="0" justifyLastLine="0" shrinkToFit="0" readingOrder="0"/>
      <protection locked="1" hidden="0"/>
    </dxf>
    <dxf>
      <fill>
        <patternFill>
          <bgColor theme="0" tint="-0.14996795556505021"/>
        </patternFill>
      </fill>
    </dxf>
    <dxf>
      <fill>
        <patternFill>
          <bgColor theme="0" tint="-4.9989318521683403E-2"/>
        </patternFill>
      </fill>
    </dxf>
    <dxf>
      <fill>
        <patternFill>
          <bgColor theme="0" tint="-0.14996795556505021"/>
        </patternFill>
      </fill>
    </dxf>
    <dxf>
      <fill>
        <patternFill>
          <bgColor theme="0" tint="-4.9989318521683403E-2"/>
        </patternFill>
      </fill>
    </dxf>
    <dxf>
      <fill>
        <patternFill>
          <bgColor theme="0" tint="-0.14996795556505021"/>
        </patternFill>
      </fill>
    </dxf>
    <dxf>
      <fill>
        <patternFill>
          <bgColor theme="0" tint="-4.9989318521683403E-2"/>
        </patternFill>
      </fill>
    </dxf>
    <dxf>
      <fill>
        <patternFill>
          <bgColor theme="0"/>
        </patternFill>
      </fill>
    </dxf>
    <dxf>
      <font>
        <b val="0"/>
        <i val="0"/>
        <strike val="0"/>
        <condense val="0"/>
        <extend val="0"/>
        <outline val="0"/>
        <shadow val="0"/>
        <u val="none"/>
        <vertAlign val="baseline"/>
        <sz val="9"/>
        <color rgb="FF005877"/>
        <name val="Calibri"/>
        <scheme val="minor"/>
      </font>
      <fill>
        <patternFill patternType="solid">
          <fgColor indexed="64"/>
          <bgColor theme="7" tint="0.59999389629810485"/>
        </patternFill>
      </fill>
      <alignment horizontal="left" vertical="center" textRotation="0" wrapText="0" indent="0" justifyLastLine="0" shrinkToFit="0" readingOrder="0"/>
      <protection locked="0" hidden="0"/>
    </dxf>
    <dxf>
      <font>
        <b val="0"/>
        <i val="0"/>
        <strike val="0"/>
        <condense val="0"/>
        <extend val="0"/>
        <outline val="0"/>
        <shadow val="0"/>
        <u val="none"/>
        <vertAlign val="baseline"/>
        <sz val="9"/>
        <color rgb="FF005877"/>
        <name val="Calibri"/>
        <scheme val="minor"/>
      </font>
      <fill>
        <patternFill patternType="solid">
          <fgColor indexed="64"/>
          <bgColor theme="4" tint="0.79998168889431442"/>
        </patternFill>
      </fill>
      <alignment horizontal="left" vertical="center" textRotation="0" wrapText="0" indent="0" justifyLastLine="0" shrinkToFit="0" readingOrder="0"/>
      <protection locked="0" hidden="0"/>
    </dxf>
    <dxf>
      <font>
        <b val="0"/>
        <i val="0"/>
        <strike val="0"/>
        <condense val="0"/>
        <extend val="0"/>
        <outline val="0"/>
        <shadow val="0"/>
        <u val="none"/>
        <vertAlign val="baseline"/>
        <sz val="9"/>
        <color rgb="FF005877"/>
        <name val="Calibri"/>
        <scheme val="minor"/>
      </font>
      <fill>
        <patternFill patternType="solid">
          <fgColor indexed="64"/>
          <bgColor theme="4" tint="0.59999389629810485"/>
        </patternFill>
      </fill>
      <alignment horizontal="left" vertical="center" textRotation="0" wrapText="0" indent="0" justifyLastLine="0" shrinkToFit="0" readingOrder="0"/>
      <protection locked="0" hidden="0"/>
    </dxf>
    <dxf>
      <font>
        <b val="0"/>
        <i val="0"/>
        <strike val="0"/>
        <condense val="0"/>
        <extend val="0"/>
        <outline val="0"/>
        <shadow val="0"/>
        <u val="none"/>
        <vertAlign val="baseline"/>
        <sz val="9"/>
        <color rgb="FF005877"/>
        <name val="Calibri"/>
        <scheme val="minor"/>
      </font>
      <fill>
        <patternFill patternType="solid">
          <fgColor indexed="64"/>
          <bgColor theme="4" tint="0.39997558519241921"/>
        </patternFill>
      </fill>
      <alignment horizontal="left" vertical="center" textRotation="0" wrapText="0" indent="0" justifyLastLine="0" shrinkToFit="0" readingOrder="0"/>
      <protection locked="0" hidden="0"/>
    </dxf>
    <dxf>
      <font>
        <b val="0"/>
        <i val="0"/>
        <strike val="0"/>
        <condense val="0"/>
        <extend val="0"/>
        <outline val="0"/>
        <shadow val="0"/>
        <u val="none"/>
        <vertAlign val="baseline"/>
        <sz val="9"/>
        <color rgb="FF005877"/>
        <name val="Calibri"/>
        <scheme val="minor"/>
      </font>
      <fill>
        <patternFill patternType="solid">
          <fgColor indexed="64"/>
          <bgColor theme="4" tint="-0.249977111117893"/>
        </patternFill>
      </fill>
      <alignment horizontal="left" vertical="center" textRotation="0" wrapText="0" indent="0" justifyLastLine="0" shrinkToFit="0" readingOrder="0"/>
      <protection locked="0" hidden="0"/>
    </dxf>
    <dxf>
      <font>
        <b val="0"/>
        <i val="0"/>
        <strike val="0"/>
        <condense val="0"/>
        <extend val="0"/>
        <outline val="0"/>
        <shadow val="0"/>
        <u val="none"/>
        <vertAlign val="baseline"/>
        <sz val="9"/>
        <color rgb="FF005877"/>
        <name val="Calibri"/>
        <scheme val="minor"/>
      </font>
      <fill>
        <patternFill patternType="solid">
          <fgColor indexed="64"/>
          <bgColor theme="5" tint="0.79998168889431442"/>
        </patternFill>
      </fill>
      <alignment horizontal="left" vertical="center" textRotation="0" wrapText="0" indent="0" justifyLastLine="0" shrinkToFit="0" readingOrder="0"/>
      <protection locked="0" hidden="0"/>
    </dxf>
    <dxf>
      <font>
        <b val="0"/>
        <i val="0"/>
        <strike val="0"/>
        <condense val="0"/>
        <extend val="0"/>
        <outline val="0"/>
        <shadow val="0"/>
        <u val="none"/>
        <vertAlign val="baseline"/>
        <sz val="9"/>
        <color rgb="FF005877"/>
        <name val="Calibri"/>
        <scheme val="minor"/>
      </font>
      <fill>
        <patternFill patternType="solid">
          <fgColor indexed="64"/>
          <bgColor theme="5" tint="0.79998168889431442"/>
        </patternFill>
      </fill>
      <alignment horizontal="left" vertical="center" textRotation="0" wrapText="0" indent="0" justifyLastLine="0" shrinkToFit="0" readingOrder="0"/>
      <protection locked="0" hidden="0"/>
    </dxf>
    <dxf>
      <font>
        <b val="0"/>
        <i val="0"/>
        <strike val="0"/>
        <condense val="0"/>
        <extend val="0"/>
        <outline val="0"/>
        <shadow val="0"/>
        <u val="none"/>
        <vertAlign val="baseline"/>
        <sz val="9"/>
        <color rgb="FF005877"/>
        <name val="Calibri"/>
        <scheme val="minor"/>
      </font>
      <fill>
        <patternFill patternType="solid">
          <fgColor indexed="64"/>
          <bgColor theme="5" tint="0.79998168889431442"/>
        </patternFill>
      </fill>
      <alignment horizontal="left" vertical="center" textRotation="0" wrapText="0" indent="0" justifyLastLine="0" shrinkToFit="0" readingOrder="0"/>
      <protection locked="0" hidden="0"/>
    </dxf>
    <dxf>
      <font>
        <b val="0"/>
        <i val="0"/>
        <strike val="0"/>
        <condense val="0"/>
        <extend val="0"/>
        <outline val="0"/>
        <shadow val="0"/>
        <u val="none"/>
        <vertAlign val="baseline"/>
        <sz val="9"/>
        <color rgb="FF005877"/>
        <name val="Calibri"/>
        <scheme val="minor"/>
      </font>
      <fill>
        <patternFill patternType="solid">
          <fgColor indexed="64"/>
          <bgColor theme="5" tint="0.79998168889431442"/>
        </patternFill>
      </fill>
      <alignment horizontal="left" vertical="center" textRotation="0" wrapText="0" indent="0" justifyLastLine="0" shrinkToFit="0" readingOrder="0"/>
      <protection locked="0" hidden="0"/>
    </dxf>
    <dxf>
      <font>
        <b val="0"/>
        <i val="0"/>
        <strike val="0"/>
        <condense val="0"/>
        <extend val="0"/>
        <outline val="0"/>
        <shadow val="0"/>
        <u val="none"/>
        <vertAlign val="baseline"/>
        <sz val="9"/>
        <color rgb="FF005877"/>
        <name val="Calibri"/>
        <scheme val="minor"/>
      </font>
      <fill>
        <patternFill patternType="solid">
          <fgColor indexed="64"/>
          <bgColor theme="5" tint="0.79998168889431442"/>
        </patternFill>
      </fill>
      <alignment horizontal="left" vertical="center" textRotation="0" wrapText="0" indent="0" justifyLastLine="0" shrinkToFit="0" readingOrder="0"/>
      <protection locked="0" hidden="0"/>
    </dxf>
    <dxf>
      <font>
        <b val="0"/>
        <i val="0"/>
        <strike val="0"/>
        <condense val="0"/>
        <extend val="0"/>
        <outline val="0"/>
        <shadow val="0"/>
        <u val="none"/>
        <vertAlign val="baseline"/>
        <sz val="9"/>
        <color rgb="FF005877"/>
        <name val="Calibri"/>
        <scheme val="minor"/>
      </font>
      <fill>
        <patternFill patternType="solid">
          <fgColor indexed="64"/>
          <bgColor theme="5" tint="0.79998168889431442"/>
        </patternFill>
      </fill>
      <alignment horizontal="left" vertical="center" textRotation="0" wrapText="0" indent="0" justifyLastLine="0" shrinkToFit="0" readingOrder="0"/>
      <protection locked="0" hidden="0"/>
    </dxf>
    <dxf>
      <font>
        <b val="0"/>
        <i val="0"/>
        <strike val="0"/>
        <condense val="0"/>
        <extend val="0"/>
        <outline val="0"/>
        <shadow val="0"/>
        <u val="none"/>
        <vertAlign val="baseline"/>
        <sz val="9"/>
        <color rgb="FF005877"/>
        <name val="Calibri"/>
        <scheme val="minor"/>
      </font>
      <fill>
        <patternFill patternType="solid">
          <fgColor indexed="64"/>
          <bgColor theme="5" tint="0.79998168889431442"/>
        </patternFill>
      </fill>
      <alignment horizontal="left" vertical="center" textRotation="0" wrapText="0" indent="0" justifyLastLine="0" shrinkToFit="0" readingOrder="0"/>
      <protection locked="0" hidden="0"/>
    </dxf>
    <dxf>
      <font>
        <b val="0"/>
        <i val="0"/>
        <strike val="0"/>
        <condense val="0"/>
        <extend val="0"/>
        <outline val="0"/>
        <shadow val="0"/>
        <u val="none"/>
        <vertAlign val="baseline"/>
        <sz val="9"/>
        <color rgb="FF005877"/>
        <name val="Calibri"/>
        <scheme val="minor"/>
      </font>
      <fill>
        <patternFill patternType="solid">
          <fgColor indexed="64"/>
          <bgColor theme="5" tint="0.79998168889431442"/>
        </patternFill>
      </fill>
      <alignment horizontal="left" vertical="center" textRotation="0" wrapText="0" indent="0" justifyLastLine="0" shrinkToFit="0" readingOrder="0"/>
      <protection locked="0" hidden="0"/>
    </dxf>
    <dxf>
      <font>
        <b val="0"/>
        <i val="0"/>
        <strike val="0"/>
        <condense val="0"/>
        <extend val="0"/>
        <outline val="0"/>
        <shadow val="0"/>
        <u val="none"/>
        <vertAlign val="baseline"/>
        <sz val="9"/>
        <color rgb="FF005877"/>
        <name val="Calibri"/>
        <scheme val="minor"/>
      </font>
      <fill>
        <patternFill patternType="solid">
          <fgColor indexed="64"/>
          <bgColor theme="5" tint="0.79998168889431442"/>
        </patternFill>
      </fill>
      <alignment horizontal="left" vertical="center" textRotation="0" wrapText="0" indent="0" justifyLastLine="0" shrinkToFit="0" readingOrder="0"/>
      <protection locked="0" hidden="0"/>
    </dxf>
    <dxf>
      <font>
        <b val="0"/>
        <i val="0"/>
        <strike val="0"/>
        <condense val="0"/>
        <extend val="0"/>
        <outline val="0"/>
        <shadow val="0"/>
        <u val="none"/>
        <vertAlign val="baseline"/>
        <sz val="9"/>
        <color rgb="FF005877"/>
        <name val="Calibri"/>
        <scheme val="minor"/>
      </font>
      <fill>
        <patternFill patternType="solid">
          <fgColor indexed="64"/>
          <bgColor theme="5" tint="0.79998168889431442"/>
        </patternFill>
      </fill>
      <alignment horizontal="left" vertical="center" textRotation="0" wrapText="0" indent="0" justifyLastLine="0" shrinkToFit="0" readingOrder="0"/>
      <protection locked="0" hidden="0"/>
    </dxf>
    <dxf>
      <font>
        <b val="0"/>
        <i val="0"/>
        <strike val="0"/>
        <condense val="0"/>
        <extend val="0"/>
        <outline val="0"/>
        <shadow val="0"/>
        <u val="none"/>
        <vertAlign val="baseline"/>
        <sz val="9"/>
        <color rgb="FF005877"/>
        <name val="Calibri"/>
        <scheme val="minor"/>
      </font>
      <fill>
        <patternFill patternType="solid">
          <fgColor indexed="64"/>
          <bgColor theme="5" tint="0.79998168889431442"/>
        </patternFill>
      </fill>
      <alignment horizontal="left" vertical="center" textRotation="0" wrapText="0" indent="0" justifyLastLine="0" shrinkToFit="0" readingOrder="0"/>
      <protection locked="0" hidden="0"/>
    </dxf>
    <dxf>
      <font>
        <b val="0"/>
        <i val="0"/>
        <strike val="0"/>
        <condense val="0"/>
        <extend val="0"/>
        <outline val="0"/>
        <shadow val="0"/>
        <u val="none"/>
        <vertAlign val="baseline"/>
        <sz val="9"/>
        <color rgb="FF005877"/>
        <name val="Calibri"/>
        <scheme val="minor"/>
      </font>
      <fill>
        <patternFill patternType="solid">
          <fgColor indexed="64"/>
          <bgColor theme="5" tint="0.79998168889431442"/>
        </patternFill>
      </fill>
      <alignment horizontal="left" vertical="center" textRotation="0" wrapText="0" indent="0" justifyLastLine="0" shrinkToFit="0" readingOrder="0"/>
      <protection locked="0" hidden="0"/>
    </dxf>
    <dxf>
      <font>
        <b val="0"/>
        <i val="0"/>
        <strike val="0"/>
        <condense val="0"/>
        <extend val="0"/>
        <outline val="0"/>
        <shadow val="0"/>
        <u val="none"/>
        <vertAlign val="baseline"/>
        <sz val="9"/>
        <color rgb="FF005877"/>
        <name val="Calibri"/>
        <scheme val="minor"/>
      </font>
      <fill>
        <patternFill patternType="solid">
          <fgColor indexed="64"/>
          <bgColor theme="5" tint="0.79998168889431442"/>
        </patternFill>
      </fill>
      <alignment horizontal="left" vertical="center" textRotation="0" wrapText="0" indent="0" justifyLastLine="0" shrinkToFit="0" readingOrder="0"/>
      <protection locked="0" hidden="0"/>
    </dxf>
    <dxf>
      <font>
        <b val="0"/>
        <i val="0"/>
        <strike val="0"/>
        <condense val="0"/>
        <extend val="0"/>
        <outline val="0"/>
        <shadow val="0"/>
        <u val="none"/>
        <vertAlign val="baseline"/>
        <sz val="9"/>
        <color rgb="FF005877"/>
        <name val="Calibri"/>
        <scheme val="minor"/>
      </font>
      <fill>
        <patternFill patternType="solid">
          <fgColor indexed="64"/>
          <bgColor theme="5" tint="0.59999389629810485"/>
        </patternFill>
      </fill>
      <alignment horizontal="left" vertical="center" textRotation="0" wrapText="0" indent="0" justifyLastLine="0" shrinkToFit="0" readingOrder="0"/>
      <protection locked="0" hidden="0"/>
    </dxf>
    <dxf>
      <font>
        <b val="0"/>
        <i val="0"/>
        <strike val="0"/>
        <condense val="0"/>
        <extend val="0"/>
        <outline val="0"/>
        <shadow val="0"/>
        <u val="none"/>
        <vertAlign val="baseline"/>
        <sz val="9"/>
        <color rgb="FF005877"/>
        <name val="Calibri"/>
        <scheme val="minor"/>
      </font>
      <fill>
        <patternFill patternType="solid">
          <fgColor indexed="64"/>
          <bgColor theme="5" tint="0.39997558519241921"/>
        </patternFill>
      </fill>
      <alignment horizontal="left" vertical="center" textRotation="0" wrapText="0" indent="0" justifyLastLine="0" shrinkToFit="0" readingOrder="0"/>
      <protection locked="0" hidden="0"/>
    </dxf>
    <dxf>
      <font>
        <b val="0"/>
        <i val="0"/>
        <strike val="0"/>
        <condense val="0"/>
        <extend val="0"/>
        <outline val="0"/>
        <shadow val="0"/>
        <u val="none"/>
        <vertAlign val="baseline"/>
        <sz val="9"/>
        <color rgb="FF005877"/>
        <name val="Calibri"/>
        <scheme val="minor"/>
      </font>
      <fill>
        <patternFill patternType="solid">
          <fgColor indexed="64"/>
          <bgColor theme="7" tint="0.59999389629810485"/>
        </patternFill>
      </fill>
      <alignment horizontal="left" vertical="center" textRotation="0" wrapText="0" indent="0" justifyLastLine="0" shrinkToFit="0" readingOrder="0"/>
      <protection locked="0" hidden="0"/>
    </dxf>
    <dxf>
      <font>
        <b val="0"/>
        <i val="0"/>
        <strike val="0"/>
        <condense val="0"/>
        <extend val="0"/>
        <outline val="0"/>
        <shadow val="0"/>
        <u val="none"/>
        <vertAlign val="baseline"/>
        <sz val="9"/>
        <color rgb="FF005877"/>
        <name val="Calibri"/>
        <scheme val="minor"/>
      </font>
      <fill>
        <patternFill patternType="solid">
          <fgColor indexed="64"/>
          <bgColor theme="7" tint="0.39997558519241921"/>
        </patternFill>
      </fill>
      <alignment horizontal="left" vertical="center" textRotation="0" wrapText="0" indent="0" justifyLastLine="0" shrinkToFit="0" readingOrder="0"/>
      <protection locked="0" hidden="0"/>
    </dxf>
    <dxf>
      <font>
        <b val="0"/>
        <i val="0"/>
        <strike val="0"/>
        <condense val="0"/>
        <extend val="0"/>
        <outline val="0"/>
        <shadow val="0"/>
        <u val="none"/>
        <vertAlign val="baseline"/>
        <sz val="9"/>
        <color rgb="FF005877"/>
        <name val="Calibri"/>
        <scheme val="minor"/>
      </font>
      <fill>
        <patternFill patternType="solid">
          <fgColor indexed="64"/>
          <bgColor rgb="FFFFC000"/>
        </patternFill>
      </fill>
      <alignment horizontal="left" vertical="center" textRotation="0" wrapText="0" indent="0" justifyLastLine="0" shrinkToFit="0" readingOrder="0"/>
      <protection locked="0" hidden="0"/>
    </dxf>
    <dxf>
      <font>
        <b val="0"/>
        <i val="0"/>
        <strike val="0"/>
        <condense val="0"/>
        <extend val="0"/>
        <outline val="0"/>
        <shadow val="0"/>
        <u val="none"/>
        <vertAlign val="baseline"/>
        <sz val="9"/>
        <color rgb="FF005877"/>
        <name val="Calibri"/>
        <scheme val="minor"/>
      </font>
      <fill>
        <patternFill patternType="solid">
          <fgColor indexed="64"/>
          <bgColor theme="5" tint="0.79998168889431442"/>
        </patternFill>
      </fill>
      <alignment horizontal="left" vertical="center" textRotation="0" wrapText="1" indent="0" justifyLastLine="0" shrinkToFit="0" readingOrder="0"/>
      <protection locked="0" hidden="0"/>
    </dxf>
    <dxf>
      <font>
        <b val="0"/>
        <i val="0"/>
        <strike val="0"/>
        <condense val="0"/>
        <extend val="0"/>
        <outline val="0"/>
        <shadow val="0"/>
        <u val="none"/>
        <vertAlign val="baseline"/>
        <sz val="9"/>
        <color rgb="FF005877"/>
        <name val="Calibri"/>
        <scheme val="minor"/>
      </font>
      <fill>
        <patternFill patternType="solid">
          <fgColor indexed="64"/>
          <bgColor theme="5" tint="0.59999389629810485"/>
        </patternFill>
      </fill>
      <alignment horizontal="left" vertical="center" textRotation="0" wrapText="1" indent="0" justifyLastLine="0" shrinkToFit="0" readingOrder="0"/>
      <protection locked="0" hidden="0"/>
    </dxf>
    <dxf>
      <font>
        <b val="0"/>
        <i val="0"/>
        <strike val="0"/>
        <condense val="0"/>
        <extend val="0"/>
        <outline val="0"/>
        <shadow val="0"/>
        <u val="none"/>
        <vertAlign val="baseline"/>
        <sz val="9"/>
        <color rgb="FF005877"/>
        <name val="Calibri"/>
        <scheme val="minor"/>
      </font>
      <fill>
        <patternFill patternType="solid">
          <fgColor indexed="64"/>
          <bgColor theme="5" tint="0.39997558519241921"/>
        </patternFill>
      </fill>
      <alignment horizontal="left" vertical="center" textRotation="0" wrapText="1" indent="0" justifyLastLine="0" shrinkToFit="0" readingOrder="0"/>
      <protection locked="0" hidden="0"/>
    </dxf>
    <dxf>
      <font>
        <b val="0"/>
        <i val="0"/>
        <strike val="0"/>
        <condense val="0"/>
        <extend val="0"/>
        <outline val="0"/>
        <shadow val="0"/>
        <u val="none"/>
        <vertAlign val="baseline"/>
        <sz val="9"/>
        <color rgb="FF005877"/>
        <name val="Calibri"/>
        <scheme val="minor"/>
      </font>
      <fill>
        <patternFill patternType="solid">
          <fgColor indexed="64"/>
          <bgColor theme="7" tint="0.59999389629810485"/>
        </patternFill>
      </fill>
      <alignment horizontal="left" vertical="center" textRotation="0" wrapText="1" indent="0" justifyLastLine="0" shrinkToFit="0" readingOrder="0"/>
      <protection locked="0" hidden="0"/>
    </dxf>
    <dxf>
      <font>
        <b val="0"/>
        <i val="0"/>
        <strike val="0"/>
        <condense val="0"/>
        <extend val="0"/>
        <outline val="0"/>
        <shadow val="0"/>
        <u val="none"/>
        <vertAlign val="baseline"/>
        <sz val="9"/>
        <color rgb="FF005877"/>
        <name val="Calibri"/>
        <scheme val="minor"/>
      </font>
      <fill>
        <patternFill patternType="solid">
          <fgColor indexed="64"/>
          <bgColor theme="7" tint="0.39997558519241921"/>
        </patternFill>
      </fill>
      <alignment horizontal="left" vertical="center" textRotation="0" wrapText="1" indent="0" justifyLastLine="0" shrinkToFit="0" readingOrder="0"/>
      <protection locked="0" hidden="0"/>
    </dxf>
    <dxf>
      <font>
        <b val="0"/>
        <i val="0"/>
        <strike val="0"/>
        <condense val="0"/>
        <extend val="0"/>
        <outline val="0"/>
        <shadow val="0"/>
        <u val="none"/>
        <vertAlign val="baseline"/>
        <sz val="9"/>
        <color rgb="FF005877"/>
        <name val="Calibri"/>
        <scheme val="minor"/>
      </font>
      <fill>
        <patternFill patternType="solid">
          <fgColor indexed="64"/>
          <bgColor rgb="FFFFC000"/>
        </patternFill>
      </fill>
      <alignment horizontal="left" vertical="center" textRotation="0" wrapText="1" indent="0" justifyLastLine="0" shrinkToFit="0" readingOrder="0"/>
      <protection locked="0" hidden="0"/>
    </dxf>
    <dxf>
      <font>
        <b/>
        <i val="0"/>
        <strike val="0"/>
        <condense val="0"/>
        <extend val="0"/>
        <outline val="0"/>
        <shadow val="0"/>
        <u val="none"/>
        <vertAlign val="baseline"/>
        <sz val="9"/>
        <color theme="0"/>
        <name val="Calibri"/>
        <scheme val="minor"/>
      </font>
      <fill>
        <patternFill patternType="solid">
          <fgColor indexed="64"/>
          <bgColor rgb="FFE87B00"/>
        </patternFill>
      </fill>
      <alignment horizontal="left" vertical="center" textRotation="0" wrapText="1" indent="0" justifyLastLine="0" shrinkToFit="0" readingOrder="0"/>
      <protection locked="0" hidden="0"/>
    </dxf>
    <dxf>
      <font>
        <b/>
        <i val="0"/>
        <strike val="0"/>
        <condense val="0"/>
        <extend val="0"/>
        <outline val="0"/>
        <shadow val="0"/>
        <u val="none"/>
        <vertAlign val="baseline"/>
        <sz val="9"/>
        <color rgb="FF005877"/>
        <name val="Calibri"/>
        <scheme val="minor"/>
      </font>
      <fill>
        <patternFill patternType="solid">
          <fgColor indexed="64"/>
          <bgColor theme="0"/>
        </patternFill>
      </fill>
      <alignment horizontal="left" vertical="center" textRotation="0" wrapText="0" indent="0" justifyLastLine="0" shrinkToFit="0" readingOrder="0"/>
      <protection locked="0" hidden="0"/>
    </dxf>
    <dxf>
      <font>
        <b/>
        <i val="0"/>
        <strike val="0"/>
        <condense val="0"/>
        <extend val="0"/>
        <outline val="0"/>
        <shadow val="0"/>
        <u val="none"/>
        <vertAlign val="baseline"/>
        <sz val="9"/>
        <color rgb="FF005877"/>
        <name val="Calibri"/>
        <scheme val="minor"/>
      </font>
      <numFmt numFmtId="0" formatCode="General"/>
      <fill>
        <patternFill patternType="solid">
          <fgColor indexed="64"/>
          <bgColor theme="0" tint="-0.249977111117893"/>
        </patternFill>
      </fill>
      <alignment horizontal="center" vertical="center" textRotation="0" wrapText="0" indent="0" justifyLastLine="0" shrinkToFit="0" readingOrder="0"/>
    </dxf>
    <dxf>
      <font>
        <b/>
        <i val="0"/>
        <strike val="0"/>
        <condense val="0"/>
        <extend val="0"/>
        <outline val="0"/>
        <shadow val="0"/>
        <u val="none"/>
        <vertAlign val="baseline"/>
        <sz val="9"/>
        <color rgb="FF005877"/>
        <name val="Calibri"/>
        <scheme val="minor"/>
      </font>
      <numFmt numFmtId="0" formatCode="General"/>
      <fill>
        <patternFill patternType="solid">
          <fgColor indexed="64"/>
          <bgColor theme="0" tint="-0.249977111117893"/>
        </patternFill>
      </fill>
      <alignment horizontal="center" vertical="center" textRotation="0" wrapText="0" indent="0" justifyLastLine="0" shrinkToFit="0" readingOrder="0"/>
    </dxf>
    <dxf>
      <font>
        <b/>
        <i val="0"/>
        <strike val="0"/>
        <condense val="0"/>
        <extend val="0"/>
        <outline val="0"/>
        <shadow val="0"/>
        <u val="none"/>
        <vertAlign val="baseline"/>
        <sz val="9"/>
        <color rgb="FF005877"/>
        <name val="Calibri"/>
        <scheme val="minor"/>
      </font>
      <numFmt numFmtId="0" formatCode="General"/>
      <fill>
        <patternFill patternType="solid">
          <fgColor indexed="64"/>
          <bgColor theme="0" tint="-0.249977111117893"/>
        </patternFill>
      </fill>
      <alignment horizontal="center" vertical="center" textRotation="0" wrapText="0" indent="0" justifyLastLine="0" shrinkToFit="0" readingOrder="0"/>
    </dxf>
    <dxf>
      <font>
        <b/>
        <i val="0"/>
        <strike val="0"/>
        <condense val="0"/>
        <extend val="0"/>
        <outline val="0"/>
        <shadow val="0"/>
        <u val="none"/>
        <vertAlign val="baseline"/>
        <sz val="9"/>
        <color rgb="FF005877"/>
        <name val="Calibri"/>
        <scheme val="minor"/>
      </font>
      <numFmt numFmtId="0" formatCode="General"/>
      <fill>
        <patternFill patternType="solid">
          <fgColor indexed="64"/>
          <bgColor theme="0" tint="-0.249977111117893"/>
        </patternFill>
      </fill>
      <alignment horizontal="center" vertical="center" textRotation="0" wrapText="0" indent="0" justifyLastLine="0" shrinkToFit="0" readingOrder="0"/>
    </dxf>
    <dxf>
      <font>
        <b/>
        <i val="0"/>
        <strike val="0"/>
        <condense val="0"/>
        <extend val="0"/>
        <outline val="0"/>
        <shadow val="0"/>
        <u val="none"/>
        <vertAlign val="baseline"/>
        <sz val="9"/>
        <color rgb="FF005877"/>
        <name val="Calibri"/>
        <scheme val="minor"/>
      </font>
      <numFmt numFmtId="0" formatCode="General"/>
      <fill>
        <patternFill patternType="solid">
          <fgColor indexed="64"/>
          <bgColor theme="0" tint="-0.249977111117893"/>
        </patternFill>
      </fill>
      <alignment horizontal="left" vertical="center" textRotation="0" wrapText="0" indent="0" justifyLastLine="0" shrinkToFit="0" readingOrder="0"/>
    </dxf>
    <dxf>
      <fill>
        <patternFill>
          <bgColor theme="0" tint="-0.14996795556505021"/>
        </patternFill>
      </fill>
    </dxf>
    <dxf>
      <fill>
        <patternFill>
          <bgColor theme="0" tint="-4.9989318521683403E-2"/>
        </patternFill>
      </fill>
    </dxf>
    <dxf>
      <fill>
        <patternFill>
          <bgColor theme="0" tint="-0.14996795556505021"/>
        </patternFill>
      </fill>
    </dxf>
    <dxf>
      <fill>
        <patternFill>
          <bgColor theme="0" tint="-4.9989318521683403E-2"/>
        </patternFill>
      </fill>
    </dxf>
    <dxf>
      <fill>
        <patternFill>
          <bgColor theme="0" tint="-0.14996795556505021"/>
        </patternFill>
      </fill>
    </dxf>
    <dxf>
      <fill>
        <patternFill>
          <bgColor theme="0" tint="-4.9989318521683403E-2"/>
        </patternFill>
      </fill>
    </dxf>
    <dxf>
      <fill>
        <patternFill>
          <bgColor theme="0" tint="-0.14996795556505021"/>
        </patternFill>
      </fill>
    </dxf>
    <dxf>
      <fill>
        <patternFill>
          <bgColor theme="0" tint="-4.9989318521683403E-2"/>
        </patternFill>
      </fill>
    </dxf>
    <dxf>
      <fill>
        <patternFill>
          <bgColor theme="0" tint="-0.14996795556505021"/>
        </patternFill>
      </fill>
    </dxf>
    <dxf>
      <fill>
        <patternFill>
          <bgColor theme="0" tint="-4.9989318521683403E-2"/>
        </patternFill>
      </fill>
    </dxf>
    <dxf>
      <fill>
        <patternFill>
          <bgColor theme="0"/>
        </patternFill>
      </fill>
    </dxf>
    <dxf>
      <font>
        <b/>
        <i val="0"/>
        <color rgb="FF9C0006"/>
      </font>
      <fill>
        <patternFill>
          <bgColor rgb="FFFFFF00"/>
        </patternFill>
      </fill>
    </dxf>
    <dxf>
      <font>
        <b/>
        <i val="0"/>
        <color theme="0"/>
      </font>
      <fill>
        <patternFill patternType="none">
          <fgColor indexed="64"/>
          <bgColor auto="1"/>
        </patternFill>
      </fill>
    </dxf>
    <dxf>
      <font>
        <b/>
        <i val="0"/>
        <color theme="0"/>
      </font>
      <fill>
        <patternFill patternType="none">
          <fgColor indexed="64"/>
          <bgColor auto="1"/>
        </patternFill>
      </fill>
    </dxf>
    <dxf>
      <font>
        <b/>
        <i val="0"/>
        <color theme="0"/>
      </font>
      <fill>
        <patternFill patternType="none">
          <fgColor indexed="64"/>
          <bgColor auto="1"/>
        </patternFill>
      </fill>
    </dxf>
    <dxf>
      <font>
        <b/>
        <i val="0"/>
        <color theme="0"/>
      </font>
      <fill>
        <patternFill patternType="none">
          <fgColor indexed="64"/>
          <bgColor auto="1"/>
        </patternFill>
      </fill>
    </dxf>
    <dxf>
      <font>
        <b/>
        <i val="0"/>
        <color theme="0"/>
      </font>
      <fill>
        <patternFill patternType="none">
          <fgColor indexed="64"/>
          <bgColor auto="1"/>
        </patternFill>
      </fill>
    </dxf>
    <dxf>
      <font>
        <b/>
        <i val="0"/>
        <color theme="0"/>
      </font>
      <fill>
        <patternFill patternType="none">
          <fgColor indexed="64"/>
          <bgColor auto="1"/>
        </patternFill>
      </fill>
    </dxf>
    <dxf>
      <font>
        <b val="0"/>
        <i val="0"/>
        <strike val="0"/>
        <condense val="0"/>
        <extend val="0"/>
        <outline val="0"/>
        <shadow val="0"/>
        <u val="none"/>
        <vertAlign val="baseline"/>
        <sz val="9"/>
        <color rgb="FF005877"/>
        <name val="Calibri"/>
        <scheme val="minor"/>
      </font>
      <fill>
        <patternFill patternType="solid">
          <fgColor indexed="64"/>
          <bgColor theme="7" tint="0.59999389629810485"/>
        </patternFill>
      </fill>
      <alignment horizontal="left" vertical="center" textRotation="0" wrapText="0" indent="0" justifyLastLine="0" shrinkToFit="0" readingOrder="0"/>
      <protection locked="0" hidden="0"/>
    </dxf>
    <dxf>
      <font>
        <b val="0"/>
        <i val="0"/>
        <strike val="0"/>
        <condense val="0"/>
        <extend val="0"/>
        <outline val="0"/>
        <shadow val="0"/>
        <u val="none"/>
        <vertAlign val="baseline"/>
        <sz val="9"/>
        <color rgb="FF005877"/>
        <name val="Calibri"/>
        <scheme val="minor"/>
      </font>
      <fill>
        <patternFill patternType="solid">
          <fgColor indexed="64"/>
          <bgColor theme="4" tint="0.79998168889431442"/>
        </patternFill>
      </fill>
      <alignment horizontal="left" vertical="center" textRotation="0" wrapText="0" indent="0" justifyLastLine="0" shrinkToFit="0" readingOrder="0"/>
      <protection locked="0" hidden="0"/>
    </dxf>
    <dxf>
      <font>
        <b val="0"/>
        <i val="0"/>
        <strike val="0"/>
        <condense val="0"/>
        <extend val="0"/>
        <outline val="0"/>
        <shadow val="0"/>
        <u val="none"/>
        <vertAlign val="baseline"/>
        <sz val="9"/>
        <color rgb="FF005877"/>
        <name val="Calibri"/>
        <scheme val="minor"/>
      </font>
      <fill>
        <patternFill patternType="solid">
          <fgColor indexed="64"/>
          <bgColor theme="4" tint="0.59999389629810485"/>
        </patternFill>
      </fill>
      <alignment horizontal="left" vertical="center" textRotation="0" wrapText="0" indent="0" justifyLastLine="0" shrinkToFit="0" readingOrder="0"/>
      <protection locked="0" hidden="0"/>
    </dxf>
    <dxf>
      <font>
        <b val="0"/>
        <i val="0"/>
        <strike val="0"/>
        <condense val="0"/>
        <extend val="0"/>
        <outline val="0"/>
        <shadow val="0"/>
        <u val="none"/>
        <vertAlign val="baseline"/>
        <sz val="9"/>
        <color rgb="FF005877"/>
        <name val="Calibri"/>
        <scheme val="minor"/>
      </font>
      <fill>
        <patternFill patternType="solid">
          <fgColor indexed="64"/>
          <bgColor theme="4" tint="0.39997558519241921"/>
        </patternFill>
      </fill>
      <alignment horizontal="left" vertical="center" textRotation="0" wrapText="0" indent="0" justifyLastLine="0" shrinkToFit="0" readingOrder="0"/>
      <protection locked="0" hidden="0"/>
    </dxf>
    <dxf>
      <font>
        <b val="0"/>
        <i val="0"/>
        <strike val="0"/>
        <condense val="0"/>
        <extend val="0"/>
        <outline val="0"/>
        <shadow val="0"/>
        <u val="none"/>
        <vertAlign val="baseline"/>
        <sz val="9"/>
        <color rgb="FF005877"/>
        <name val="Calibri"/>
        <scheme val="minor"/>
      </font>
      <fill>
        <patternFill patternType="solid">
          <fgColor indexed="64"/>
          <bgColor theme="4" tint="-0.249977111117893"/>
        </patternFill>
      </fill>
      <alignment horizontal="left" vertical="center" textRotation="0" wrapText="0" indent="0" justifyLastLine="0" shrinkToFit="0" readingOrder="0"/>
      <protection locked="0" hidden="0"/>
    </dxf>
    <dxf>
      <font>
        <b val="0"/>
        <i val="0"/>
        <strike val="0"/>
        <condense val="0"/>
        <extend val="0"/>
        <outline val="0"/>
        <shadow val="0"/>
        <u val="none"/>
        <vertAlign val="baseline"/>
        <sz val="9"/>
        <color rgb="FF005877"/>
        <name val="Calibri"/>
        <scheme val="minor"/>
      </font>
      <fill>
        <patternFill patternType="solid">
          <fgColor indexed="64"/>
          <bgColor theme="5" tint="0.79998168889431442"/>
        </patternFill>
      </fill>
      <alignment horizontal="left" vertical="center" textRotation="0" wrapText="0" indent="0" justifyLastLine="0" shrinkToFit="0" readingOrder="0"/>
      <protection locked="0" hidden="0"/>
    </dxf>
    <dxf>
      <font>
        <b val="0"/>
        <i val="0"/>
        <strike val="0"/>
        <condense val="0"/>
        <extend val="0"/>
        <outline val="0"/>
        <shadow val="0"/>
        <u val="none"/>
        <vertAlign val="baseline"/>
        <sz val="9"/>
        <color rgb="FF005877"/>
        <name val="Calibri"/>
        <scheme val="minor"/>
      </font>
      <fill>
        <patternFill patternType="solid">
          <fgColor indexed="64"/>
          <bgColor theme="5" tint="0.79998168889431442"/>
        </patternFill>
      </fill>
      <alignment horizontal="left" vertical="center" textRotation="0" wrapText="0" indent="0" justifyLastLine="0" shrinkToFit="0" readingOrder="0"/>
      <protection locked="0" hidden="0"/>
    </dxf>
    <dxf>
      <font>
        <b val="0"/>
        <i val="0"/>
        <strike val="0"/>
        <condense val="0"/>
        <extend val="0"/>
        <outline val="0"/>
        <shadow val="0"/>
        <u val="none"/>
        <vertAlign val="baseline"/>
        <sz val="9"/>
        <color rgb="FF005877"/>
        <name val="Calibri"/>
        <scheme val="minor"/>
      </font>
      <fill>
        <patternFill patternType="solid">
          <fgColor indexed="64"/>
          <bgColor theme="5" tint="0.79998168889431442"/>
        </patternFill>
      </fill>
      <alignment horizontal="left" vertical="center" textRotation="0" wrapText="0" indent="0" justifyLastLine="0" shrinkToFit="0" readingOrder="0"/>
      <protection locked="0" hidden="0"/>
    </dxf>
    <dxf>
      <font>
        <b val="0"/>
        <i val="0"/>
        <strike val="0"/>
        <condense val="0"/>
        <extend val="0"/>
        <outline val="0"/>
        <shadow val="0"/>
        <u val="none"/>
        <vertAlign val="baseline"/>
        <sz val="9"/>
        <color rgb="FF005877"/>
        <name val="Calibri"/>
        <scheme val="minor"/>
      </font>
      <fill>
        <patternFill patternType="solid">
          <fgColor indexed="64"/>
          <bgColor theme="5" tint="0.79998168889431442"/>
        </patternFill>
      </fill>
      <alignment horizontal="left" vertical="center" textRotation="0" wrapText="0" indent="0" justifyLastLine="0" shrinkToFit="0" readingOrder="0"/>
      <protection locked="0" hidden="0"/>
    </dxf>
    <dxf>
      <font>
        <b val="0"/>
        <i val="0"/>
        <strike val="0"/>
        <condense val="0"/>
        <extend val="0"/>
        <outline val="0"/>
        <shadow val="0"/>
        <u val="none"/>
        <vertAlign val="baseline"/>
        <sz val="9"/>
        <color rgb="FF005877"/>
        <name val="Calibri"/>
        <scheme val="minor"/>
      </font>
      <fill>
        <patternFill patternType="solid">
          <fgColor indexed="64"/>
          <bgColor theme="5" tint="0.79998168889431442"/>
        </patternFill>
      </fill>
      <alignment horizontal="left" vertical="center" textRotation="0" wrapText="0" indent="0" justifyLastLine="0" shrinkToFit="0" readingOrder="0"/>
      <protection locked="0" hidden="0"/>
    </dxf>
    <dxf>
      <font>
        <b val="0"/>
        <i val="0"/>
        <strike val="0"/>
        <condense val="0"/>
        <extend val="0"/>
        <outline val="0"/>
        <shadow val="0"/>
        <u val="none"/>
        <vertAlign val="baseline"/>
        <sz val="9"/>
        <color rgb="FF005877"/>
        <name val="Calibri"/>
        <scheme val="minor"/>
      </font>
      <fill>
        <patternFill patternType="solid">
          <fgColor indexed="64"/>
          <bgColor theme="5" tint="0.79998168889431442"/>
        </patternFill>
      </fill>
      <alignment horizontal="left" vertical="center" textRotation="0" wrapText="0" indent="0" justifyLastLine="0" shrinkToFit="0" readingOrder="0"/>
      <protection locked="0" hidden="0"/>
    </dxf>
    <dxf>
      <font>
        <b val="0"/>
        <i val="0"/>
        <strike val="0"/>
        <condense val="0"/>
        <extend val="0"/>
        <outline val="0"/>
        <shadow val="0"/>
        <u val="none"/>
        <vertAlign val="baseline"/>
        <sz val="9"/>
        <color rgb="FF005877"/>
        <name val="Calibri"/>
        <scheme val="minor"/>
      </font>
      <fill>
        <patternFill patternType="solid">
          <fgColor indexed="64"/>
          <bgColor theme="5" tint="0.79998168889431442"/>
        </patternFill>
      </fill>
      <alignment horizontal="left" vertical="center" textRotation="0" wrapText="0" indent="0" justifyLastLine="0" shrinkToFit="0" readingOrder="0"/>
      <protection locked="0" hidden="0"/>
    </dxf>
    <dxf>
      <font>
        <b val="0"/>
        <i val="0"/>
        <strike val="0"/>
        <condense val="0"/>
        <extend val="0"/>
        <outline val="0"/>
        <shadow val="0"/>
        <u val="none"/>
        <vertAlign val="baseline"/>
        <sz val="9"/>
        <color rgb="FF005877"/>
        <name val="Calibri"/>
        <scheme val="minor"/>
      </font>
      <fill>
        <patternFill patternType="solid">
          <fgColor indexed="64"/>
          <bgColor theme="5" tint="0.79998168889431442"/>
        </patternFill>
      </fill>
      <alignment horizontal="left" vertical="center" textRotation="0" wrapText="0" indent="0" justifyLastLine="0" shrinkToFit="0" readingOrder="0"/>
      <protection locked="0" hidden="0"/>
    </dxf>
    <dxf>
      <font>
        <b val="0"/>
        <i val="0"/>
        <strike val="0"/>
        <condense val="0"/>
        <extend val="0"/>
        <outline val="0"/>
        <shadow val="0"/>
        <u val="none"/>
        <vertAlign val="baseline"/>
        <sz val="9"/>
        <color rgb="FF005877"/>
        <name val="Calibri"/>
        <scheme val="minor"/>
      </font>
      <fill>
        <patternFill patternType="solid">
          <fgColor indexed="64"/>
          <bgColor theme="5" tint="0.79998168889431442"/>
        </patternFill>
      </fill>
      <alignment horizontal="left" vertical="center" textRotation="0" wrapText="0" indent="0" justifyLastLine="0" shrinkToFit="0" readingOrder="0"/>
      <protection locked="0" hidden="0"/>
    </dxf>
    <dxf>
      <font>
        <b val="0"/>
        <i val="0"/>
        <strike val="0"/>
        <condense val="0"/>
        <extend val="0"/>
        <outline val="0"/>
        <shadow val="0"/>
        <u val="none"/>
        <vertAlign val="baseline"/>
        <sz val="9"/>
        <color rgb="FF005877"/>
        <name val="Calibri"/>
        <scheme val="minor"/>
      </font>
      <fill>
        <patternFill patternType="solid">
          <fgColor indexed="64"/>
          <bgColor theme="5" tint="0.79998168889431442"/>
        </patternFill>
      </fill>
      <alignment horizontal="left" vertical="center" textRotation="0" wrapText="0" indent="0" justifyLastLine="0" shrinkToFit="0" readingOrder="0"/>
      <protection locked="0" hidden="0"/>
    </dxf>
    <dxf>
      <font>
        <b val="0"/>
        <i val="0"/>
        <strike val="0"/>
        <condense val="0"/>
        <extend val="0"/>
        <outline val="0"/>
        <shadow val="0"/>
        <u val="none"/>
        <vertAlign val="baseline"/>
        <sz val="9"/>
        <color rgb="FF005877"/>
        <name val="Calibri"/>
        <scheme val="minor"/>
      </font>
      <fill>
        <patternFill patternType="solid">
          <fgColor indexed="64"/>
          <bgColor theme="5" tint="0.79998168889431442"/>
        </patternFill>
      </fill>
      <alignment horizontal="left" vertical="center" textRotation="0" wrapText="0" indent="0" justifyLastLine="0" shrinkToFit="0" readingOrder="0"/>
      <protection locked="0" hidden="0"/>
    </dxf>
    <dxf>
      <font>
        <b val="0"/>
        <i val="0"/>
        <strike val="0"/>
        <condense val="0"/>
        <extend val="0"/>
        <outline val="0"/>
        <shadow val="0"/>
        <u val="none"/>
        <vertAlign val="baseline"/>
        <sz val="9"/>
        <color rgb="FF005877"/>
        <name val="Calibri"/>
        <scheme val="minor"/>
      </font>
      <fill>
        <patternFill patternType="solid">
          <fgColor indexed="64"/>
          <bgColor theme="5" tint="0.79998168889431442"/>
        </patternFill>
      </fill>
      <alignment horizontal="left" vertical="center" textRotation="0" wrapText="0" indent="0" justifyLastLine="0" shrinkToFit="0" readingOrder="0"/>
      <protection locked="0" hidden="0"/>
    </dxf>
    <dxf>
      <font>
        <b val="0"/>
        <i val="0"/>
        <strike val="0"/>
        <condense val="0"/>
        <extend val="0"/>
        <outline val="0"/>
        <shadow val="0"/>
        <u val="none"/>
        <vertAlign val="baseline"/>
        <sz val="9"/>
        <color rgb="FF005877"/>
        <name val="Calibri"/>
        <scheme val="minor"/>
      </font>
      <fill>
        <patternFill patternType="solid">
          <fgColor indexed="64"/>
          <bgColor theme="5" tint="0.79998168889431442"/>
        </patternFill>
      </fill>
      <alignment horizontal="left" vertical="center" textRotation="0" wrapText="0" indent="0" justifyLastLine="0" shrinkToFit="0" readingOrder="0"/>
      <protection locked="0" hidden="0"/>
    </dxf>
    <dxf>
      <font>
        <b val="0"/>
        <i val="0"/>
        <strike val="0"/>
        <condense val="0"/>
        <extend val="0"/>
        <outline val="0"/>
        <shadow val="0"/>
        <u val="none"/>
        <vertAlign val="baseline"/>
        <sz val="9"/>
        <color rgb="FF005877"/>
        <name val="Calibri"/>
        <scheme val="minor"/>
      </font>
      <fill>
        <patternFill patternType="solid">
          <fgColor indexed="64"/>
          <bgColor theme="5" tint="0.59999389629810485"/>
        </patternFill>
      </fill>
      <alignment horizontal="left" vertical="center" textRotation="0" wrapText="0" indent="0" justifyLastLine="0" shrinkToFit="0" readingOrder="0"/>
      <protection locked="0" hidden="0"/>
    </dxf>
    <dxf>
      <font>
        <b val="0"/>
        <i val="0"/>
        <strike val="0"/>
        <condense val="0"/>
        <extend val="0"/>
        <outline val="0"/>
        <shadow val="0"/>
        <u val="none"/>
        <vertAlign val="baseline"/>
        <sz val="9"/>
        <color rgb="FF005877"/>
        <name val="Calibri"/>
        <scheme val="minor"/>
      </font>
      <fill>
        <patternFill patternType="solid">
          <fgColor indexed="64"/>
          <bgColor theme="5" tint="0.39997558519241921"/>
        </patternFill>
      </fill>
      <alignment horizontal="left" vertical="center" textRotation="0" wrapText="0" indent="0" justifyLastLine="0" shrinkToFit="0" readingOrder="0"/>
      <protection locked="0" hidden="0"/>
    </dxf>
    <dxf>
      <font>
        <b val="0"/>
        <i val="0"/>
        <strike val="0"/>
        <condense val="0"/>
        <extend val="0"/>
        <outline val="0"/>
        <shadow val="0"/>
        <u val="none"/>
        <vertAlign val="baseline"/>
        <sz val="9"/>
        <color rgb="FF005877"/>
        <name val="Calibri"/>
        <scheme val="minor"/>
      </font>
      <fill>
        <patternFill patternType="solid">
          <fgColor indexed="64"/>
          <bgColor theme="7" tint="0.59999389629810485"/>
        </patternFill>
      </fill>
      <alignment horizontal="left" vertical="center" textRotation="0" wrapText="0" indent="0" justifyLastLine="0" shrinkToFit="0" readingOrder="0"/>
      <protection locked="0" hidden="0"/>
    </dxf>
    <dxf>
      <font>
        <b val="0"/>
        <i val="0"/>
        <strike val="0"/>
        <condense val="0"/>
        <extend val="0"/>
        <outline val="0"/>
        <shadow val="0"/>
        <u val="none"/>
        <vertAlign val="baseline"/>
        <sz val="9"/>
        <color rgb="FF005877"/>
        <name val="Calibri"/>
        <scheme val="minor"/>
      </font>
      <fill>
        <patternFill patternType="solid">
          <fgColor indexed="64"/>
          <bgColor theme="7" tint="0.39997558519241921"/>
        </patternFill>
      </fill>
      <alignment horizontal="left" vertical="center" textRotation="0" wrapText="0" indent="0" justifyLastLine="0" shrinkToFit="0" readingOrder="0"/>
      <protection locked="0" hidden="0"/>
    </dxf>
    <dxf>
      <font>
        <b val="0"/>
        <i val="0"/>
        <strike val="0"/>
        <condense val="0"/>
        <extend val="0"/>
        <outline val="0"/>
        <shadow val="0"/>
        <u val="none"/>
        <vertAlign val="baseline"/>
        <sz val="9"/>
        <color rgb="FF005877"/>
        <name val="Calibri"/>
        <scheme val="minor"/>
      </font>
      <fill>
        <patternFill patternType="solid">
          <fgColor indexed="64"/>
          <bgColor rgb="FFFFC000"/>
        </patternFill>
      </fill>
      <alignment horizontal="left" vertical="center" textRotation="0" wrapText="0" indent="0" justifyLastLine="0" shrinkToFit="0" readingOrder="0"/>
      <protection locked="0" hidden="0"/>
    </dxf>
    <dxf>
      <font>
        <b val="0"/>
        <i val="0"/>
        <strike val="0"/>
        <condense val="0"/>
        <extend val="0"/>
        <outline val="0"/>
        <shadow val="0"/>
        <u val="none"/>
        <vertAlign val="baseline"/>
        <sz val="9"/>
        <color rgb="FF005877"/>
        <name val="Calibri"/>
        <scheme val="minor"/>
      </font>
      <numFmt numFmtId="0" formatCode="General"/>
      <fill>
        <patternFill patternType="solid">
          <fgColor indexed="64"/>
          <bgColor theme="5" tint="0.79998168889431442"/>
        </patternFill>
      </fill>
      <alignment horizontal="left" vertical="center" textRotation="0" wrapText="1" indent="0" justifyLastLine="0" shrinkToFit="0" readingOrder="0"/>
      <protection locked="0" hidden="0"/>
    </dxf>
    <dxf>
      <font>
        <b val="0"/>
        <i val="0"/>
        <strike val="0"/>
        <condense val="0"/>
        <extend val="0"/>
        <outline val="0"/>
        <shadow val="0"/>
        <u val="none"/>
        <vertAlign val="baseline"/>
        <sz val="9"/>
        <color rgb="FF005877"/>
        <name val="Calibri"/>
        <scheme val="minor"/>
      </font>
      <numFmt numFmtId="0" formatCode="General"/>
      <fill>
        <patternFill patternType="solid">
          <fgColor indexed="64"/>
          <bgColor theme="5" tint="0.59999389629810485"/>
        </patternFill>
      </fill>
      <alignment horizontal="left" vertical="center" textRotation="0" wrapText="1" indent="0" justifyLastLine="0" shrinkToFit="0" readingOrder="0"/>
      <protection locked="0" hidden="0"/>
    </dxf>
    <dxf>
      <font>
        <b val="0"/>
        <i val="0"/>
        <strike val="0"/>
        <condense val="0"/>
        <extend val="0"/>
        <outline val="0"/>
        <shadow val="0"/>
        <u val="none"/>
        <vertAlign val="baseline"/>
        <sz val="9"/>
        <color rgb="FF005877"/>
        <name val="Calibri"/>
        <scheme val="minor"/>
      </font>
      <numFmt numFmtId="0" formatCode="General"/>
      <fill>
        <patternFill patternType="solid">
          <fgColor indexed="64"/>
          <bgColor theme="5" tint="0.59999389629810485"/>
        </patternFill>
      </fill>
      <alignment horizontal="left" vertical="center" textRotation="0" wrapText="1" indent="0" justifyLastLine="0" shrinkToFit="0" readingOrder="0"/>
      <protection locked="0" hidden="0"/>
    </dxf>
    <dxf>
      <font>
        <b val="0"/>
        <i val="0"/>
        <strike val="0"/>
        <condense val="0"/>
        <extend val="0"/>
        <outline val="0"/>
        <shadow val="0"/>
        <u val="none"/>
        <vertAlign val="baseline"/>
        <sz val="9"/>
        <color rgb="FF005877"/>
        <name val="Calibri"/>
        <scheme val="minor"/>
      </font>
      <numFmt numFmtId="0" formatCode="General"/>
      <fill>
        <patternFill patternType="solid">
          <fgColor indexed="64"/>
          <bgColor theme="7" tint="0.59999389629810485"/>
        </patternFill>
      </fill>
      <alignment horizontal="left" vertical="center" textRotation="0" wrapText="1" indent="0" justifyLastLine="0" shrinkToFit="0" readingOrder="0"/>
      <protection locked="0" hidden="0"/>
    </dxf>
    <dxf>
      <font>
        <b val="0"/>
        <i val="0"/>
        <strike val="0"/>
        <condense val="0"/>
        <extend val="0"/>
        <outline val="0"/>
        <shadow val="0"/>
        <u val="none"/>
        <vertAlign val="baseline"/>
        <sz val="9"/>
        <color rgb="FF005877"/>
        <name val="Calibri"/>
        <scheme val="minor"/>
      </font>
      <numFmt numFmtId="0" formatCode="General"/>
      <fill>
        <patternFill patternType="solid">
          <fgColor indexed="64"/>
          <bgColor theme="7" tint="0.39997558519241921"/>
        </patternFill>
      </fill>
      <alignment horizontal="left" vertical="center" textRotation="0" wrapText="1" indent="0" justifyLastLine="0" shrinkToFit="0" readingOrder="0"/>
      <protection locked="0" hidden="0"/>
    </dxf>
    <dxf>
      <font>
        <b val="0"/>
        <i val="0"/>
        <strike val="0"/>
        <condense val="0"/>
        <extend val="0"/>
        <outline val="0"/>
        <shadow val="0"/>
        <u val="none"/>
        <vertAlign val="baseline"/>
        <sz val="9"/>
        <color rgb="FF005877"/>
        <name val="Calibri"/>
        <scheme val="minor"/>
      </font>
      <numFmt numFmtId="0" formatCode="General"/>
      <fill>
        <patternFill patternType="solid">
          <fgColor indexed="64"/>
          <bgColor rgb="FFFFC000"/>
        </patternFill>
      </fill>
      <alignment horizontal="left" vertical="center" textRotation="0" wrapText="1" indent="0" justifyLastLine="0" shrinkToFit="0" readingOrder="0"/>
      <protection locked="0" hidden="0"/>
    </dxf>
    <dxf>
      <font>
        <b/>
        <i val="0"/>
        <strike val="0"/>
        <condense val="0"/>
        <extend val="0"/>
        <outline val="0"/>
        <shadow val="0"/>
        <u val="none"/>
        <vertAlign val="baseline"/>
        <sz val="9"/>
        <color theme="0"/>
        <name val="Calibri"/>
        <scheme val="minor"/>
      </font>
      <fill>
        <patternFill patternType="solid">
          <fgColor indexed="64"/>
          <bgColor rgb="FFE87B00"/>
        </patternFill>
      </fill>
      <alignment horizontal="left" vertical="center" textRotation="0" wrapText="1" indent="0" justifyLastLine="0" shrinkToFit="0" readingOrder="0"/>
      <protection locked="0" hidden="0"/>
    </dxf>
    <dxf>
      <font>
        <b/>
        <i val="0"/>
        <strike val="0"/>
        <condense val="0"/>
        <extend val="0"/>
        <outline val="0"/>
        <shadow val="0"/>
        <u val="none"/>
        <vertAlign val="baseline"/>
        <sz val="9"/>
        <color rgb="FF005877"/>
        <name val="Calibri"/>
        <scheme val="minor"/>
      </font>
      <fill>
        <patternFill patternType="solid">
          <fgColor indexed="64"/>
          <bgColor theme="0"/>
        </patternFill>
      </fill>
      <alignment horizontal="left" vertical="center" textRotation="0" wrapText="0" indent="0" justifyLastLine="0" shrinkToFit="0" readingOrder="0"/>
      <protection locked="0" hidden="0"/>
    </dxf>
    <dxf>
      <font>
        <b/>
        <i val="0"/>
        <strike val="0"/>
        <condense val="0"/>
        <extend val="0"/>
        <outline val="0"/>
        <shadow val="0"/>
        <u val="none"/>
        <vertAlign val="baseline"/>
        <sz val="9"/>
        <color rgb="FF005877"/>
        <name val="Calibri"/>
        <scheme val="minor"/>
      </font>
      <numFmt numFmtId="0" formatCode="General"/>
      <fill>
        <patternFill patternType="solid">
          <fgColor indexed="64"/>
          <bgColor theme="0" tint="-0.249977111117893"/>
        </patternFill>
      </fill>
      <alignment horizontal="center" vertical="center" textRotation="0" wrapText="0" indent="0" justifyLastLine="0" shrinkToFit="0" readingOrder="0"/>
    </dxf>
    <dxf>
      <font>
        <b/>
        <i val="0"/>
        <strike val="0"/>
        <condense val="0"/>
        <extend val="0"/>
        <outline val="0"/>
        <shadow val="0"/>
        <u val="none"/>
        <vertAlign val="baseline"/>
        <sz val="9"/>
        <color rgb="FF005877"/>
        <name val="Calibri"/>
        <scheme val="minor"/>
      </font>
      <numFmt numFmtId="0" formatCode="General"/>
      <fill>
        <patternFill patternType="solid">
          <fgColor indexed="64"/>
          <bgColor theme="0" tint="-0.249977111117893"/>
        </patternFill>
      </fill>
      <alignment horizontal="center" vertical="center" textRotation="0" wrapText="0" indent="0" justifyLastLine="0" shrinkToFit="0" readingOrder="0"/>
    </dxf>
    <dxf>
      <font>
        <b/>
        <i val="0"/>
        <strike val="0"/>
        <condense val="0"/>
        <extend val="0"/>
        <outline val="0"/>
        <shadow val="0"/>
        <u val="none"/>
        <vertAlign val="baseline"/>
        <sz val="9"/>
        <color rgb="FF005877"/>
        <name val="Calibri"/>
        <scheme val="minor"/>
      </font>
      <numFmt numFmtId="0" formatCode="General"/>
      <fill>
        <patternFill patternType="solid">
          <fgColor indexed="64"/>
          <bgColor theme="0" tint="-0.249977111117893"/>
        </patternFill>
      </fill>
      <alignment horizontal="center" vertical="center" textRotation="0" wrapText="0" indent="0" justifyLastLine="0" shrinkToFit="0" readingOrder="0"/>
    </dxf>
    <dxf>
      <font>
        <b/>
        <i val="0"/>
        <strike val="0"/>
        <condense val="0"/>
        <extend val="0"/>
        <outline val="0"/>
        <shadow val="0"/>
        <u val="none"/>
        <vertAlign val="baseline"/>
        <sz val="9"/>
        <color rgb="FF005877"/>
        <name val="Calibri"/>
        <scheme val="minor"/>
      </font>
      <numFmt numFmtId="0" formatCode="General"/>
      <fill>
        <patternFill patternType="solid">
          <fgColor indexed="64"/>
          <bgColor theme="0" tint="-0.249977111117893"/>
        </patternFill>
      </fill>
      <alignment horizontal="center" vertical="center" textRotation="0" wrapText="0" indent="0" justifyLastLine="0" shrinkToFit="0" readingOrder="0"/>
    </dxf>
    <dxf>
      <font>
        <b/>
        <i val="0"/>
        <strike val="0"/>
        <condense val="0"/>
        <extend val="0"/>
        <outline val="0"/>
        <shadow val="0"/>
        <u val="none"/>
        <vertAlign val="baseline"/>
        <sz val="9"/>
        <color rgb="FF005877"/>
        <name val="Calibri"/>
        <scheme val="minor"/>
      </font>
      <numFmt numFmtId="0" formatCode="General"/>
      <fill>
        <patternFill patternType="solid">
          <fgColor indexed="64"/>
          <bgColor theme="0" tint="-0.249977111117893"/>
        </patternFill>
      </fill>
      <alignment horizontal="left" vertical="center" textRotation="0" wrapText="0" indent="0" justifyLastLine="0" shrinkToFit="0" readingOrder="0"/>
    </dxf>
    <dxf>
      <fill>
        <patternFill>
          <bgColor theme="0" tint="-0.14996795556505021"/>
        </patternFill>
      </fill>
    </dxf>
    <dxf>
      <fill>
        <patternFill>
          <bgColor theme="0" tint="-4.9989318521683403E-2"/>
        </patternFill>
      </fill>
    </dxf>
    <dxf>
      <fill>
        <patternFill>
          <bgColor theme="0" tint="-0.14996795556505021"/>
        </patternFill>
      </fill>
    </dxf>
    <dxf>
      <fill>
        <patternFill>
          <bgColor theme="0" tint="-4.9989318521683403E-2"/>
        </patternFill>
      </fill>
    </dxf>
    <dxf>
      <fill>
        <patternFill>
          <bgColor theme="0" tint="-0.14996795556505021"/>
        </patternFill>
      </fill>
    </dxf>
    <dxf>
      <fill>
        <patternFill>
          <bgColor theme="0" tint="-4.9989318521683403E-2"/>
        </patternFill>
      </fill>
    </dxf>
    <dxf>
      <fill>
        <patternFill>
          <bgColor theme="0" tint="-0.14996795556505021"/>
        </patternFill>
      </fill>
    </dxf>
    <dxf>
      <fill>
        <patternFill>
          <bgColor theme="0" tint="-4.9989318521683403E-2"/>
        </patternFill>
      </fill>
    </dxf>
    <dxf>
      <fill>
        <patternFill>
          <bgColor theme="0" tint="-0.14996795556505021"/>
        </patternFill>
      </fill>
    </dxf>
    <dxf>
      <fill>
        <patternFill>
          <bgColor theme="0" tint="-4.9989318521683403E-2"/>
        </patternFill>
      </fill>
    </dxf>
    <dxf>
      <fill>
        <patternFill>
          <bgColor theme="0" tint="-0.14996795556505021"/>
        </patternFill>
      </fill>
    </dxf>
    <dxf>
      <fill>
        <patternFill>
          <bgColor theme="0" tint="-4.9989318521683403E-2"/>
        </patternFill>
      </fill>
    </dxf>
    <dxf>
      <font>
        <b/>
        <i val="0"/>
        <color theme="0"/>
      </font>
      <fill>
        <patternFill patternType="none">
          <fgColor indexed="64"/>
          <bgColor auto="1"/>
        </patternFill>
      </fill>
    </dxf>
    <dxf>
      <font>
        <b/>
        <i val="0"/>
        <color theme="0"/>
      </font>
      <fill>
        <patternFill patternType="none">
          <fgColor indexed="64"/>
          <bgColor auto="1"/>
        </patternFill>
      </fill>
    </dxf>
    <dxf>
      <font>
        <b/>
        <i val="0"/>
        <color theme="0"/>
      </font>
      <fill>
        <patternFill patternType="none">
          <fgColor indexed="64"/>
          <bgColor auto="1"/>
        </patternFill>
      </fill>
    </dxf>
    <dxf>
      <font>
        <b/>
        <i val="0"/>
        <color theme="0"/>
      </font>
      <fill>
        <patternFill patternType="none">
          <fgColor indexed="64"/>
          <bgColor auto="1"/>
        </patternFill>
      </fill>
    </dxf>
    <dxf>
      <font>
        <b/>
        <i val="0"/>
        <color theme="0"/>
      </font>
      <fill>
        <patternFill patternType="none">
          <fgColor indexed="64"/>
          <bgColor auto="1"/>
        </patternFill>
      </fill>
    </dxf>
    <dxf>
      <fill>
        <patternFill>
          <bgColor theme="0"/>
        </patternFill>
      </fill>
    </dxf>
    <dxf>
      <font>
        <b/>
        <i val="0"/>
        <color theme="0"/>
      </font>
      <fill>
        <patternFill patternType="none">
          <fgColor indexed="64"/>
          <bgColor auto="1"/>
        </patternFill>
      </fill>
    </dxf>
    <dxf>
      <font>
        <b/>
        <i val="0"/>
        <color rgb="FF9C0006"/>
      </font>
      <fill>
        <patternFill>
          <bgColor rgb="FFFFFF00"/>
        </patternFill>
      </fill>
    </dxf>
    <dxf>
      <font>
        <color rgb="FF9C0006"/>
      </font>
      <fill>
        <patternFill>
          <bgColor rgb="FFFFFF00"/>
        </patternFill>
      </fill>
    </dxf>
    <dxf>
      <font>
        <color theme="0" tint="-0.14996795556505021"/>
      </font>
      <fill>
        <patternFill>
          <bgColor theme="0" tint="-0.14996795556505021"/>
        </patternFill>
      </fill>
    </dxf>
    <dxf>
      <font>
        <color theme="0" tint="-0.14996795556505021"/>
      </font>
      <fill>
        <patternFill>
          <fgColor theme="0" tint="-0.14993743705557422"/>
          <bgColor theme="0" tint="-0.14996795556505021"/>
        </patternFill>
      </fill>
      <border>
        <left/>
        <right/>
        <top/>
        <bottom/>
      </border>
    </dxf>
    <dxf>
      <fill>
        <patternFill>
          <bgColor theme="0"/>
        </patternFill>
      </fill>
    </dxf>
    <dxf>
      <font>
        <color rgb="FFC00000"/>
      </font>
      <fill>
        <patternFill>
          <bgColor rgb="FFFFFF00"/>
        </patternFill>
      </fill>
    </dxf>
    <dxf>
      <font>
        <b/>
        <i val="0"/>
        <color rgb="FFFF0000"/>
      </font>
      <fill>
        <patternFill>
          <bgColor rgb="FFFFFF00"/>
        </patternFill>
      </fill>
    </dxf>
    <dxf>
      <font>
        <b/>
        <i val="0"/>
        <color rgb="FFFF0000"/>
      </font>
      <fill>
        <patternFill>
          <bgColor rgb="FFFFFF00"/>
        </patternFill>
      </fill>
    </dxf>
    <dxf>
      <font>
        <b/>
        <i val="0"/>
        <color rgb="FFFF0000"/>
      </font>
      <fill>
        <patternFill>
          <bgColor rgb="FFFFFF00"/>
        </patternFill>
      </fill>
    </dxf>
    <dxf>
      <font>
        <b/>
        <i val="0"/>
        <color rgb="FFFF0000"/>
      </font>
      <fill>
        <patternFill>
          <bgColor rgb="FFFFFF00"/>
        </patternFill>
      </fill>
    </dxf>
    <dxf>
      <font>
        <b/>
        <i val="0"/>
        <color rgb="FFFF0000"/>
      </font>
      <fill>
        <patternFill>
          <bgColor rgb="FFFFFF00"/>
        </patternFill>
      </fill>
    </dxf>
    <dxf>
      <font>
        <b/>
        <i val="0"/>
        <color rgb="FFFF0000"/>
      </font>
      <fill>
        <patternFill>
          <bgColor rgb="FFFFFF00"/>
        </patternFill>
      </fill>
    </dxf>
    <dxf>
      <font>
        <b/>
        <i val="0"/>
        <color rgb="FFFF0000"/>
      </font>
      <fill>
        <patternFill>
          <bgColor rgb="FFFFFF00"/>
        </patternFill>
      </fill>
    </dxf>
    <dxf>
      <font>
        <b/>
        <i val="0"/>
        <color rgb="FFFF0000"/>
      </font>
      <fill>
        <patternFill>
          <bgColor rgb="FFFFFF00"/>
        </patternFill>
      </fill>
    </dxf>
    <dxf>
      <font>
        <b/>
        <i val="0"/>
        <color rgb="FFFF0000"/>
      </font>
      <fill>
        <patternFill>
          <bgColor rgb="FFFFFF00"/>
        </patternFill>
      </fill>
    </dxf>
    <dxf>
      <font>
        <b/>
        <i val="0"/>
        <color rgb="FFFF0000"/>
      </font>
      <fill>
        <patternFill>
          <bgColor rgb="FFFFFF00"/>
        </patternFill>
      </fill>
    </dxf>
    <dxf>
      <font>
        <b/>
        <i val="0"/>
        <color rgb="FFFF0000"/>
      </font>
      <fill>
        <patternFill>
          <bgColor rgb="FFFFFF00"/>
        </patternFill>
      </fill>
    </dxf>
    <dxf>
      <font>
        <b/>
        <i val="0"/>
        <color rgb="FFFF0000"/>
      </font>
      <fill>
        <patternFill>
          <bgColor rgb="FFFFFF00"/>
        </patternFill>
      </fill>
    </dxf>
    <dxf>
      <font>
        <b/>
        <i val="0"/>
        <color rgb="FFFF0000"/>
      </font>
      <fill>
        <patternFill>
          <bgColor rgb="FFFFFF00"/>
        </patternFill>
      </fill>
    </dxf>
    <dxf>
      <font>
        <b/>
        <i val="0"/>
        <color rgb="FFFF0000"/>
      </font>
      <fill>
        <patternFill>
          <bgColor rgb="FFFFFF00"/>
        </patternFill>
      </fill>
    </dxf>
    <dxf>
      <font>
        <b/>
        <i val="0"/>
        <color rgb="FFFF0000"/>
      </font>
      <fill>
        <patternFill>
          <bgColor rgb="FFFFFF00"/>
        </patternFill>
      </fill>
    </dxf>
    <dxf>
      <font>
        <b/>
        <i val="0"/>
        <color rgb="FFFF0000"/>
      </font>
      <fill>
        <patternFill>
          <bgColor rgb="FFFFFF00"/>
        </patternFill>
      </fill>
    </dxf>
    <dxf>
      <font>
        <b/>
        <i val="0"/>
        <color rgb="FFFF0000"/>
      </font>
      <fill>
        <patternFill>
          <bgColor rgb="FFFFFF00"/>
        </patternFill>
      </fill>
    </dxf>
    <dxf>
      <font>
        <b/>
        <i val="0"/>
        <color rgb="FFFF0000"/>
      </font>
      <fill>
        <patternFill>
          <bgColor rgb="FFFFFF00"/>
        </patternFill>
      </fill>
    </dxf>
    <dxf>
      <font>
        <b/>
        <i val="0"/>
        <color rgb="FFFF0000"/>
      </font>
      <fill>
        <patternFill>
          <bgColor rgb="FFFFFF00"/>
        </patternFill>
      </fill>
    </dxf>
    <dxf>
      <font>
        <b/>
        <i val="0"/>
        <color rgb="FFFF0000"/>
      </font>
      <fill>
        <patternFill>
          <bgColor rgb="FFFFFF00"/>
        </patternFill>
      </fill>
    </dxf>
    <dxf>
      <font>
        <b/>
        <i val="0"/>
        <color rgb="FFFF0000"/>
      </font>
      <fill>
        <patternFill>
          <bgColor rgb="FFFFFF00"/>
        </patternFill>
      </fill>
    </dxf>
    <dxf>
      <font>
        <b/>
        <i val="0"/>
        <color rgb="FFFF0000"/>
      </font>
      <fill>
        <patternFill>
          <bgColor rgb="FFFFFF00"/>
        </patternFill>
      </fill>
    </dxf>
    <dxf>
      <font>
        <b/>
        <i val="0"/>
        <color rgb="FFFF0000"/>
      </font>
      <fill>
        <patternFill>
          <bgColor rgb="FFFFFF00"/>
        </patternFill>
      </fill>
    </dxf>
    <dxf>
      <font>
        <b/>
        <i val="0"/>
        <color rgb="FFFF0000"/>
      </font>
      <fill>
        <patternFill>
          <bgColor rgb="FFFFFF00"/>
        </patternFill>
      </fill>
    </dxf>
    <dxf>
      <font>
        <b/>
        <i val="0"/>
        <color rgb="FFFF0000"/>
      </font>
      <fill>
        <patternFill>
          <bgColor rgb="FFFFFF00"/>
        </patternFill>
      </fill>
    </dxf>
    <dxf>
      <font>
        <b/>
        <i val="0"/>
        <color rgb="FFFF0000"/>
      </font>
      <fill>
        <patternFill>
          <bgColor rgb="FFFFFF00"/>
        </patternFill>
      </fill>
    </dxf>
    <dxf>
      <font>
        <b/>
        <i val="0"/>
        <color rgb="FFFF0000"/>
      </font>
      <fill>
        <patternFill>
          <bgColor rgb="FFFFFF00"/>
        </patternFill>
      </fill>
    </dxf>
    <dxf>
      <font>
        <b/>
        <i val="0"/>
        <color rgb="FFFF0000"/>
      </font>
      <fill>
        <patternFill>
          <bgColor rgb="FFFFFF00"/>
        </patternFill>
      </fill>
    </dxf>
    <dxf>
      <font>
        <b/>
        <i val="0"/>
        <color rgb="FFFF0000"/>
      </font>
      <fill>
        <patternFill>
          <bgColor rgb="FFFFFF00"/>
        </patternFill>
      </fill>
    </dxf>
    <dxf>
      <font>
        <b/>
        <i val="0"/>
        <color rgb="FFFF0000"/>
      </font>
      <fill>
        <patternFill>
          <bgColor rgb="FFFFFF00"/>
        </patternFill>
      </fill>
    </dxf>
    <dxf>
      <font>
        <color theme="0" tint="-0.14996795556505021"/>
      </font>
      <fill>
        <patternFill>
          <fgColor theme="0"/>
          <bgColor theme="0" tint="-0.14996795556505021"/>
        </patternFill>
      </fill>
    </dxf>
    <dxf>
      <font>
        <color theme="0" tint="-0.14996795556505021"/>
      </font>
      <fill>
        <patternFill>
          <bgColor theme="0" tint="-0.14996795556505021"/>
        </patternFill>
      </fill>
    </dxf>
    <dxf>
      <font>
        <b/>
        <i val="0"/>
        <color rgb="FFC00000"/>
      </font>
      <fill>
        <patternFill>
          <bgColor rgb="FFFFFF00"/>
        </patternFill>
      </fill>
    </dxf>
    <dxf>
      <font>
        <b/>
        <i val="0"/>
        <color theme="0"/>
      </font>
      <fill>
        <patternFill>
          <bgColor rgb="FFFF0000"/>
        </patternFill>
      </fill>
    </dxf>
    <dxf>
      <font>
        <color rgb="FF9C0006"/>
      </font>
      <fill>
        <patternFill>
          <bgColor rgb="FFFFFF00"/>
        </patternFill>
      </fill>
    </dxf>
    <dxf>
      <font>
        <b/>
        <i val="0"/>
        <color theme="0"/>
      </font>
      <fill>
        <patternFill>
          <bgColor rgb="FFFF0000"/>
        </patternFill>
      </fill>
    </dxf>
    <dxf>
      <font>
        <color rgb="FF9C0006"/>
      </font>
      <fill>
        <patternFill>
          <bgColor rgb="FFFFFF00"/>
        </patternFill>
      </fill>
    </dxf>
    <dxf>
      <font>
        <b/>
        <i val="0"/>
        <color rgb="FFFF0000"/>
      </font>
      <fill>
        <patternFill>
          <bgColor rgb="FFFFFF00"/>
        </patternFill>
      </fill>
    </dxf>
    <dxf>
      <font>
        <b/>
        <i val="0"/>
        <color rgb="FFC00000"/>
      </font>
      <fill>
        <patternFill>
          <bgColor rgb="FFFFFF00"/>
        </patternFill>
      </fill>
    </dxf>
    <dxf>
      <font>
        <color rgb="FFC00000"/>
      </font>
      <fill>
        <patternFill>
          <bgColor rgb="FFFFFF00"/>
        </patternFill>
      </fill>
    </dxf>
    <dxf>
      <font>
        <b val="0"/>
        <i val="0"/>
        <strike val="0"/>
        <condense val="0"/>
        <extend val="0"/>
        <outline val="0"/>
        <shadow val="0"/>
        <u val="none"/>
        <vertAlign val="baseline"/>
        <sz val="11"/>
        <color theme="1"/>
        <name val="Calibri"/>
        <scheme val="minor"/>
      </font>
    </dxf>
    <dxf>
      <font>
        <b val="0"/>
        <i val="0"/>
        <strike val="0"/>
        <condense val="0"/>
        <extend val="0"/>
        <outline val="0"/>
        <shadow val="0"/>
        <u val="none"/>
        <vertAlign val="baseline"/>
        <sz val="11"/>
        <color theme="1"/>
        <name val="Calibri"/>
        <scheme val="minor"/>
      </font>
    </dxf>
    <dxf>
      <border diagonalUp="0" diagonalDown="0">
        <left style="medium">
          <color rgb="FF005877"/>
        </left>
        <right style="medium">
          <color rgb="FF005877"/>
        </right>
        <top style="medium">
          <color rgb="FF005877"/>
        </top>
        <bottom style="medium">
          <color rgb="FF005877"/>
        </bottom>
      </border>
    </dxf>
    <dxf>
      <font>
        <b val="0"/>
        <i val="0"/>
        <strike val="0"/>
        <condense val="0"/>
        <extend val="0"/>
        <outline val="0"/>
        <shadow val="0"/>
        <u val="none"/>
        <vertAlign val="baseline"/>
        <sz val="11"/>
        <color theme="1"/>
        <name val="Calibri"/>
        <scheme val="minor"/>
      </font>
    </dxf>
    <dxf>
      <font>
        <b/>
        <i val="0"/>
        <strike val="0"/>
        <condense val="0"/>
        <extend val="0"/>
        <outline val="0"/>
        <shadow val="0"/>
        <u val="none"/>
        <vertAlign val="baseline"/>
        <sz val="11"/>
        <color theme="0"/>
        <name val="Calibri"/>
        <scheme val="minor"/>
      </font>
      <fill>
        <patternFill patternType="solid">
          <fgColor indexed="64"/>
          <bgColor rgb="FFE87B00"/>
        </patternFill>
      </fill>
    </dxf>
    <dxf>
      <border diagonalUp="0" diagonalDown="0">
        <left/>
        <right/>
        <top/>
        <bottom/>
        <vertical/>
        <horizontal/>
      </border>
    </dxf>
    <dxf>
      <fill>
        <patternFill patternType="solid">
          <fgColor theme="0" tint="-0.14999847407452621"/>
          <bgColor theme="0" tint="-0.14999847407452621"/>
        </patternFill>
      </fill>
    </dxf>
    <dxf>
      <fill>
        <patternFill patternType="solid">
          <fgColor theme="0" tint="-0.14999847407452621"/>
          <bgColor theme="0" tint="-0.14999847407452621"/>
        </patternFill>
      </fill>
      <border>
        <left/>
        <right/>
        <top/>
        <bottom/>
        <vertical/>
        <horizontal/>
      </border>
    </dxf>
    <dxf>
      <font>
        <b/>
        <color theme="0"/>
      </font>
      <fill>
        <patternFill patternType="solid">
          <fgColor theme="5"/>
          <bgColor theme="5"/>
        </patternFill>
      </fill>
    </dxf>
    <dxf>
      <font>
        <b/>
        <color theme="0"/>
      </font>
      <fill>
        <patternFill patternType="solid">
          <fgColor theme="5"/>
          <bgColor theme="5"/>
        </patternFill>
      </fill>
    </dxf>
    <dxf>
      <border diagonalUp="0" diagonalDown="0">
        <left/>
        <right/>
        <top/>
        <bottom/>
        <vertical/>
        <horizontal/>
      </border>
    </dxf>
    <dxf>
      <font>
        <b/>
        <color theme="0"/>
      </font>
      <fill>
        <patternFill patternType="solid">
          <fgColor rgb="FFE87B00"/>
          <bgColor theme="5"/>
        </patternFill>
      </fill>
      <border diagonalUp="0" diagonalDown="0">
        <left/>
        <right/>
        <top/>
        <bottom/>
        <vertical/>
        <horizontal/>
      </border>
    </dxf>
    <dxf>
      <font>
        <color theme="1"/>
      </font>
      <border>
        <top style="medium">
          <color theme="1"/>
        </top>
        <bottom style="medium">
          <color theme="1"/>
        </bottom>
      </border>
    </dxf>
    <dxf>
      <fill>
        <patternFill>
          <fgColor rgb="FFE87B00"/>
        </patternFill>
      </fill>
    </dxf>
    <dxf>
      <fill>
        <patternFill>
          <bgColor theme="0" tint="-0.14996795556505021"/>
        </patternFill>
      </fill>
    </dxf>
  </dxfs>
  <tableStyles count="3" defaultTableStyle="Tabla_UCA" defaultPivotStyle="PivotStyleLight16">
    <tableStyle name="Estilo de tabla 1" pivot="0" count="1">
      <tableStyleElement type="firstRowStripe" dxfId="683"/>
    </tableStyle>
    <tableStyle name="Estilo de tabla 2" pivot="0" count="1">
      <tableStyleElement type="firstColumnStripe" dxfId="682"/>
    </tableStyle>
    <tableStyle name="Tabla_UCA" pivot="0" count="8">
      <tableStyleElement type="wholeTable" dxfId="681"/>
      <tableStyleElement type="headerRow" dxfId="680"/>
      <tableStyleElement type="totalRow" dxfId="679"/>
      <tableStyleElement type="firstColumn" dxfId="678"/>
      <tableStyleElement type="lastColumn" dxfId="677"/>
      <tableStyleElement type="firstRowStripe" dxfId="676"/>
      <tableStyleElement type="firstColumnStripe" dxfId="675"/>
      <tableStyleElement type="lastTotalCell" dxfId="674"/>
    </tableStyle>
  </tableStyles>
  <colors>
    <mruColors>
      <color rgb="FFE87B00"/>
      <color rgb="FF005877"/>
      <color rgb="FFE87BFF"/>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13" Type="http://schemas.openxmlformats.org/officeDocument/2006/relationships/worksheet" Target="worksheets/sheet13.xml"/><Relationship Id="rId18" Type="http://schemas.openxmlformats.org/officeDocument/2006/relationships/worksheet" Target="worksheets/sheet18.xml"/><Relationship Id="rId26" Type="http://schemas.openxmlformats.org/officeDocument/2006/relationships/worksheet" Target="worksheets/sheet26.xml"/><Relationship Id="rId21" Type="http://schemas.openxmlformats.org/officeDocument/2006/relationships/worksheet" Target="worksheets/sheet21.xml"/><Relationship Id="rId34" Type="http://schemas.openxmlformats.org/officeDocument/2006/relationships/styles" Target="styles.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worksheet" Target="worksheets/sheet25.xml"/><Relationship Id="rId33" Type="http://schemas.openxmlformats.org/officeDocument/2006/relationships/theme" Target="theme/theme1.xml"/><Relationship Id="rId2" Type="http://schemas.openxmlformats.org/officeDocument/2006/relationships/worksheet" Target="worksheets/sheet2.xml"/><Relationship Id="rId16" Type="http://schemas.openxmlformats.org/officeDocument/2006/relationships/worksheet" Target="worksheets/sheet16.xml"/><Relationship Id="rId20" Type="http://schemas.openxmlformats.org/officeDocument/2006/relationships/worksheet" Target="worksheets/sheet20.xml"/><Relationship Id="rId29" Type="http://schemas.openxmlformats.org/officeDocument/2006/relationships/worksheet" Target="worksheets/sheet29.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24" Type="http://schemas.openxmlformats.org/officeDocument/2006/relationships/worksheet" Target="worksheets/sheet24.xml"/><Relationship Id="rId32" Type="http://schemas.openxmlformats.org/officeDocument/2006/relationships/worksheet" Target="worksheets/sheet32.xml"/><Relationship Id="rId37" Type="http://schemas.microsoft.com/office/2006/relationships/vbaProject" Target="vbaProject.bin"/><Relationship Id="rId5" Type="http://schemas.openxmlformats.org/officeDocument/2006/relationships/worksheet" Target="worksheets/sheet5.xml"/><Relationship Id="rId15" Type="http://schemas.openxmlformats.org/officeDocument/2006/relationships/worksheet" Target="worksheets/sheet15.xml"/><Relationship Id="rId23" Type="http://schemas.openxmlformats.org/officeDocument/2006/relationships/worksheet" Target="worksheets/sheet23.xml"/><Relationship Id="rId28" Type="http://schemas.openxmlformats.org/officeDocument/2006/relationships/worksheet" Target="worksheets/sheet28.xml"/><Relationship Id="rId36" Type="http://schemas.openxmlformats.org/officeDocument/2006/relationships/calcChain" Target="calcChain.xml"/><Relationship Id="rId10" Type="http://schemas.openxmlformats.org/officeDocument/2006/relationships/worksheet" Target="worksheets/sheet10.xml"/><Relationship Id="rId19" Type="http://schemas.openxmlformats.org/officeDocument/2006/relationships/worksheet" Target="worksheets/sheet19.xml"/><Relationship Id="rId31" Type="http://schemas.openxmlformats.org/officeDocument/2006/relationships/worksheet" Target="worksheets/sheet31.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worksheet" Target="worksheets/sheet22.xml"/><Relationship Id="rId27" Type="http://schemas.openxmlformats.org/officeDocument/2006/relationships/worksheet" Target="worksheets/sheet27.xml"/><Relationship Id="rId30" Type="http://schemas.openxmlformats.org/officeDocument/2006/relationships/worksheet" Target="worksheets/sheet30.xml"/><Relationship Id="rId35" Type="http://schemas.openxmlformats.org/officeDocument/2006/relationships/sharedStrings" Target="sharedStrings.xml"/><Relationship Id="rId8" Type="http://schemas.openxmlformats.org/officeDocument/2006/relationships/worksheet" Target="worksheets/sheet8.xml"/><Relationship Id="rId3" Type="http://schemas.openxmlformats.org/officeDocument/2006/relationships/worksheet" Target="worksheets/sheet3.xml"/></Relationships>
</file>

<file path=xl/ctrlProps/ctrlProp1.xml><?xml version="1.0" encoding="utf-8"?>
<formControlPr xmlns="http://schemas.microsoft.com/office/spreadsheetml/2009/9/main" objectType="Drop" dropStyle="combo" dx="37" fmlaLink="$B$46" fmlaRange="$J$38:$J$45" sel="1" val="0"/>
</file>

<file path=xl/ctrlProps/ctrlProp2.xml><?xml version="1.0" encoding="utf-8"?>
<formControlPr xmlns="http://schemas.microsoft.com/office/spreadsheetml/2009/9/main" objectType="Spin" dx="22" fmlaLink="$Y$39" max="9999" min="1" page="10"/>
</file>

<file path=xl/ctrlProps/ctrlProp3.xml><?xml version="1.0" encoding="utf-8"?>
<formControlPr xmlns="http://schemas.microsoft.com/office/spreadsheetml/2009/9/main" objectType="Spin" dx="22" fmlaLink="$Y$38" max="9999" min="1" page="10"/>
</file>

<file path=xl/ctrlProps/ctrlProp4.xml><?xml version="1.0" encoding="utf-8"?>
<formControlPr xmlns="http://schemas.microsoft.com/office/spreadsheetml/2009/9/main" objectType="CheckBox" checked="Checked" fmlaLink="$Y$40" lockText="1" noThreeD="1"/>
</file>

<file path=xl/ctrlProps/ctrlProp5.xml><?xml version="1.0" encoding="utf-8"?>
<formControlPr xmlns="http://schemas.microsoft.com/office/spreadsheetml/2009/9/main" objectType="Spin" dx="22" fmlaLink="$G$37" max="9999" min="1" page="10" val="101"/>
</file>

<file path=xl/ctrlProps/ctrlProp6.xml><?xml version="1.0" encoding="utf-8"?>
<formControlPr xmlns="http://schemas.microsoft.com/office/spreadsheetml/2009/9/main" objectType="CheckBox" checked="Checked" fmlaLink="$M$37" lockText="1" noThreeD="1"/>
</file>

<file path=xl/ctrlProps/ctrlProp7.xml><?xml version="1.0" encoding="utf-8"?>
<formControlPr xmlns="http://schemas.microsoft.com/office/spreadsheetml/2009/9/main" objectType="Spin" dx="22" fmlaLink="'Datos OM'!$A$4" inc="10" max="9999" min="1" page="10" val="101"/>
</file>

<file path=xl/ctrlProps/ctrlProp8.xml><?xml version="1.0" encoding="utf-8"?>
<formControlPr xmlns="http://schemas.microsoft.com/office/spreadsheetml/2009/9/main" objectType="Spin" dx="22" fmlaLink="'Datos OM'!$A$4" inc="100" max="9999" min="1" page="10" val="101"/>
</file>

<file path=xl/ctrlProps/ctrlProp9.xml><?xml version="1.0" encoding="utf-8"?>
<formControlPr xmlns="http://schemas.microsoft.com/office/spreadsheetml/2009/9/main" objectType="Spin" dx="22" fmlaLink="'Datos O2'!$A$4" inc="10" max="9999" min="1" page="10" val="201"/>
</file>

<file path=xl/ctrlProps/ctrlProp10.xml><?xml version="1.0" encoding="utf-8"?>
<formControlPr xmlns="http://schemas.microsoft.com/office/spreadsheetml/2009/9/main" objectType="Spin" dx="22" fmlaLink="'Datos O2'!$A$4" inc="100" max="9999" min="1" page="10" val="201"/>
</file>

<file path=xl/ctrlProps/ctrlProp11.xml><?xml version="1.0" encoding="utf-8"?>
<formControlPr xmlns="http://schemas.microsoft.com/office/spreadsheetml/2009/9/main" objectType="Spin" dx="22" fmlaLink="$G$37" max="9999" min="1" page="10" val="201"/>
</file>

<file path=xl/ctrlProps/ctrlProp12.xml><?xml version="1.0" encoding="utf-8"?>
<formControlPr xmlns="http://schemas.microsoft.com/office/spreadsheetml/2009/9/main" objectType="CheckBox" checked="Checked" fmlaLink="$M$37" lockText="1" noThreeD="1"/>
</file>

<file path=xl/ctrlProps/ctrlProp13.xml><?xml version="1.0" encoding="utf-8"?>
<formControlPr xmlns="http://schemas.microsoft.com/office/spreadsheetml/2009/9/main" objectType="Spin" dx="22" fmlaLink="'Datos VF'!$A$4" inc="10" max="9999" min="1" page="10" val="301"/>
</file>

<file path=xl/ctrlProps/ctrlProp14.xml><?xml version="1.0" encoding="utf-8"?>
<formControlPr xmlns="http://schemas.microsoft.com/office/spreadsheetml/2009/9/main" objectType="Spin" dx="22" fmlaLink="'Datos VF'!$A$4" inc="100" max="9999" min="1" page="10" val="301"/>
</file>

<file path=xl/ctrlProps/ctrlProp15.xml><?xml version="1.0" encoding="utf-8"?>
<formControlPr xmlns="http://schemas.microsoft.com/office/spreadsheetml/2009/9/main" objectType="Spin" dx="22" fmlaLink="$G$37" max="9999" min="1" page="10" val="301"/>
</file>

<file path=xl/ctrlProps/ctrlProp16.xml><?xml version="1.0" encoding="utf-8"?>
<formControlPr xmlns="http://schemas.microsoft.com/office/spreadsheetml/2009/9/main" objectType="CheckBox" checked="Checked" fmlaLink="$M$37" lockText="1" noThreeD="1"/>
</file>

<file path=xl/ctrlProps/ctrlProp17.xml><?xml version="1.0" encoding="utf-8"?>
<formControlPr xmlns="http://schemas.microsoft.com/office/spreadsheetml/2009/9/main" objectType="Spin" dx="22" fmlaLink="'Datos EM'!A4" inc="10" max="9999" min="1" page="10" val="401"/>
</file>

<file path=xl/ctrlProps/ctrlProp18.xml><?xml version="1.0" encoding="utf-8"?>
<formControlPr xmlns="http://schemas.microsoft.com/office/spreadsheetml/2009/9/main" objectType="Spin" dx="22" fmlaLink="'Datos EM'!A4" inc="100" max="9999" min="1" page="10" val="401"/>
</file>

<file path=xl/ctrlProps/ctrlProp19.xml><?xml version="1.0" encoding="utf-8"?>
<formControlPr xmlns="http://schemas.microsoft.com/office/spreadsheetml/2009/9/main" objectType="Spin" dx="22" fmlaLink="$G$37" max="9999" min="1" page="10" val="401"/>
</file>

<file path=xl/ctrlProps/ctrlProp20.xml><?xml version="1.0" encoding="utf-8"?>
<formControlPr xmlns="http://schemas.microsoft.com/office/spreadsheetml/2009/9/main" objectType="CheckBox" checked="Checked" fmlaLink="$M$37" lockText="1" noThreeD="1"/>
</file>

<file path=xl/ctrlProps/ctrlProp21.xml><?xml version="1.0" encoding="utf-8"?>
<formControlPr xmlns="http://schemas.microsoft.com/office/spreadsheetml/2009/9/main" objectType="Spin" dx="22" fmlaLink="'Datos RC'!A4" inc="10" max="9999" min="1" page="10" val="501"/>
</file>

<file path=xl/ctrlProps/ctrlProp22.xml><?xml version="1.0" encoding="utf-8"?>
<formControlPr xmlns="http://schemas.microsoft.com/office/spreadsheetml/2009/9/main" objectType="Spin" dx="22" fmlaLink="'Datos RC'!A4" inc="100" max="9999" min="1" page="10" val="501"/>
</file>

<file path=xl/ctrlProps/ctrlProp23.xml><?xml version="1.0" encoding="utf-8"?>
<formControlPr xmlns="http://schemas.microsoft.com/office/spreadsheetml/2009/9/main" objectType="Spin" dx="22" fmlaLink="$G$37" max="9999" min="1" page="10" val="501"/>
</file>

<file path=xl/ctrlProps/ctrlProp24.xml><?xml version="1.0" encoding="utf-8"?>
<formControlPr xmlns="http://schemas.microsoft.com/office/spreadsheetml/2009/9/main" objectType="CheckBox" checked="Checked" fmlaLink="$M$37" lockText="1" noThreeD="1"/>
</file>

<file path=xl/ctrlProps/ctrlProp25.xml><?xml version="1.0" encoding="utf-8"?>
<formControlPr xmlns="http://schemas.microsoft.com/office/spreadsheetml/2009/9/main" objectType="Spin" dx="22" fmlaLink="'Datos PP'!A4" inc="10" max="9999" min="1" page="10" val="601"/>
</file>

<file path=xl/ctrlProps/ctrlProp26.xml><?xml version="1.0" encoding="utf-8"?>
<formControlPr xmlns="http://schemas.microsoft.com/office/spreadsheetml/2009/9/main" objectType="Spin" dx="22" fmlaLink="'Datos PP'!A4" inc="100" max="9999" min="1" page="10" val="601"/>
</file>

<file path=xl/ctrlProps/ctrlProp27.xml><?xml version="1.0" encoding="utf-8"?>
<formControlPr xmlns="http://schemas.microsoft.com/office/spreadsheetml/2009/9/main" objectType="Spin" dx="22" fmlaLink="$G$37" max="9999" min="1" page="10" val="601"/>
</file>

<file path=xl/ctrlProps/ctrlProp28.xml><?xml version="1.0" encoding="utf-8"?>
<formControlPr xmlns="http://schemas.microsoft.com/office/spreadsheetml/2009/9/main" objectType="CheckBox" checked="Checked" fmlaLink="$M$37" lockText="1" noThreeD="1"/>
</file>

<file path=xl/ctrlProps/ctrlProp29.xml><?xml version="1.0" encoding="utf-8"?>
<formControlPr xmlns="http://schemas.microsoft.com/office/spreadsheetml/2009/9/main" objectType="Spin" dx="22" fmlaLink="'Datos EN'!A4" inc="10" max="9999" min="1" page="10" val="701"/>
</file>

<file path=xl/ctrlProps/ctrlProp30.xml><?xml version="1.0" encoding="utf-8"?>
<formControlPr xmlns="http://schemas.microsoft.com/office/spreadsheetml/2009/9/main" objectType="Spin" dx="22" fmlaLink="'Datos EN'!A4" inc="100" max="9999" min="1" page="10" val="701"/>
</file>

<file path=xl/ctrlProps/ctrlProp31.xml><?xml version="1.0" encoding="utf-8"?>
<formControlPr xmlns="http://schemas.microsoft.com/office/spreadsheetml/2009/9/main" objectType="Spin" dx="22" fmlaLink="$G$37" max="9999" min="1" page="10" val="701"/>
</file>

<file path=xl/ctrlProps/ctrlProp32.xml><?xml version="1.0" encoding="utf-8"?>
<formControlPr xmlns="http://schemas.microsoft.com/office/spreadsheetml/2009/9/main" objectType="CheckBox" checked="Checked" fmlaLink="$M$37" lockText="1" noThreeD="1"/>
</file>

<file path=xl/ctrlProps/ctrlProp33.xml><?xml version="1.0" encoding="utf-8"?>
<formControlPr xmlns="http://schemas.microsoft.com/office/spreadsheetml/2009/9/main" objectType="Spin" dx="22" fmlaLink="'Datos CL'!A4" inc="10" max="9999" min="1" page="10" val="801"/>
</file>

<file path=xl/ctrlProps/ctrlProp34.xml><?xml version="1.0" encoding="utf-8"?>
<formControlPr xmlns="http://schemas.microsoft.com/office/spreadsheetml/2009/9/main" objectType="Spin" dx="22" fmlaLink="'Datos CL'!A4" inc="100" max="9999" min="1" page="10" val="801"/>
</file>

<file path=xl/ctrlProps/ctrlProp35.xml><?xml version="1.0" encoding="utf-8"?>
<formControlPr xmlns="http://schemas.microsoft.com/office/spreadsheetml/2009/9/main" objectType="Spin" dx="22" fmlaLink="$G$37" max="9999" min="1" page="10" val="801"/>
</file>

<file path=xl/ctrlProps/ctrlProp36.xml><?xml version="1.0" encoding="utf-8"?>
<formControlPr xmlns="http://schemas.microsoft.com/office/spreadsheetml/2009/9/main" objectType="CheckBox" checked="Checked" fmlaLink="$M$37" lockText="1" noThreeD="1"/>
</file>

<file path=xl/drawings/_rels/drawing1.xml.rels><?xml version="1.0" encoding="UTF-8" standalone="yes"?>
<Relationships xmlns="http://schemas.openxmlformats.org/package/2006/relationships"><Relationship Id="rId3" Type="http://schemas.openxmlformats.org/officeDocument/2006/relationships/image" Target="../media/image3.png"/><Relationship Id="rId2" Type="http://schemas.openxmlformats.org/officeDocument/2006/relationships/image" Target="../media/image2.jpeg"/><Relationship Id="rId1" Type="http://schemas.openxmlformats.org/officeDocument/2006/relationships/image" Target="../media/image1.png"/></Relationships>
</file>

<file path=xl/drawings/_rels/drawing2.xml.rels><?xml version="1.0" encoding="UTF-8" standalone="yes"?>
<Relationships xmlns="http://schemas.openxmlformats.org/package/2006/relationships"><Relationship Id="rId8" Type="http://schemas.openxmlformats.org/officeDocument/2006/relationships/hyperlink" Target="https://youtu.be/pgz4hhJDj44" TargetMode="External"/><Relationship Id="rId13" Type="http://schemas.openxmlformats.org/officeDocument/2006/relationships/hyperlink" Target="https://udinnovacion.uca.es/guia-de-creacion-de-cuestionarios-de-evaluacion-en-el-campus-virtual-de-la-universidad-de-cadiz/" TargetMode="External"/><Relationship Id="rId3" Type="http://schemas.openxmlformats.org/officeDocument/2006/relationships/hyperlink" Target="https://www.uca.es" TargetMode="External"/><Relationship Id="rId7" Type="http://schemas.openxmlformats.org/officeDocument/2006/relationships/hyperlink" Target="https://youtu.be/UCYCh8PvHeA" TargetMode="External"/><Relationship Id="rId12" Type="http://schemas.openxmlformats.org/officeDocument/2006/relationships/hyperlink" Target="https://youtu.be/Bfm8cErhNT4" TargetMode="External"/><Relationship Id="rId2" Type="http://schemas.openxmlformats.org/officeDocument/2006/relationships/image" Target="../media/image5.png"/><Relationship Id="rId16" Type="http://schemas.openxmlformats.org/officeDocument/2006/relationships/image" Target="../media/image8.png"/><Relationship Id="rId1" Type="http://schemas.openxmlformats.org/officeDocument/2006/relationships/image" Target="../media/image4.png"/><Relationship Id="rId6" Type="http://schemas.openxmlformats.org/officeDocument/2006/relationships/hyperlink" Target="https://youtu.be/pAdM2sz2OFA" TargetMode="External"/><Relationship Id="rId11" Type="http://schemas.openxmlformats.org/officeDocument/2006/relationships/hyperlink" Target="https://youtu.be/9o9E9SlOcYs" TargetMode="External"/><Relationship Id="rId5" Type="http://schemas.openxmlformats.org/officeDocument/2006/relationships/hyperlink" Target="https://www.youtube.com/channel/UCTkOmf2IiTvxn1ch9hYjYQQ" TargetMode="External"/><Relationship Id="rId15" Type="http://schemas.openxmlformats.org/officeDocument/2006/relationships/image" Target="../media/image7.png"/><Relationship Id="rId10" Type="http://schemas.openxmlformats.org/officeDocument/2006/relationships/hyperlink" Target="https://youtu.be/lsvDzn_vG3E" TargetMode="External"/><Relationship Id="rId4" Type="http://schemas.openxmlformats.org/officeDocument/2006/relationships/image" Target="../media/image6.jpeg"/><Relationship Id="rId9" Type="http://schemas.openxmlformats.org/officeDocument/2006/relationships/hyperlink" Target="https://youtu.be/8nqjb_huelg" TargetMode="External"/><Relationship Id="rId14" Type="http://schemas.openxmlformats.org/officeDocument/2006/relationships/hyperlink" Target="http://www.gnu.org/licenses/agpl-3.0.html" TargetMode="External"/></Relationships>
</file>

<file path=xl/drawings/_rels/drawing3.xml.rels><?xml version="1.0" encoding="UTF-8" standalone="yes"?>
<Relationships xmlns="http://schemas.openxmlformats.org/package/2006/relationships"><Relationship Id="rId8" Type="http://schemas.openxmlformats.org/officeDocument/2006/relationships/image" Target="../media/image8.png"/><Relationship Id="rId3" Type="http://schemas.openxmlformats.org/officeDocument/2006/relationships/image" Target="../media/image10.png"/><Relationship Id="rId7" Type="http://schemas.openxmlformats.org/officeDocument/2006/relationships/image" Target="../media/image13.png"/><Relationship Id="rId2" Type="http://schemas.openxmlformats.org/officeDocument/2006/relationships/image" Target="../media/image9.png"/><Relationship Id="rId1" Type="http://schemas.openxmlformats.org/officeDocument/2006/relationships/hyperlink" Target="http://projects.ael.uni-tuebingen.de/quiz/htmlarea/index.php" TargetMode="External"/><Relationship Id="rId6" Type="http://schemas.openxmlformats.org/officeDocument/2006/relationships/image" Target="../media/image12.png"/><Relationship Id="rId5" Type="http://schemas.openxmlformats.org/officeDocument/2006/relationships/image" Target="../media/image11.jpeg"/><Relationship Id="rId4" Type="http://schemas.openxmlformats.org/officeDocument/2006/relationships/hyperlink" Target="https://www.youtube.com/playlist?app=desktop&amp;list=PLBy0dKFd_LuIN21tTezMcUen28a--ebab" TargetMode="External"/><Relationship Id="rId9" Type="http://schemas.openxmlformats.org/officeDocument/2006/relationships/image" Target="../media/image14.png"/></Relationships>
</file>

<file path=xl/drawings/_rels/drawing4.xml.rels><?xml version="1.0" encoding="UTF-8" standalone="yes"?>
<Relationships xmlns="http://schemas.openxmlformats.org/package/2006/relationships"><Relationship Id="rId3" Type="http://schemas.openxmlformats.org/officeDocument/2006/relationships/image" Target="../media/image10.png"/><Relationship Id="rId7" Type="http://schemas.openxmlformats.org/officeDocument/2006/relationships/image" Target="../media/image13.png"/><Relationship Id="rId2" Type="http://schemas.openxmlformats.org/officeDocument/2006/relationships/image" Target="../media/image9.png"/><Relationship Id="rId1" Type="http://schemas.openxmlformats.org/officeDocument/2006/relationships/hyperlink" Target="http://projects.ael.uni-tuebingen.de/quiz/htmlarea/index.php" TargetMode="External"/><Relationship Id="rId6" Type="http://schemas.openxmlformats.org/officeDocument/2006/relationships/image" Target="../media/image14.png"/><Relationship Id="rId5" Type="http://schemas.openxmlformats.org/officeDocument/2006/relationships/image" Target="../media/image11.jpeg"/><Relationship Id="rId4" Type="http://schemas.openxmlformats.org/officeDocument/2006/relationships/hyperlink" Target="https://www.youtube.com/playlist?app=desktop&amp;list=PLBy0dKFd_LuIN21tTezMcUen28a--ebab" TargetMode="External"/></Relationships>
</file>

<file path=xl/drawings/_rels/drawing5.xml.rels><?xml version="1.0" encoding="UTF-8" standalone="yes"?>
<Relationships xmlns="http://schemas.openxmlformats.org/package/2006/relationships"><Relationship Id="rId3" Type="http://schemas.openxmlformats.org/officeDocument/2006/relationships/image" Target="../media/image17.png"/><Relationship Id="rId2" Type="http://schemas.openxmlformats.org/officeDocument/2006/relationships/image" Target="../media/image16.jpeg"/><Relationship Id="rId1" Type="http://schemas.openxmlformats.org/officeDocument/2006/relationships/hyperlink" Target="https://www.uca.es/" TargetMode="External"/><Relationship Id="rId4" Type="http://schemas.openxmlformats.org/officeDocument/2006/relationships/image" Target="../media/image8.png"/></Relationships>
</file>

<file path=xl/drawings/_rels/drawing6.xml.rels><?xml version="1.0" encoding="UTF-8" standalone="yes"?>
<Relationships xmlns="http://schemas.openxmlformats.org/package/2006/relationships"><Relationship Id="rId3" Type="http://schemas.openxmlformats.org/officeDocument/2006/relationships/image" Target="../media/image10.png"/><Relationship Id="rId7" Type="http://schemas.openxmlformats.org/officeDocument/2006/relationships/image" Target="../media/image13.png"/><Relationship Id="rId2" Type="http://schemas.openxmlformats.org/officeDocument/2006/relationships/image" Target="../media/image9.png"/><Relationship Id="rId1" Type="http://schemas.openxmlformats.org/officeDocument/2006/relationships/hyperlink" Target="http://projects.ael.uni-tuebingen.de/quiz/htmlarea/index.php" TargetMode="External"/><Relationship Id="rId6" Type="http://schemas.openxmlformats.org/officeDocument/2006/relationships/image" Target="../media/image14.png"/><Relationship Id="rId5" Type="http://schemas.openxmlformats.org/officeDocument/2006/relationships/image" Target="../media/image11.jpeg"/><Relationship Id="rId4" Type="http://schemas.openxmlformats.org/officeDocument/2006/relationships/hyperlink" Target="https://www.youtube.com/playlist?app=desktop&amp;list=PLBy0dKFd_LuIN21tTezMcUen28a--ebab" TargetMode="External"/></Relationships>
</file>

<file path=xl/drawings/_rels/drawing7.xml.rels><?xml version="1.0" encoding="UTF-8" standalone="yes"?>
<Relationships xmlns="http://schemas.openxmlformats.org/package/2006/relationships"><Relationship Id="rId3" Type="http://schemas.openxmlformats.org/officeDocument/2006/relationships/image" Target="../media/image17.png"/><Relationship Id="rId2" Type="http://schemas.openxmlformats.org/officeDocument/2006/relationships/image" Target="../media/image16.jpeg"/><Relationship Id="rId1" Type="http://schemas.openxmlformats.org/officeDocument/2006/relationships/hyperlink" Target="https://www.uca.es/" TargetMode="External"/><Relationship Id="rId4" Type="http://schemas.openxmlformats.org/officeDocument/2006/relationships/image" Target="../media/image8.png"/></Relationships>
</file>

<file path=xl/drawings/_rels/drawing8.xml.rels><?xml version="1.0" encoding="UTF-8" standalone="yes"?>
<Relationships xmlns="http://schemas.openxmlformats.org/package/2006/relationships"><Relationship Id="rId3" Type="http://schemas.openxmlformats.org/officeDocument/2006/relationships/image" Target="../media/image10.png"/><Relationship Id="rId7" Type="http://schemas.openxmlformats.org/officeDocument/2006/relationships/image" Target="../media/image13.png"/><Relationship Id="rId2" Type="http://schemas.openxmlformats.org/officeDocument/2006/relationships/image" Target="../media/image9.png"/><Relationship Id="rId1" Type="http://schemas.openxmlformats.org/officeDocument/2006/relationships/hyperlink" Target="http://projects.ael.uni-tuebingen.de/quiz/htmlarea/index.php" TargetMode="External"/><Relationship Id="rId6" Type="http://schemas.openxmlformats.org/officeDocument/2006/relationships/image" Target="../media/image14.png"/><Relationship Id="rId5" Type="http://schemas.openxmlformats.org/officeDocument/2006/relationships/image" Target="../media/image11.jpeg"/><Relationship Id="rId4" Type="http://schemas.openxmlformats.org/officeDocument/2006/relationships/hyperlink" Target="https://www.youtube.com/playlist?app=desktop&amp;list=PLBy0dKFd_LuIN21tTezMcUen28a--ebab" TargetMode="External"/></Relationships>
</file>

<file path=xl/drawings/_rels/drawing9.xml.rels><?xml version="1.0" encoding="UTF-8" standalone="yes"?>
<Relationships xmlns="http://schemas.openxmlformats.org/package/2006/relationships"><Relationship Id="rId3" Type="http://schemas.openxmlformats.org/officeDocument/2006/relationships/image" Target="../media/image17.png"/><Relationship Id="rId2" Type="http://schemas.openxmlformats.org/officeDocument/2006/relationships/image" Target="../media/image16.jpeg"/><Relationship Id="rId1" Type="http://schemas.openxmlformats.org/officeDocument/2006/relationships/hyperlink" Target="https://www.uca.es/" TargetMode="External"/><Relationship Id="rId4" Type="http://schemas.openxmlformats.org/officeDocument/2006/relationships/image" Target="../media/image8.png"/></Relationships>
</file>

<file path=xl/drawings/_rels/drawing10.xml.rels><?xml version="1.0" encoding="UTF-8" standalone="yes"?>
<Relationships xmlns="http://schemas.openxmlformats.org/package/2006/relationships"><Relationship Id="rId3" Type="http://schemas.openxmlformats.org/officeDocument/2006/relationships/image" Target="../media/image10.png"/><Relationship Id="rId7" Type="http://schemas.openxmlformats.org/officeDocument/2006/relationships/image" Target="../media/image13.png"/><Relationship Id="rId2" Type="http://schemas.openxmlformats.org/officeDocument/2006/relationships/image" Target="../media/image9.png"/><Relationship Id="rId1" Type="http://schemas.openxmlformats.org/officeDocument/2006/relationships/hyperlink" Target="http://projects.ael.uni-tuebingen.de/quiz/htmlarea/index.php" TargetMode="External"/><Relationship Id="rId6" Type="http://schemas.openxmlformats.org/officeDocument/2006/relationships/image" Target="../media/image14.png"/><Relationship Id="rId5" Type="http://schemas.openxmlformats.org/officeDocument/2006/relationships/image" Target="../media/image11.jpeg"/><Relationship Id="rId4" Type="http://schemas.openxmlformats.org/officeDocument/2006/relationships/hyperlink" Target="https://www.youtube.com/playlist?app=desktop&amp;list=PLBy0dKFd_LuIN21tTezMcUen28a--ebab" TargetMode="External"/></Relationships>
</file>

<file path=xl/drawings/_rels/drawing11.xml.rels><?xml version="1.0" encoding="UTF-8" standalone="yes"?>
<Relationships xmlns="http://schemas.openxmlformats.org/package/2006/relationships"><Relationship Id="rId3" Type="http://schemas.openxmlformats.org/officeDocument/2006/relationships/image" Target="../media/image17.png"/><Relationship Id="rId2" Type="http://schemas.openxmlformats.org/officeDocument/2006/relationships/image" Target="../media/image16.jpeg"/><Relationship Id="rId1" Type="http://schemas.openxmlformats.org/officeDocument/2006/relationships/hyperlink" Target="https://www.uca.es/" TargetMode="External"/><Relationship Id="rId4" Type="http://schemas.openxmlformats.org/officeDocument/2006/relationships/image" Target="../media/image8.png"/></Relationships>
</file>

<file path=xl/drawings/_rels/drawing12.xml.rels><?xml version="1.0" encoding="UTF-8" standalone="yes"?>
<Relationships xmlns="http://schemas.openxmlformats.org/package/2006/relationships"><Relationship Id="rId3" Type="http://schemas.openxmlformats.org/officeDocument/2006/relationships/image" Target="../media/image10.png"/><Relationship Id="rId7" Type="http://schemas.openxmlformats.org/officeDocument/2006/relationships/image" Target="../media/image13.png"/><Relationship Id="rId2" Type="http://schemas.openxmlformats.org/officeDocument/2006/relationships/image" Target="../media/image9.png"/><Relationship Id="rId1" Type="http://schemas.openxmlformats.org/officeDocument/2006/relationships/hyperlink" Target="http://projects.ael.uni-tuebingen.de/quiz/htmlarea/index.php" TargetMode="External"/><Relationship Id="rId6" Type="http://schemas.openxmlformats.org/officeDocument/2006/relationships/image" Target="../media/image14.png"/><Relationship Id="rId5" Type="http://schemas.openxmlformats.org/officeDocument/2006/relationships/image" Target="../media/image11.jpeg"/><Relationship Id="rId4" Type="http://schemas.openxmlformats.org/officeDocument/2006/relationships/hyperlink" Target="https://www.youtube.com/playlist?app=desktop&amp;list=PLBy0dKFd_LuIN21tTezMcUen28a--ebab" TargetMode="External"/></Relationships>
</file>

<file path=xl/drawings/_rels/drawing13.xml.rels><?xml version="1.0" encoding="UTF-8" standalone="yes"?>
<Relationships xmlns="http://schemas.openxmlformats.org/package/2006/relationships"><Relationship Id="rId3" Type="http://schemas.openxmlformats.org/officeDocument/2006/relationships/image" Target="../media/image17.png"/><Relationship Id="rId2" Type="http://schemas.openxmlformats.org/officeDocument/2006/relationships/image" Target="../media/image16.jpeg"/><Relationship Id="rId1" Type="http://schemas.openxmlformats.org/officeDocument/2006/relationships/hyperlink" Target="https://www.uca.es/" TargetMode="External"/><Relationship Id="rId4" Type="http://schemas.openxmlformats.org/officeDocument/2006/relationships/image" Target="../media/image8.png"/></Relationships>
</file>

<file path=xl/drawings/_rels/drawing14.xml.rels><?xml version="1.0" encoding="UTF-8" standalone="yes"?>
<Relationships xmlns="http://schemas.openxmlformats.org/package/2006/relationships"><Relationship Id="rId3" Type="http://schemas.openxmlformats.org/officeDocument/2006/relationships/image" Target="../media/image10.png"/><Relationship Id="rId7" Type="http://schemas.openxmlformats.org/officeDocument/2006/relationships/image" Target="../media/image13.png"/><Relationship Id="rId2" Type="http://schemas.openxmlformats.org/officeDocument/2006/relationships/image" Target="../media/image9.png"/><Relationship Id="rId1" Type="http://schemas.openxmlformats.org/officeDocument/2006/relationships/hyperlink" Target="http://projects.ael.uni-tuebingen.de/quiz/htmlarea/index.php" TargetMode="External"/><Relationship Id="rId6" Type="http://schemas.openxmlformats.org/officeDocument/2006/relationships/image" Target="../media/image14.png"/><Relationship Id="rId5" Type="http://schemas.openxmlformats.org/officeDocument/2006/relationships/image" Target="../media/image11.jpeg"/><Relationship Id="rId4" Type="http://schemas.openxmlformats.org/officeDocument/2006/relationships/hyperlink" Target="https://www.youtube.com/playlist?app=desktop&amp;list=PLBy0dKFd_LuIN21tTezMcUen28a--ebab" TargetMode="External"/></Relationships>
</file>

<file path=xl/drawings/_rels/drawing15.xml.rels><?xml version="1.0" encoding="UTF-8" standalone="yes"?>
<Relationships xmlns="http://schemas.openxmlformats.org/package/2006/relationships"><Relationship Id="rId3" Type="http://schemas.openxmlformats.org/officeDocument/2006/relationships/image" Target="../media/image17.png"/><Relationship Id="rId2" Type="http://schemas.openxmlformats.org/officeDocument/2006/relationships/image" Target="../media/image16.jpeg"/><Relationship Id="rId1" Type="http://schemas.openxmlformats.org/officeDocument/2006/relationships/hyperlink" Target="https://www.uca.es/" TargetMode="External"/><Relationship Id="rId4" Type="http://schemas.openxmlformats.org/officeDocument/2006/relationships/image" Target="../media/image8.png"/></Relationships>
</file>

<file path=xl/drawings/_rels/drawing16.xml.rels><?xml version="1.0" encoding="UTF-8" standalone="yes"?>
<Relationships xmlns="http://schemas.openxmlformats.org/package/2006/relationships"><Relationship Id="rId3" Type="http://schemas.openxmlformats.org/officeDocument/2006/relationships/image" Target="../media/image10.png"/><Relationship Id="rId7" Type="http://schemas.openxmlformats.org/officeDocument/2006/relationships/image" Target="../media/image13.png"/><Relationship Id="rId2" Type="http://schemas.openxmlformats.org/officeDocument/2006/relationships/image" Target="../media/image9.png"/><Relationship Id="rId1" Type="http://schemas.openxmlformats.org/officeDocument/2006/relationships/hyperlink" Target="http://projects.ael.uni-tuebingen.de/quiz/htmlarea/index.php" TargetMode="External"/><Relationship Id="rId6" Type="http://schemas.openxmlformats.org/officeDocument/2006/relationships/image" Target="../media/image14.png"/><Relationship Id="rId5" Type="http://schemas.openxmlformats.org/officeDocument/2006/relationships/image" Target="../media/image11.jpeg"/><Relationship Id="rId4" Type="http://schemas.openxmlformats.org/officeDocument/2006/relationships/hyperlink" Target="https://www.youtube.com/playlist?app=desktop&amp;list=PLBy0dKFd_LuIN21tTezMcUen28a--ebab" TargetMode="External"/></Relationships>
</file>

<file path=xl/drawings/_rels/drawing17.xml.rels><?xml version="1.0" encoding="UTF-8" standalone="yes"?>
<Relationships xmlns="http://schemas.openxmlformats.org/package/2006/relationships"><Relationship Id="rId3" Type="http://schemas.openxmlformats.org/officeDocument/2006/relationships/image" Target="../media/image17.png"/><Relationship Id="rId2" Type="http://schemas.openxmlformats.org/officeDocument/2006/relationships/image" Target="../media/image16.jpeg"/><Relationship Id="rId1" Type="http://schemas.openxmlformats.org/officeDocument/2006/relationships/hyperlink" Target="https://www.uca.es/" TargetMode="External"/><Relationship Id="rId4" Type="http://schemas.openxmlformats.org/officeDocument/2006/relationships/image" Target="../media/image8.png"/></Relationships>
</file>

<file path=xl/drawings/_rels/drawing18.xml.rels><?xml version="1.0" encoding="UTF-8" standalone="yes"?>
<Relationships xmlns="http://schemas.openxmlformats.org/package/2006/relationships"><Relationship Id="rId3" Type="http://schemas.openxmlformats.org/officeDocument/2006/relationships/image" Target="../media/image10.png"/><Relationship Id="rId7" Type="http://schemas.openxmlformats.org/officeDocument/2006/relationships/image" Target="../media/image13.png"/><Relationship Id="rId2" Type="http://schemas.openxmlformats.org/officeDocument/2006/relationships/image" Target="../media/image9.png"/><Relationship Id="rId1" Type="http://schemas.openxmlformats.org/officeDocument/2006/relationships/hyperlink" Target="http://projects.ael.uni-tuebingen.de/quiz/htmlarea/index.php" TargetMode="External"/><Relationship Id="rId6" Type="http://schemas.openxmlformats.org/officeDocument/2006/relationships/image" Target="../media/image14.png"/><Relationship Id="rId5" Type="http://schemas.openxmlformats.org/officeDocument/2006/relationships/image" Target="../media/image11.jpeg"/><Relationship Id="rId4" Type="http://schemas.openxmlformats.org/officeDocument/2006/relationships/hyperlink" Target="https://www.youtube.com/playlist?app=desktop&amp;list=PLBy0dKFd_LuIN21tTezMcUen28a--ebab" TargetMode="External"/></Relationships>
</file>

<file path=xl/drawings/_rels/drawing19.xml.rels><?xml version="1.0" encoding="UTF-8" standalone="yes"?>
<Relationships xmlns="http://schemas.openxmlformats.org/package/2006/relationships"><Relationship Id="rId3" Type="http://schemas.openxmlformats.org/officeDocument/2006/relationships/image" Target="../media/image17.png"/><Relationship Id="rId2" Type="http://schemas.openxmlformats.org/officeDocument/2006/relationships/image" Target="../media/image16.jpeg"/><Relationship Id="rId1" Type="http://schemas.openxmlformats.org/officeDocument/2006/relationships/hyperlink" Target="https://www.uca.es/" TargetMode="External"/><Relationship Id="rId4" Type="http://schemas.openxmlformats.org/officeDocument/2006/relationships/image" Target="../media/image8.png"/></Relationships>
</file>

<file path=xl/drawings/_rels/vmlDrawing3.vml.rels><?xml version="1.0" encoding="UTF-8" standalone="yes"?>
<Relationships xmlns="http://schemas.openxmlformats.org/package/2006/relationships"><Relationship Id="rId1" Type="http://schemas.openxmlformats.org/officeDocument/2006/relationships/image" Target="../media/image15.png"/></Relationships>
</file>

<file path=xl/drawings/_rels/vmlDrawing5.vml.rels><?xml version="1.0" encoding="UTF-8" standalone="yes"?>
<Relationships xmlns="http://schemas.openxmlformats.org/package/2006/relationships"><Relationship Id="rId1" Type="http://schemas.openxmlformats.org/officeDocument/2006/relationships/image" Target="../media/image15.png"/></Relationships>
</file>

<file path=xl/drawings/_rels/vmlDrawing7.vml.rels><?xml version="1.0" encoding="UTF-8" standalone="yes"?>
<Relationships xmlns="http://schemas.openxmlformats.org/package/2006/relationships"><Relationship Id="rId1" Type="http://schemas.openxmlformats.org/officeDocument/2006/relationships/image" Target="../media/image15.png"/></Relationships>
</file>

<file path=xl/drawings/_rels/vmlDrawing9.vml.rels><?xml version="1.0" encoding="UTF-8" standalone="yes"?>
<Relationships xmlns="http://schemas.openxmlformats.org/package/2006/relationships"><Relationship Id="rId1" Type="http://schemas.openxmlformats.org/officeDocument/2006/relationships/image" Target="../media/image15.png"/></Relationships>
</file>

<file path=xl/drawings/_rels/vmlDrawing11.vml.rels><?xml version="1.0" encoding="UTF-8" standalone="yes"?>
<Relationships xmlns="http://schemas.openxmlformats.org/package/2006/relationships"><Relationship Id="rId1" Type="http://schemas.openxmlformats.org/officeDocument/2006/relationships/image" Target="../media/image15.png"/></Relationships>
</file>

<file path=xl/drawings/_rels/vmlDrawing13.vml.rels><?xml version="1.0" encoding="UTF-8" standalone="yes"?>
<Relationships xmlns="http://schemas.openxmlformats.org/package/2006/relationships"><Relationship Id="rId1" Type="http://schemas.openxmlformats.org/officeDocument/2006/relationships/image" Target="../media/image15.png"/></Relationships>
</file>

<file path=xl/drawings/_rels/vmlDrawing15.vml.rels><?xml version="1.0" encoding="UTF-8" standalone="yes"?>
<Relationships xmlns="http://schemas.openxmlformats.org/package/2006/relationships"><Relationship Id="rId1" Type="http://schemas.openxmlformats.org/officeDocument/2006/relationships/image" Target="../media/image15.png"/></Relationships>
</file>

<file path=xl/drawings/_rels/vmlDrawing17.vml.rels><?xml version="1.0" encoding="UTF-8" standalone="yes"?>
<Relationships xmlns="http://schemas.openxmlformats.org/package/2006/relationships"><Relationship Id="rId1" Type="http://schemas.openxmlformats.org/officeDocument/2006/relationships/image" Target="../media/image15.png"/></Relationships>
</file>

<file path=xl/drawings/drawing1.xml><?xml version="1.0" encoding="utf-8"?>
<xdr:wsDr xmlns:xdr="http://schemas.openxmlformats.org/drawingml/2006/spreadsheetDrawing" xmlns:a="http://schemas.openxmlformats.org/drawingml/2006/main">
  <xdr:twoCellAnchor>
    <xdr:from>
      <xdr:col>3</xdr:col>
      <xdr:colOff>23520</xdr:colOff>
      <xdr:row>0</xdr:row>
      <xdr:rowOff>17640</xdr:rowOff>
    </xdr:from>
    <xdr:to>
      <xdr:col>3</xdr:col>
      <xdr:colOff>4368397</xdr:colOff>
      <xdr:row>1</xdr:row>
      <xdr:rowOff>362520</xdr:rowOff>
    </xdr:to>
    <xdr:grpSp>
      <xdr:nvGrpSpPr>
        <xdr:cNvPr id="27" name="MOODLE-FTP"/>
        <xdr:cNvGrpSpPr/>
      </xdr:nvGrpSpPr>
      <xdr:grpSpPr>
        <a:xfrm>
          <a:off x="23520" y="17640"/>
          <a:ext cx="4344877" cy="727056"/>
          <a:chOff x="23520" y="17640"/>
          <a:chExt cx="4344877" cy="727056"/>
        </a:xfrm>
      </xdr:grpSpPr>
      <xdr:pic macro="[0]!IR_DICCIONARIO">
        <xdr:nvPicPr>
          <xdr:cNvPr id="28" name="FTP"/>
          <xdr:cNvPicPr>
            <a:picLocks noChangeAspect="1"/>
          </xdr:cNvPicPr>
        </xdr:nvPicPr>
        <xdr:blipFill>
          <a:blip xmlns:r="http://schemas.openxmlformats.org/officeDocument/2006/relationships" r:embed="rId1" cstate="print">
            <a:extLst>
              <a:ext uri="{28A0092B-C50C-407E-A947-70E740481C1C}">
                <a14:useLocalDpi xmlns:a14="http://schemas.microsoft.com/office/drawing/2010/main" val="0"/>
              </a:ext>
            </a:extLst>
          </a:blip>
          <a:stretch>
            <a:fillRect/>
          </a:stretch>
        </xdr:blipFill>
        <xdr:spPr>
          <a:xfrm>
            <a:off x="3650291" y="23520"/>
            <a:ext cx="718106" cy="721176"/>
          </a:xfrm>
          <a:prstGeom prst="roundRect">
            <a:avLst>
              <a:gd name="adj" fmla="val 16667"/>
            </a:avLst>
          </a:prstGeom>
          <a:ln>
            <a:noFill/>
          </a:ln>
          <a:effectLst>
            <a:outerShdw blurRad="76200" dist="38100" dir="7800000" algn="tl" rotWithShape="0">
              <a:srgbClr val="000000">
                <a:alpha val="40000"/>
              </a:srgbClr>
            </a:outerShdw>
          </a:effectLst>
          <a:scene3d>
            <a:camera prst="orthographicFront"/>
            <a:lightRig rig="contrasting" dir="t">
              <a:rot lat="0" lon="0" rev="4200000"/>
            </a:lightRig>
          </a:scene3d>
          <a:sp3d prstMaterial="plastic">
            <a:bevelT w="381000" h="114300" prst="relaxedInset"/>
            <a:contourClr>
              <a:srgbClr val="969696"/>
            </a:contourClr>
          </a:sp3d>
        </xdr:spPr>
      </xdr:pic>
      <xdr:pic macro="[0]!IR_DICCIONARIO">
        <xdr:nvPicPr>
          <xdr:cNvPr id="29" name="MOODLE"/>
          <xdr:cNvPicPr>
            <a:picLocks noChangeAspect="1"/>
          </xdr:cNvPicPr>
        </xdr:nvPicPr>
        <xdr:blipFill rotWithShape="1">
          <a:blip xmlns:r="http://schemas.openxmlformats.org/officeDocument/2006/relationships" r:embed="rId2" cstate="print">
            <a:extLst>
              <a:ext uri="{28A0092B-C50C-407E-A947-70E740481C1C}">
                <a14:useLocalDpi xmlns:a14="http://schemas.microsoft.com/office/drawing/2010/main" val="0"/>
              </a:ext>
            </a:extLst>
          </a:blip>
          <a:srcRect l="8403" t="8301" r="8171" b="7941"/>
          <a:stretch/>
        </xdr:blipFill>
        <xdr:spPr>
          <a:xfrm>
            <a:off x="23520" y="17640"/>
            <a:ext cx="730559" cy="721176"/>
          </a:xfrm>
          <a:prstGeom prst="roundRect">
            <a:avLst>
              <a:gd name="adj" fmla="val 16667"/>
            </a:avLst>
          </a:prstGeom>
          <a:ln>
            <a:noFill/>
          </a:ln>
          <a:effectLst>
            <a:outerShdw blurRad="76200" dist="38100" dir="7800000" algn="tl" rotWithShape="0">
              <a:srgbClr val="000000">
                <a:alpha val="40000"/>
              </a:srgbClr>
            </a:outerShdw>
          </a:effectLst>
          <a:scene3d>
            <a:camera prst="orthographicFront"/>
            <a:lightRig rig="contrasting" dir="t">
              <a:rot lat="0" lon="0" rev="4200000"/>
            </a:lightRig>
          </a:scene3d>
          <a:sp3d prstMaterial="plastic">
            <a:bevelT w="381000" h="114300" prst="relaxedInset"/>
            <a:contourClr>
              <a:srgbClr val="969696"/>
            </a:contourClr>
          </a:sp3d>
        </xdr:spPr>
      </xdr:pic>
    </xdr:grpSp>
    <xdr:clientData/>
  </xdr:twoCellAnchor>
  <xdr:twoCellAnchor>
    <xdr:from>
      <xdr:col>0</xdr:col>
      <xdr:colOff>0</xdr:colOff>
      <xdr:row>1</xdr:row>
      <xdr:rowOff>0</xdr:rowOff>
    </xdr:from>
    <xdr:to>
      <xdr:col>3</xdr:col>
      <xdr:colOff>4320000</xdr:colOff>
      <xdr:row>1</xdr:row>
      <xdr:rowOff>357656</xdr:rowOff>
    </xdr:to>
    <xdr:sp macro="[0]!Enlace_DICCIONARIO" textlink="">
      <xdr:nvSpPr>
        <xdr:cNvPr id="30" name="LINK DICCIONARIO"/>
        <xdr:cNvSpPr/>
      </xdr:nvSpPr>
      <xdr:spPr>
        <a:xfrm>
          <a:off x="0" y="382176"/>
          <a:ext cx="4320000" cy="357656"/>
        </a:xfrm>
        <a:prstGeom prst="rect">
          <a:avLst/>
        </a:prstGeom>
        <a:no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clientData/>
  </xdr:twoCellAnchor>
  <xdr:twoCellAnchor>
    <xdr:from>
      <xdr:col>0</xdr:col>
      <xdr:colOff>0</xdr:colOff>
      <xdr:row>0</xdr:row>
      <xdr:rowOff>0</xdr:rowOff>
    </xdr:from>
    <xdr:to>
      <xdr:col>3</xdr:col>
      <xdr:colOff>4320000</xdr:colOff>
      <xdr:row>0</xdr:row>
      <xdr:rowOff>360000</xdr:rowOff>
    </xdr:to>
    <xdr:sp macro="[0]!IR_INICIO" textlink="">
      <xdr:nvSpPr>
        <xdr:cNvPr id="31" name="INICIO"/>
        <xdr:cNvSpPr/>
      </xdr:nvSpPr>
      <xdr:spPr>
        <a:xfrm>
          <a:off x="0" y="0"/>
          <a:ext cx="4320000" cy="360000"/>
        </a:xfrm>
        <a:prstGeom prst="rect">
          <a:avLst/>
        </a:prstGeom>
        <a:no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clientData/>
  </xdr:twoCellAnchor>
  <xdr:twoCellAnchor editAs="oneCell">
    <xdr:from>
      <xdr:col>3</xdr:col>
      <xdr:colOff>3280832</xdr:colOff>
      <xdr:row>0</xdr:row>
      <xdr:rowOff>70556</xdr:rowOff>
    </xdr:from>
    <xdr:to>
      <xdr:col>3</xdr:col>
      <xdr:colOff>3568588</xdr:colOff>
      <xdr:row>0</xdr:row>
      <xdr:rowOff>326610</xdr:rowOff>
    </xdr:to>
    <xdr:pic macro="[0]!IR_INICIO">
      <xdr:nvPicPr>
        <xdr:cNvPr id="3" name="Imagen 2"/>
        <xdr:cNvPicPr>
          <a:picLocks noChangeAspect="1"/>
        </xdr:cNvPicPr>
      </xdr:nvPicPr>
      <xdr:blipFill>
        <a:blip xmlns:r="http://schemas.openxmlformats.org/officeDocument/2006/relationships" r:embed="rId3"/>
        <a:stretch>
          <a:fillRect/>
        </a:stretch>
      </xdr:blipFill>
      <xdr:spPr>
        <a:xfrm>
          <a:off x="3280832" y="70556"/>
          <a:ext cx="287756" cy="256054"/>
        </a:xfrm>
        <a:prstGeom prst="rect">
          <a:avLst/>
        </a:prstGeom>
      </xdr:spPr>
    </xdr:pic>
    <xdr:clientData/>
  </xdr:twoCellAnchor>
</xdr:wsDr>
</file>

<file path=xl/drawings/drawing2.xml><?xml version="1.0" encoding="utf-8"?>
<xdr:wsDr xmlns:xdr="http://schemas.openxmlformats.org/drawingml/2006/spreadsheetDrawing" xmlns:a="http://schemas.openxmlformats.org/drawingml/2006/main">
  <xdr:twoCellAnchor>
    <xdr:from>
      <xdr:col>6</xdr:col>
      <xdr:colOff>1443</xdr:colOff>
      <xdr:row>6</xdr:row>
      <xdr:rowOff>0</xdr:rowOff>
    </xdr:from>
    <xdr:to>
      <xdr:col>22</xdr:col>
      <xdr:colOff>357852</xdr:colOff>
      <xdr:row>34</xdr:row>
      <xdr:rowOff>117401</xdr:rowOff>
    </xdr:to>
    <xdr:grpSp>
      <xdr:nvGrpSpPr>
        <xdr:cNvPr id="9" name="G IMAGENES"/>
        <xdr:cNvGrpSpPr/>
      </xdr:nvGrpSpPr>
      <xdr:grpSpPr>
        <a:xfrm>
          <a:off x="2427234" y="712662"/>
          <a:ext cx="6496265" cy="3879433"/>
          <a:chOff x="2420793" y="714375"/>
          <a:chExt cx="6452409" cy="3879776"/>
        </a:xfrm>
      </xdr:grpSpPr>
      <xdr:pic>
        <xdr:nvPicPr>
          <xdr:cNvPr id="2" name="Moodle"/>
          <xdr:cNvPicPr>
            <a:picLocks noChangeAspect="1"/>
          </xdr:cNvPicPr>
        </xdr:nvPicPr>
        <xdr:blipFill rotWithShape="1">
          <a:blip xmlns:r="http://schemas.openxmlformats.org/officeDocument/2006/relationships" r:embed="rId1"/>
          <a:srcRect l="-14323" r="-1"/>
          <a:stretch/>
        </xdr:blipFill>
        <xdr:spPr>
          <a:xfrm>
            <a:off x="2420793" y="714375"/>
            <a:ext cx="1010263" cy="865443"/>
          </a:xfrm>
          <a:prstGeom prst="rect">
            <a:avLst/>
          </a:prstGeom>
        </xdr:spPr>
      </xdr:pic>
      <xdr:pic>
        <xdr:nvPicPr>
          <xdr:cNvPr id="3" name="FTP"/>
          <xdr:cNvPicPr>
            <a:picLocks noChangeAspect="1"/>
          </xdr:cNvPicPr>
        </xdr:nvPicPr>
        <xdr:blipFill rotWithShape="1">
          <a:blip xmlns:r="http://schemas.openxmlformats.org/officeDocument/2006/relationships" r:embed="rId2"/>
          <a:srcRect l="-13960" r="-2"/>
          <a:stretch/>
        </xdr:blipFill>
        <xdr:spPr>
          <a:xfrm>
            <a:off x="6229350" y="714375"/>
            <a:ext cx="973724" cy="847153"/>
          </a:xfrm>
          <a:prstGeom prst="rect">
            <a:avLst/>
          </a:prstGeom>
        </xdr:spPr>
      </xdr:pic>
      <xdr:pic>
        <xdr:nvPicPr>
          <xdr:cNvPr id="4" name="UCA">
            <a:hlinkClick xmlns:r="http://schemas.openxmlformats.org/officeDocument/2006/relationships" r:id="rId3"/>
          </xdr:cNvPr>
          <xdr:cNvPicPr>
            <a:picLocks noChangeAspect="1"/>
          </xdr:cNvPicPr>
        </xdr:nvPicPr>
        <xdr:blipFill>
          <a:blip xmlns:r="http://schemas.openxmlformats.org/officeDocument/2006/relationships" r:embed="rId4" cstate="print">
            <a:extLst>
              <a:ext uri="{28A0092B-C50C-407E-A947-70E740481C1C}">
                <a14:useLocalDpi xmlns:a14="http://schemas.microsoft.com/office/drawing/2010/main" val="0"/>
              </a:ext>
            </a:extLst>
          </a:blip>
          <a:stretch>
            <a:fillRect/>
          </a:stretch>
        </xdr:blipFill>
        <xdr:spPr>
          <a:xfrm>
            <a:off x="6996999" y="3867150"/>
            <a:ext cx="1876203" cy="727001"/>
          </a:xfrm>
          <a:prstGeom prst="rect">
            <a:avLst/>
          </a:prstGeom>
          <a:ln w="25400">
            <a:solidFill>
              <a:srgbClr val="E87B00"/>
            </a:solidFill>
          </a:ln>
        </xdr:spPr>
      </xdr:pic>
    </xdr:grpSp>
    <xdr:clientData/>
  </xdr:twoCellAnchor>
  <xdr:twoCellAnchor>
    <xdr:from>
      <xdr:col>19</xdr:col>
      <xdr:colOff>0</xdr:colOff>
      <xdr:row>1</xdr:row>
      <xdr:rowOff>0</xdr:rowOff>
    </xdr:from>
    <xdr:to>
      <xdr:col>22</xdr:col>
      <xdr:colOff>375229</xdr:colOff>
      <xdr:row>9</xdr:row>
      <xdr:rowOff>64943</xdr:rowOff>
    </xdr:to>
    <xdr:grpSp>
      <xdr:nvGrpSpPr>
        <xdr:cNvPr id="11" name="G MENU"/>
        <xdr:cNvGrpSpPr/>
      </xdr:nvGrpSpPr>
      <xdr:grpSpPr>
        <a:xfrm>
          <a:off x="7414424" y="27410"/>
          <a:ext cx="1526452" cy="1216166"/>
          <a:chOff x="7372350" y="28575"/>
          <a:chExt cx="1518229" cy="1217468"/>
        </a:xfrm>
      </xdr:grpSpPr>
      <xdr:sp macro="" textlink="">
        <xdr:nvSpPr>
          <xdr:cNvPr id="5" name="CANAL YOUTUBE">
            <a:hlinkClick xmlns:r="http://schemas.openxmlformats.org/officeDocument/2006/relationships" r:id="rId5" tooltip="Canal / Channel YouTube"/>
          </xdr:cNvPr>
          <xdr:cNvSpPr/>
        </xdr:nvSpPr>
        <xdr:spPr>
          <a:xfrm>
            <a:off x="7373792" y="916419"/>
            <a:ext cx="1516786" cy="329624"/>
          </a:xfrm>
          <a:prstGeom prst="rect">
            <a:avLst/>
          </a:prstGeom>
          <a:solidFill>
            <a:schemeClr val="bg1">
              <a:lumMod val="85000"/>
              <a:alpha val="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sp macro="[0]!IR_DATOS_GENERALES" textlink="">
        <xdr:nvSpPr>
          <xdr:cNvPr id="6" name="DATOS GENERALES"/>
          <xdr:cNvSpPr/>
        </xdr:nvSpPr>
        <xdr:spPr>
          <a:xfrm>
            <a:off x="7372350" y="28575"/>
            <a:ext cx="1518229" cy="328758"/>
          </a:xfrm>
          <a:prstGeom prst="rect">
            <a:avLst/>
          </a:prstGeom>
          <a:solidFill>
            <a:schemeClr val="bg1">
              <a:lumMod val="85000"/>
              <a:alpha val="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sp macro="[0]!Enlace_INDICE" textlink="">
        <xdr:nvSpPr>
          <xdr:cNvPr id="7" name="INDICE"/>
          <xdr:cNvSpPr/>
        </xdr:nvSpPr>
        <xdr:spPr>
          <a:xfrm>
            <a:off x="7372350" y="714375"/>
            <a:ext cx="1518229" cy="180398"/>
          </a:xfrm>
          <a:prstGeom prst="rect">
            <a:avLst/>
          </a:prstGeom>
          <a:solidFill>
            <a:schemeClr val="bg1">
              <a:lumMod val="85000"/>
              <a:alpha val="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grpSp>
    <xdr:clientData/>
  </xdr:twoCellAnchor>
  <xdr:twoCellAnchor>
    <xdr:from>
      <xdr:col>0</xdr:col>
      <xdr:colOff>0</xdr:colOff>
      <xdr:row>16</xdr:row>
      <xdr:rowOff>0</xdr:rowOff>
    </xdr:from>
    <xdr:to>
      <xdr:col>0</xdr:col>
      <xdr:colOff>699943</xdr:colOff>
      <xdr:row>18</xdr:row>
      <xdr:rowOff>165966</xdr:rowOff>
    </xdr:to>
    <xdr:sp macro="[0]!IR_DICCIONARIO" textlink="">
      <xdr:nvSpPr>
        <xdr:cNvPr id="8" name="Cualquier Idioma"/>
        <xdr:cNvSpPr/>
      </xdr:nvSpPr>
      <xdr:spPr>
        <a:xfrm>
          <a:off x="0" y="2085398"/>
          <a:ext cx="699943" cy="432954"/>
        </a:xfrm>
        <a:prstGeom prst="rect">
          <a:avLst/>
        </a:prstGeom>
        <a:solidFill>
          <a:schemeClr val="bg1">
            <a:lumMod val="85000"/>
            <a:alpha val="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clientData/>
  </xdr:twoCellAnchor>
  <xdr:twoCellAnchor>
    <xdr:from>
      <xdr:col>3</xdr:col>
      <xdr:colOff>0</xdr:colOff>
      <xdr:row>25</xdr:row>
      <xdr:rowOff>0</xdr:rowOff>
    </xdr:from>
    <xdr:to>
      <xdr:col>15</xdr:col>
      <xdr:colOff>285749</xdr:colOff>
      <xdr:row>33</xdr:row>
      <xdr:rowOff>29482</xdr:rowOff>
    </xdr:to>
    <xdr:grpSp>
      <xdr:nvGrpSpPr>
        <xdr:cNvPr id="20" name="ENLACES YOUTUBE"/>
        <xdr:cNvGrpSpPr/>
      </xdr:nvGrpSpPr>
      <xdr:grpSpPr>
        <a:xfrm>
          <a:off x="1274568" y="3330324"/>
          <a:ext cx="4890641" cy="1098475"/>
          <a:chOff x="1277216" y="3355398"/>
          <a:chExt cx="4875067" cy="1097436"/>
        </a:xfrm>
      </xdr:grpSpPr>
      <xdr:sp macro="" textlink="">
        <xdr:nvSpPr>
          <xdr:cNvPr id="12" name="Cloze">
            <a:hlinkClick xmlns:r="http://schemas.openxmlformats.org/officeDocument/2006/relationships" r:id="rId6" tooltip="CLOZE"/>
          </xdr:cNvPr>
          <xdr:cNvSpPr/>
        </xdr:nvSpPr>
        <xdr:spPr>
          <a:xfrm>
            <a:off x="1353290" y="4118090"/>
            <a:ext cx="4798993" cy="334744"/>
          </a:xfrm>
          <a:prstGeom prst="rect">
            <a:avLst/>
          </a:prstGeom>
          <a:no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sp macro="" textlink="">
        <xdr:nvSpPr>
          <xdr:cNvPr id="18" name="Respuesta Corta">
            <a:hlinkClick xmlns:r="http://schemas.openxmlformats.org/officeDocument/2006/relationships" r:id="rId7" tooltip="RESPUESTA CORTA - SHORT ANSWER"/>
          </xdr:cNvPr>
          <xdr:cNvSpPr/>
        </xdr:nvSpPr>
        <xdr:spPr>
          <a:xfrm>
            <a:off x="3765082" y="3961149"/>
            <a:ext cx="2168687" cy="140218"/>
          </a:xfrm>
          <a:prstGeom prst="rect">
            <a:avLst/>
          </a:prstGeom>
          <a:no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sp macro="" textlink="">
        <xdr:nvSpPr>
          <xdr:cNvPr id="16" name="Palabra Perdida">
            <a:hlinkClick xmlns:r="http://schemas.openxmlformats.org/officeDocument/2006/relationships" r:id="rId8" tooltip="PALABRA PERDIDA - LOST WORD"/>
          </xdr:cNvPr>
          <xdr:cNvSpPr/>
        </xdr:nvSpPr>
        <xdr:spPr>
          <a:xfrm>
            <a:off x="3786655" y="3768673"/>
            <a:ext cx="2139349" cy="146201"/>
          </a:xfrm>
          <a:prstGeom prst="rect">
            <a:avLst/>
          </a:prstGeom>
          <a:no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sp macro="" textlink="">
        <xdr:nvSpPr>
          <xdr:cNvPr id="19" name="Ensayo">
            <a:hlinkClick xmlns:r="http://schemas.openxmlformats.org/officeDocument/2006/relationships" r:id="rId9" tooltip="ENSAYO - ESSAY"/>
          </xdr:cNvPr>
          <xdr:cNvSpPr/>
        </xdr:nvSpPr>
        <xdr:spPr>
          <a:xfrm>
            <a:off x="3851367" y="3576197"/>
            <a:ext cx="2038146" cy="145011"/>
          </a:xfrm>
          <a:prstGeom prst="rect">
            <a:avLst/>
          </a:prstGeom>
          <a:no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sp macro="" textlink="">
        <xdr:nvSpPr>
          <xdr:cNvPr id="17" name="Emparejar">
            <a:hlinkClick xmlns:r="http://schemas.openxmlformats.org/officeDocument/2006/relationships" r:id="rId10" tooltip="EMPAREJAR - MACH"/>
          </xdr:cNvPr>
          <xdr:cNvSpPr/>
        </xdr:nvSpPr>
        <xdr:spPr>
          <a:xfrm>
            <a:off x="1376012" y="3953746"/>
            <a:ext cx="1884152" cy="168406"/>
          </a:xfrm>
          <a:prstGeom prst="rect">
            <a:avLst/>
          </a:prstGeom>
          <a:no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sp macro="" textlink="">
        <xdr:nvSpPr>
          <xdr:cNvPr id="15" name="Verdadero Falso">
            <a:hlinkClick xmlns:r="http://schemas.openxmlformats.org/officeDocument/2006/relationships" r:id="rId11" tooltip="VERDADERO/FALSO - TRUE/FALSE"/>
          </xdr:cNvPr>
          <xdr:cNvSpPr/>
        </xdr:nvSpPr>
        <xdr:spPr>
          <a:xfrm>
            <a:off x="1347262" y="3777773"/>
            <a:ext cx="1884152" cy="137000"/>
          </a:xfrm>
          <a:prstGeom prst="rect">
            <a:avLst/>
          </a:prstGeom>
          <a:no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sp macro="" textlink="">
        <xdr:nvSpPr>
          <xdr:cNvPr id="14" name="Opción Múltiple">
            <a:hlinkClick xmlns:r="http://schemas.openxmlformats.org/officeDocument/2006/relationships" r:id="rId12" tooltip="OPCION MULTIPLE / MULTIPLE CHOICE"/>
          </xdr:cNvPr>
          <xdr:cNvSpPr/>
        </xdr:nvSpPr>
        <xdr:spPr>
          <a:xfrm>
            <a:off x="1338594" y="3588210"/>
            <a:ext cx="2459948" cy="143181"/>
          </a:xfrm>
          <a:prstGeom prst="rect">
            <a:avLst/>
          </a:prstGeom>
          <a:no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sp macro="" textlink="">
        <xdr:nvSpPr>
          <xdr:cNvPr id="10" name="Cuestionarios">
            <a:hlinkClick xmlns:r="http://schemas.openxmlformats.org/officeDocument/2006/relationships" r:id="rId13" tooltip="GUIA CUESTINARIOS / QUESTIONNARY MANUAL"/>
          </xdr:cNvPr>
          <xdr:cNvSpPr/>
        </xdr:nvSpPr>
        <xdr:spPr>
          <a:xfrm>
            <a:off x="1277216" y="3355398"/>
            <a:ext cx="2845569" cy="154172"/>
          </a:xfrm>
          <a:prstGeom prst="rect">
            <a:avLst/>
          </a:prstGeom>
          <a:no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grpSp>
    <xdr:clientData/>
  </xdr:twoCellAnchor>
  <xdr:twoCellAnchor editAs="oneCell">
    <xdr:from>
      <xdr:col>17</xdr:col>
      <xdr:colOff>383741</xdr:colOff>
      <xdr:row>25</xdr:row>
      <xdr:rowOff>75377</xdr:rowOff>
    </xdr:from>
    <xdr:to>
      <xdr:col>20</xdr:col>
      <xdr:colOff>89083</xdr:colOff>
      <xdr:row>28</xdr:row>
      <xdr:rowOff>90365</xdr:rowOff>
    </xdr:to>
    <xdr:pic>
      <xdr:nvPicPr>
        <xdr:cNvPr id="23" name="LICENCIA" descr="http://www.gnu.org/graphics/agplv3-with-text-162x68.png">
          <a:hlinkClick xmlns:r="http://schemas.openxmlformats.org/officeDocument/2006/relationships" r:id="rId14"/>
        </xdr:cNvPr>
        <xdr:cNvPicPr>
          <a:picLocks noChangeAspect="1" noChangeArrowheads="1"/>
        </xdr:cNvPicPr>
      </xdr:nvPicPr>
      <xdr:blipFill>
        <a:blip xmlns:r="http://schemas.openxmlformats.org/officeDocument/2006/relationships" r:embed="rId15">
          <a:extLst>
            <a:ext uri="{28A0092B-C50C-407E-A947-70E740481C1C}">
              <a14:useLocalDpi xmlns:a14="http://schemas.microsoft.com/office/drawing/2010/main" val="0"/>
            </a:ext>
          </a:extLst>
        </a:blip>
        <a:srcRect/>
        <a:stretch>
          <a:fillRect/>
        </a:stretch>
      </xdr:blipFill>
      <xdr:spPr bwMode="auto">
        <a:xfrm>
          <a:off x="7030683" y="3405701"/>
          <a:ext cx="856565" cy="357614"/>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9</xdr:col>
      <xdr:colOff>7807</xdr:colOff>
      <xdr:row>1</xdr:row>
      <xdr:rowOff>46843</xdr:rowOff>
    </xdr:from>
    <xdr:to>
      <xdr:col>9</xdr:col>
      <xdr:colOff>302879</xdr:colOff>
      <xdr:row>1</xdr:row>
      <xdr:rowOff>300459</xdr:rowOff>
    </xdr:to>
    <xdr:pic>
      <xdr:nvPicPr>
        <xdr:cNvPr id="21" name="Casa_F_Naranja"/>
        <xdr:cNvPicPr>
          <a:picLocks noChangeAspect="1"/>
        </xdr:cNvPicPr>
      </xdr:nvPicPr>
      <xdr:blipFill>
        <a:blip xmlns:r="http://schemas.openxmlformats.org/officeDocument/2006/relationships" r:embed="rId16"/>
        <a:stretch>
          <a:fillRect/>
        </a:stretch>
      </xdr:blipFill>
      <xdr:spPr>
        <a:xfrm>
          <a:off x="3583586" y="78073"/>
          <a:ext cx="295072" cy="253616"/>
        </a:xfrm>
        <a:prstGeom prst="rect">
          <a:avLst/>
        </a:prstGeom>
      </xdr:spPr>
    </xdr:pic>
    <xdr:clientData/>
  </xdr:twoCellAnchor>
  <xdr:twoCellAnchor editAs="oneCell">
    <xdr:from>
      <xdr:col>15</xdr:col>
      <xdr:colOff>66518</xdr:colOff>
      <xdr:row>1</xdr:row>
      <xdr:rowOff>43096</xdr:rowOff>
    </xdr:from>
    <xdr:to>
      <xdr:col>15</xdr:col>
      <xdr:colOff>361590</xdr:colOff>
      <xdr:row>1</xdr:row>
      <xdr:rowOff>296712</xdr:rowOff>
    </xdr:to>
    <xdr:pic>
      <xdr:nvPicPr>
        <xdr:cNvPr id="22" name="Casa_F_Naranja"/>
        <xdr:cNvPicPr>
          <a:picLocks noChangeAspect="1"/>
        </xdr:cNvPicPr>
      </xdr:nvPicPr>
      <xdr:blipFill>
        <a:blip xmlns:r="http://schemas.openxmlformats.org/officeDocument/2006/relationships" r:embed="rId16"/>
        <a:stretch>
          <a:fillRect/>
        </a:stretch>
      </xdr:blipFill>
      <xdr:spPr>
        <a:xfrm>
          <a:off x="5937666" y="74326"/>
          <a:ext cx="295072" cy="253616"/>
        </a:xfrm>
        <a:prstGeom prst="rect">
          <a:avLst/>
        </a:prstGeom>
      </xdr:spPr>
    </xdr:pic>
    <xdr:clientData/>
  </xdr:twoCellAnchor>
</xdr:wsDr>
</file>

<file path=xl/drawings/drawing3.xml><?xml version="1.0" encoding="utf-8"?>
<xdr:wsDr xmlns:xdr="http://schemas.openxmlformats.org/drawingml/2006/spreadsheetDrawing" xmlns:a="http://schemas.openxmlformats.org/drawingml/2006/main">
  <xdr:twoCellAnchor>
    <xdr:from>
      <xdr:col>20</xdr:col>
      <xdr:colOff>0</xdr:colOff>
      <xdr:row>1</xdr:row>
      <xdr:rowOff>0</xdr:rowOff>
    </xdr:from>
    <xdr:to>
      <xdr:col>22</xdr:col>
      <xdr:colOff>381927</xdr:colOff>
      <xdr:row>2</xdr:row>
      <xdr:rowOff>0</xdr:rowOff>
    </xdr:to>
    <xdr:sp macro="[0]!IR_INICIO" textlink="">
      <xdr:nvSpPr>
        <xdr:cNvPr id="5" name="INICIO"/>
        <xdr:cNvSpPr/>
      </xdr:nvSpPr>
      <xdr:spPr>
        <a:xfrm>
          <a:off x="7778750" y="28864"/>
          <a:ext cx="1146813" cy="317500"/>
        </a:xfrm>
        <a:prstGeom prst="rect">
          <a:avLst/>
        </a:prstGeom>
        <a:solidFill>
          <a:schemeClr val="bg1">
            <a:lumMod val="85000"/>
            <a:alpha val="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clientData/>
  </xdr:twoCellAnchor>
  <xdr:twoCellAnchor>
    <xdr:from>
      <xdr:col>18</xdr:col>
      <xdr:colOff>0</xdr:colOff>
      <xdr:row>16</xdr:row>
      <xdr:rowOff>0</xdr:rowOff>
    </xdr:from>
    <xdr:to>
      <xdr:col>22</xdr:col>
      <xdr:colOff>327104</xdr:colOff>
      <xdr:row>29</xdr:row>
      <xdr:rowOff>9403</xdr:rowOff>
    </xdr:to>
    <xdr:grpSp>
      <xdr:nvGrpSpPr>
        <xdr:cNvPr id="3" name="G Menu PRINCIPAL"/>
        <xdr:cNvGrpSpPr/>
      </xdr:nvGrpSpPr>
      <xdr:grpSpPr>
        <a:xfrm>
          <a:off x="6971196" y="2091359"/>
          <a:ext cx="1845582" cy="1831577"/>
          <a:chOff x="6990522" y="2062370"/>
          <a:chExt cx="1851104" cy="1806729"/>
        </a:xfrm>
      </xdr:grpSpPr>
      <xdr:sp macro="[0]!IR_FORMULARIO" textlink="">
        <xdr:nvSpPr>
          <xdr:cNvPr id="6" name="FORMULARIO"/>
          <xdr:cNvSpPr/>
        </xdr:nvSpPr>
        <xdr:spPr>
          <a:xfrm>
            <a:off x="6990522" y="2062370"/>
            <a:ext cx="1851104" cy="199903"/>
          </a:xfrm>
          <a:prstGeom prst="rect">
            <a:avLst/>
          </a:prstGeom>
          <a:solidFill>
            <a:schemeClr val="bg1">
              <a:lumMod val="85000"/>
              <a:alpha val="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sp macro="[0]!IR_BANCO_PREGUNTAS" textlink="">
        <xdr:nvSpPr>
          <xdr:cNvPr id="7" name="BANCO DE PREGUNTAS"/>
          <xdr:cNvSpPr/>
        </xdr:nvSpPr>
        <xdr:spPr>
          <a:xfrm>
            <a:off x="6990522" y="2327413"/>
            <a:ext cx="1851104" cy="197017"/>
          </a:xfrm>
          <a:prstGeom prst="rect">
            <a:avLst/>
          </a:prstGeom>
          <a:solidFill>
            <a:schemeClr val="bg1">
              <a:lumMod val="85000"/>
              <a:alpha val="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sp macro="[0]!IMPORTAR_PREGUNTAS" textlink="">
        <xdr:nvSpPr>
          <xdr:cNvPr id="8" name="IMPORTAR EXCEL"/>
          <xdr:cNvSpPr/>
        </xdr:nvSpPr>
        <xdr:spPr>
          <a:xfrm>
            <a:off x="6990522" y="2609022"/>
            <a:ext cx="1851104" cy="187492"/>
          </a:xfrm>
          <a:prstGeom prst="rect">
            <a:avLst/>
          </a:prstGeom>
          <a:solidFill>
            <a:schemeClr val="bg1">
              <a:lumMod val="85000"/>
              <a:alpha val="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sp macro="[0]!EXPORTAR_EXCEL" textlink="">
        <xdr:nvSpPr>
          <xdr:cNvPr id="9" name="EXPORTAR EXCEL"/>
          <xdr:cNvSpPr/>
        </xdr:nvSpPr>
        <xdr:spPr>
          <a:xfrm>
            <a:off x="6990522" y="2878897"/>
            <a:ext cx="1851104" cy="195071"/>
          </a:xfrm>
          <a:prstGeom prst="rect">
            <a:avLst/>
          </a:prstGeom>
          <a:solidFill>
            <a:schemeClr val="bg1">
              <a:lumMod val="85000"/>
              <a:alpha val="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sp macro="[0]!EXPORTAR_MOODLE_Sist_Op" textlink="">
        <xdr:nvSpPr>
          <xdr:cNvPr id="10" name="EXPORTAR MOODLE"/>
          <xdr:cNvSpPr/>
        </xdr:nvSpPr>
        <xdr:spPr>
          <a:xfrm>
            <a:off x="6990522" y="3139109"/>
            <a:ext cx="1851104" cy="199903"/>
          </a:xfrm>
          <a:prstGeom prst="rect">
            <a:avLst/>
          </a:prstGeom>
          <a:solidFill>
            <a:schemeClr val="bg1">
              <a:lumMod val="85000"/>
              <a:alpha val="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sp macro="[0]!EXPORTAR_TEXTO_Sist_Op" textlink="">
        <xdr:nvSpPr>
          <xdr:cNvPr id="11" name="EXPORTAR TEXTO"/>
          <xdr:cNvSpPr/>
        </xdr:nvSpPr>
        <xdr:spPr>
          <a:xfrm>
            <a:off x="6990522" y="3404152"/>
            <a:ext cx="1851104" cy="199904"/>
          </a:xfrm>
          <a:prstGeom prst="rect">
            <a:avLst/>
          </a:prstGeom>
          <a:solidFill>
            <a:schemeClr val="bg1">
              <a:lumMod val="85000"/>
              <a:alpha val="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sp macro="[0]!EXPORTAR_JUEGO" textlink="">
        <xdr:nvSpPr>
          <xdr:cNvPr id="12" name="EXPORTAR JUEGO"/>
          <xdr:cNvSpPr/>
        </xdr:nvSpPr>
        <xdr:spPr>
          <a:xfrm>
            <a:off x="6990522" y="3669196"/>
            <a:ext cx="1851104" cy="199903"/>
          </a:xfrm>
          <a:prstGeom prst="rect">
            <a:avLst/>
          </a:prstGeom>
          <a:solidFill>
            <a:schemeClr val="bg1">
              <a:lumMod val="85000"/>
              <a:alpha val="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grpSp>
    <xdr:clientData/>
  </xdr:twoCellAnchor>
  <xdr:twoCellAnchor>
    <xdr:from>
      <xdr:col>0</xdr:col>
      <xdr:colOff>0</xdr:colOff>
      <xdr:row>0</xdr:row>
      <xdr:rowOff>0</xdr:rowOff>
    </xdr:from>
    <xdr:to>
      <xdr:col>1</xdr:col>
      <xdr:colOff>466</xdr:colOff>
      <xdr:row>35</xdr:row>
      <xdr:rowOff>9403</xdr:rowOff>
    </xdr:to>
    <xdr:grpSp>
      <xdr:nvGrpSpPr>
        <xdr:cNvPr id="4" name="G Menu LATERAL"/>
        <xdr:cNvGrpSpPr/>
      </xdr:nvGrpSpPr>
      <xdr:grpSpPr>
        <a:xfrm>
          <a:off x="0" y="0"/>
          <a:ext cx="718292" cy="4730490"/>
          <a:chOff x="0" y="0"/>
          <a:chExt cx="712770" cy="4664229"/>
        </a:xfrm>
      </xdr:grpSpPr>
      <xdr:sp macro="[0]!Copia_CODIGOS_INFORMACION" textlink="">
        <xdr:nvSpPr>
          <xdr:cNvPr id="13" name="CODIGOS ESPECIALES"/>
          <xdr:cNvSpPr/>
        </xdr:nvSpPr>
        <xdr:spPr>
          <a:xfrm>
            <a:off x="0" y="0"/>
            <a:ext cx="712770" cy="339587"/>
          </a:xfrm>
          <a:prstGeom prst="rect">
            <a:avLst/>
          </a:prstGeom>
          <a:solidFill>
            <a:schemeClr val="bg1">
              <a:lumMod val="85000"/>
              <a:alpha val="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sp macro="[0]!Copia_Formula" textlink="">
        <xdr:nvSpPr>
          <xdr:cNvPr id="14" name="FORMULA"/>
          <xdr:cNvSpPr/>
        </xdr:nvSpPr>
        <xdr:spPr>
          <a:xfrm>
            <a:off x="0" y="438978"/>
            <a:ext cx="712304" cy="199903"/>
          </a:xfrm>
          <a:prstGeom prst="rect">
            <a:avLst/>
          </a:prstGeom>
          <a:solidFill>
            <a:schemeClr val="bg1">
              <a:lumMod val="85000"/>
              <a:alpha val="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sp macro="[0]!Copia_Superindice" textlink="">
        <xdr:nvSpPr>
          <xdr:cNvPr id="15" name="SUPERINDICE"/>
          <xdr:cNvSpPr/>
        </xdr:nvSpPr>
        <xdr:spPr>
          <a:xfrm>
            <a:off x="0" y="704022"/>
            <a:ext cx="712304" cy="199903"/>
          </a:xfrm>
          <a:prstGeom prst="rect">
            <a:avLst/>
          </a:prstGeom>
          <a:solidFill>
            <a:schemeClr val="bg1">
              <a:lumMod val="85000"/>
              <a:alpha val="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sp macro="[0]!Copia_Subindice" textlink="">
        <xdr:nvSpPr>
          <xdr:cNvPr id="16" name="SUBINDICE"/>
          <xdr:cNvSpPr/>
        </xdr:nvSpPr>
        <xdr:spPr>
          <a:xfrm>
            <a:off x="0" y="969065"/>
            <a:ext cx="712304" cy="199904"/>
          </a:xfrm>
          <a:prstGeom prst="rect">
            <a:avLst/>
          </a:prstGeom>
          <a:solidFill>
            <a:schemeClr val="bg1">
              <a:lumMod val="85000"/>
              <a:alpha val="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sp macro="[0]!Copia_Salto_Linea" textlink="">
        <xdr:nvSpPr>
          <xdr:cNvPr id="17" name="SALTO LINEA"/>
          <xdr:cNvSpPr/>
        </xdr:nvSpPr>
        <xdr:spPr>
          <a:xfrm>
            <a:off x="0" y="1234109"/>
            <a:ext cx="712304" cy="199903"/>
          </a:xfrm>
          <a:prstGeom prst="rect">
            <a:avLst/>
          </a:prstGeom>
          <a:solidFill>
            <a:schemeClr val="bg1">
              <a:lumMod val="85000"/>
              <a:alpha val="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sp macro="[0]!Copia_Concatenar" textlink="">
        <xdr:nvSpPr>
          <xdr:cNvPr id="18" name="CONCATENAR"/>
          <xdr:cNvSpPr/>
        </xdr:nvSpPr>
        <xdr:spPr>
          <a:xfrm>
            <a:off x="0" y="1499152"/>
            <a:ext cx="712304" cy="216469"/>
          </a:xfrm>
          <a:prstGeom prst="rect">
            <a:avLst/>
          </a:prstGeom>
          <a:solidFill>
            <a:schemeClr val="bg1">
              <a:lumMod val="85000"/>
              <a:alpha val="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sp macro="[0]!Copia_Negrita" textlink="">
        <xdr:nvSpPr>
          <xdr:cNvPr id="19" name="NEGRITA"/>
          <xdr:cNvSpPr/>
        </xdr:nvSpPr>
        <xdr:spPr>
          <a:xfrm>
            <a:off x="0" y="1785592"/>
            <a:ext cx="712304" cy="211637"/>
          </a:xfrm>
          <a:prstGeom prst="rect">
            <a:avLst/>
          </a:prstGeom>
          <a:solidFill>
            <a:schemeClr val="bg1">
              <a:lumMod val="85000"/>
              <a:alpha val="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sp macro="[0]!Copia_Espacios" textlink="">
        <xdr:nvSpPr>
          <xdr:cNvPr id="20" name="ESPACIOS"/>
          <xdr:cNvSpPr/>
        </xdr:nvSpPr>
        <xdr:spPr>
          <a:xfrm>
            <a:off x="0" y="2062370"/>
            <a:ext cx="712304" cy="199903"/>
          </a:xfrm>
          <a:prstGeom prst="rect">
            <a:avLst/>
          </a:prstGeom>
          <a:solidFill>
            <a:schemeClr val="bg1">
              <a:lumMod val="85000"/>
              <a:alpha val="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sp macro="[0]!Copia_Color_Texto_Rojo" textlink="">
        <xdr:nvSpPr>
          <xdr:cNvPr id="21" name="TEXTO ROJO"/>
          <xdr:cNvSpPr/>
        </xdr:nvSpPr>
        <xdr:spPr>
          <a:xfrm>
            <a:off x="0" y="2327413"/>
            <a:ext cx="712304" cy="197017"/>
          </a:xfrm>
          <a:prstGeom prst="rect">
            <a:avLst/>
          </a:prstGeom>
          <a:solidFill>
            <a:schemeClr val="bg1">
              <a:lumMod val="85000"/>
              <a:alpha val="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sp macro="[0]!Copia_Color_Texto_Azul" textlink="">
        <xdr:nvSpPr>
          <xdr:cNvPr id="22" name="TEXTO AZUL"/>
          <xdr:cNvSpPr/>
        </xdr:nvSpPr>
        <xdr:spPr>
          <a:xfrm>
            <a:off x="0" y="2609022"/>
            <a:ext cx="712304" cy="187492"/>
          </a:xfrm>
          <a:prstGeom prst="rect">
            <a:avLst/>
          </a:prstGeom>
          <a:solidFill>
            <a:schemeClr val="bg1">
              <a:lumMod val="85000"/>
              <a:alpha val="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sp macro="[0]!Copia_Color_Texto_Otro" textlink="">
        <xdr:nvSpPr>
          <xdr:cNvPr id="23" name="TEXTO OTRO COLOR"/>
          <xdr:cNvSpPr/>
        </xdr:nvSpPr>
        <xdr:spPr>
          <a:xfrm>
            <a:off x="0" y="2878897"/>
            <a:ext cx="712304" cy="195071"/>
          </a:xfrm>
          <a:prstGeom prst="rect">
            <a:avLst/>
          </a:prstGeom>
          <a:solidFill>
            <a:schemeClr val="bg1">
              <a:lumMod val="85000"/>
              <a:alpha val="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sp macro="[0]!Copia_Imagen" textlink="">
        <xdr:nvSpPr>
          <xdr:cNvPr id="24" name="INSERTAR IMAGENES"/>
          <xdr:cNvSpPr/>
        </xdr:nvSpPr>
        <xdr:spPr>
          <a:xfrm>
            <a:off x="0" y="3139109"/>
            <a:ext cx="712304" cy="423793"/>
          </a:xfrm>
          <a:prstGeom prst="rect">
            <a:avLst/>
          </a:prstGeom>
          <a:solidFill>
            <a:schemeClr val="bg1">
              <a:lumMod val="85000"/>
              <a:alpha val="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sp macro="[0]!Celdas_Formulas_INFORMACION" textlink="">
        <xdr:nvSpPr>
          <xdr:cNvPr id="25" name="LISTA DESPLEGABLE"/>
          <xdr:cNvSpPr/>
        </xdr:nvSpPr>
        <xdr:spPr>
          <a:xfrm>
            <a:off x="0" y="3676412"/>
            <a:ext cx="712304" cy="445441"/>
          </a:xfrm>
          <a:prstGeom prst="rect">
            <a:avLst/>
          </a:prstGeom>
          <a:solidFill>
            <a:schemeClr val="bg1">
              <a:lumMod val="85000"/>
              <a:alpha val="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lang="es-ES" sz="1100"/>
              <a:t>3</a:t>
            </a:r>
          </a:p>
        </xdr:txBody>
      </xdr:sp>
      <xdr:sp macro="[0]!Celdas_Formulas_Activar" textlink="">
        <xdr:nvSpPr>
          <xdr:cNvPr id="26" name="ACTIVAR VARIABLES"/>
          <xdr:cNvSpPr/>
        </xdr:nvSpPr>
        <xdr:spPr>
          <a:xfrm>
            <a:off x="0" y="4204114"/>
            <a:ext cx="712304" cy="195072"/>
          </a:xfrm>
          <a:prstGeom prst="rect">
            <a:avLst/>
          </a:prstGeom>
          <a:solidFill>
            <a:schemeClr val="bg1">
              <a:lumMod val="85000"/>
              <a:alpha val="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sp macro="[0]!Celdas_Formulas_Desactivar" textlink="">
        <xdr:nvSpPr>
          <xdr:cNvPr id="27" name="DESACTIVAR VARIABLES"/>
          <xdr:cNvSpPr/>
        </xdr:nvSpPr>
        <xdr:spPr>
          <a:xfrm>
            <a:off x="0" y="4464326"/>
            <a:ext cx="712304" cy="199903"/>
          </a:xfrm>
          <a:prstGeom prst="rect">
            <a:avLst/>
          </a:prstGeom>
          <a:solidFill>
            <a:schemeClr val="bg1">
              <a:lumMod val="85000"/>
              <a:alpha val="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grpSp>
    <xdr:clientData/>
  </xdr:twoCellAnchor>
  <xdr:twoCellAnchor>
    <xdr:from>
      <xdr:col>26</xdr:col>
      <xdr:colOff>0</xdr:colOff>
      <xdr:row>1</xdr:row>
      <xdr:rowOff>0</xdr:rowOff>
    </xdr:from>
    <xdr:to>
      <xdr:col>26</xdr:col>
      <xdr:colOff>712770</xdr:colOff>
      <xdr:row>3</xdr:row>
      <xdr:rowOff>1</xdr:rowOff>
    </xdr:to>
    <xdr:sp macro="[0]!Limpiar_Datos_Variables" textlink="">
      <xdr:nvSpPr>
        <xdr:cNvPr id="36" name="BORRAR VARIABLES" hidden="1"/>
        <xdr:cNvSpPr/>
      </xdr:nvSpPr>
      <xdr:spPr>
        <a:xfrm>
          <a:off x="9972386" y="28864"/>
          <a:ext cx="712770" cy="346364"/>
        </a:xfrm>
        <a:prstGeom prst="rect">
          <a:avLst/>
        </a:prstGeom>
        <a:solidFill>
          <a:schemeClr val="bg1">
            <a:lumMod val="85000"/>
            <a:alpha val="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clientData/>
  </xdr:twoCellAnchor>
  <xdr:twoCellAnchor>
    <xdr:from>
      <xdr:col>12</xdr:col>
      <xdr:colOff>0</xdr:colOff>
      <xdr:row>26</xdr:row>
      <xdr:rowOff>0</xdr:rowOff>
    </xdr:from>
    <xdr:to>
      <xdr:col>16</xdr:col>
      <xdr:colOff>273326</xdr:colOff>
      <xdr:row>29</xdr:row>
      <xdr:rowOff>14432</xdr:rowOff>
    </xdr:to>
    <xdr:sp macro="[0]!Datos_Iniciales_Actualizar" textlink="">
      <xdr:nvSpPr>
        <xdr:cNvPr id="29" name="AJUSTAR N_ EXPORTAR" hidden="1"/>
        <xdr:cNvSpPr/>
      </xdr:nvSpPr>
      <xdr:spPr>
        <a:xfrm>
          <a:off x="4704522" y="4182717"/>
          <a:ext cx="1797326" cy="469976"/>
        </a:xfrm>
        <a:prstGeom prst="rect">
          <a:avLst/>
        </a:prstGeom>
        <a:solidFill>
          <a:schemeClr val="bg1">
            <a:lumMod val="85000"/>
            <a:alpha val="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clientData/>
  </xdr:twoCellAnchor>
  <mc:AlternateContent xmlns:mc="http://schemas.openxmlformats.org/markup-compatibility/2006">
    <mc:Choice xmlns:a14="http://schemas.microsoft.com/office/drawing/2010/main" Requires="a14">
      <xdr:twoCellAnchor editAs="oneCell">
        <xdr:from>
          <xdr:col>10</xdr:col>
          <xdr:colOff>0</xdr:colOff>
          <xdr:row>4</xdr:row>
          <xdr:rowOff>0</xdr:rowOff>
        </xdr:from>
        <xdr:to>
          <xdr:col>15</xdr:col>
          <xdr:colOff>9525</xdr:colOff>
          <xdr:row>5</xdr:row>
          <xdr:rowOff>9525</xdr:rowOff>
        </xdr:to>
        <xdr:sp macro="" textlink="">
          <xdr:nvSpPr>
            <xdr:cNvPr id="2051" name="Caja Tipos de Preguntas" hidden="1">
              <a:extLst>
                <a:ext uri="{63B3BB69-23CF-44E3-9099-C40C66FF867C}">
                  <a14:compatExt spid="_x0000_s2051"/>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twoCellAnchor>
    <xdr:from>
      <xdr:col>2</xdr:col>
      <xdr:colOff>0</xdr:colOff>
      <xdr:row>4</xdr:row>
      <xdr:rowOff>0</xdr:rowOff>
    </xdr:from>
    <xdr:to>
      <xdr:col>22</xdr:col>
      <xdr:colOff>352362</xdr:colOff>
      <xdr:row>35</xdr:row>
      <xdr:rowOff>22176</xdr:rowOff>
    </xdr:to>
    <xdr:grpSp>
      <xdr:nvGrpSpPr>
        <xdr:cNvPr id="28" name="G IMAGENES"/>
        <xdr:cNvGrpSpPr/>
      </xdr:nvGrpSpPr>
      <xdr:grpSpPr>
        <a:xfrm>
          <a:off x="897283" y="448641"/>
          <a:ext cx="7944753" cy="4294622"/>
          <a:chOff x="894522" y="438978"/>
          <a:chExt cx="7972362" cy="4238024"/>
        </a:xfrm>
      </xdr:grpSpPr>
      <xdr:pic>
        <xdr:nvPicPr>
          <xdr:cNvPr id="2" name="MOODLE">
            <a:hlinkClick xmlns:r="http://schemas.openxmlformats.org/officeDocument/2006/relationships" r:id="rId1"/>
          </xdr:cNvPr>
          <xdr:cNvPicPr>
            <a:picLocks noChangeAspect="1"/>
          </xdr:cNvPicPr>
        </xdr:nvPicPr>
        <xdr:blipFill rotWithShape="1">
          <a:blip xmlns:r="http://schemas.openxmlformats.org/officeDocument/2006/relationships" r:embed="rId2"/>
          <a:srcRect t="-12653" r="-103525" b="-4465"/>
          <a:stretch/>
        </xdr:blipFill>
        <xdr:spPr>
          <a:xfrm>
            <a:off x="894522" y="1234109"/>
            <a:ext cx="732744" cy="433150"/>
          </a:xfrm>
          <a:prstGeom prst="rect">
            <a:avLst/>
          </a:prstGeom>
        </xdr:spPr>
      </xdr:pic>
      <xdr:pic macro="[0]!MENU_AYUDA">
        <xdr:nvPicPr>
          <xdr:cNvPr id="33" name="FTP"/>
          <xdr:cNvPicPr>
            <a:picLocks noChangeAspect="1"/>
          </xdr:cNvPicPr>
        </xdr:nvPicPr>
        <xdr:blipFill rotWithShape="1">
          <a:blip xmlns:r="http://schemas.openxmlformats.org/officeDocument/2006/relationships" r:embed="rId3"/>
          <a:srcRect l="8903" r="-34835" b="9685"/>
          <a:stretch/>
        </xdr:blipFill>
        <xdr:spPr>
          <a:xfrm>
            <a:off x="894522" y="438978"/>
            <a:ext cx="721243" cy="532961"/>
          </a:xfrm>
          <a:prstGeom prst="rect">
            <a:avLst/>
          </a:prstGeom>
        </xdr:spPr>
      </xdr:pic>
      <xdr:pic>
        <xdr:nvPicPr>
          <xdr:cNvPr id="34" name="UCA">
            <a:hlinkClick xmlns:r="http://schemas.openxmlformats.org/officeDocument/2006/relationships" r:id="rId4"/>
          </xdr:cNvPr>
          <xdr:cNvPicPr>
            <a:picLocks noChangeAspect="1"/>
          </xdr:cNvPicPr>
        </xdr:nvPicPr>
        <xdr:blipFill>
          <a:blip xmlns:r="http://schemas.openxmlformats.org/officeDocument/2006/relationships" r:embed="rId5" cstate="print">
            <a:extLst>
              <a:ext uri="{28A0092B-C50C-407E-A947-70E740481C1C}">
                <a14:useLocalDpi xmlns:a14="http://schemas.microsoft.com/office/drawing/2010/main" val="0"/>
              </a:ext>
            </a:extLst>
          </a:blip>
          <a:stretch>
            <a:fillRect/>
          </a:stretch>
        </xdr:blipFill>
        <xdr:spPr>
          <a:xfrm>
            <a:off x="6990522" y="3934239"/>
            <a:ext cx="1876362" cy="742763"/>
          </a:xfrm>
          <a:prstGeom prst="rect">
            <a:avLst/>
          </a:prstGeom>
          <a:ln w="25400">
            <a:solidFill>
              <a:srgbClr val="E87B00"/>
            </a:solidFill>
          </a:ln>
        </xdr:spPr>
      </xdr:pic>
    </xdr:grpSp>
    <xdr:clientData/>
  </xdr:twoCellAnchor>
  <xdr:twoCellAnchor>
    <xdr:from>
      <xdr:col>10</xdr:col>
      <xdr:colOff>0</xdr:colOff>
      <xdr:row>24</xdr:row>
      <xdr:rowOff>0</xdr:rowOff>
    </xdr:from>
    <xdr:to>
      <xdr:col>11</xdr:col>
      <xdr:colOff>38100</xdr:colOff>
      <xdr:row>25</xdr:row>
      <xdr:rowOff>10872</xdr:rowOff>
    </xdr:to>
    <xdr:grpSp>
      <xdr:nvGrpSpPr>
        <xdr:cNvPr id="38" name="G Pregunta Inicial"/>
        <xdr:cNvGrpSpPr/>
      </xdr:nvGrpSpPr>
      <xdr:grpSpPr>
        <a:xfrm>
          <a:off x="3934239" y="3181902"/>
          <a:ext cx="417720" cy="204133"/>
          <a:chOff x="3949212" y="3134458"/>
          <a:chExt cx="419049" cy="201372"/>
        </a:xfrm>
      </xdr:grpSpPr>
      <mc:AlternateContent xmlns:mc="http://schemas.openxmlformats.org/markup-compatibility/2006">
        <mc:Choice xmlns:a14="http://schemas.microsoft.com/office/drawing/2010/main" Requires="a14">
          <xdr:sp macro="" textlink="">
            <xdr:nvSpPr>
              <xdr:cNvPr id="2057" name="Contador FINAL" descr="Para consultar los datos de cada pregunta." hidden="1">
                <a:extLst>
                  <a:ext uri="{63B3BB69-23CF-44E3-9099-C40C66FF867C}">
                    <a14:compatExt spid="_x0000_s2057"/>
                  </a:ext>
                </a:extLst>
              </xdr:cNvPr>
              <xdr:cNvSpPr/>
            </xdr:nvSpPr>
            <xdr:spPr bwMode="auto">
              <a:xfrm>
                <a:off x="4282534" y="3134458"/>
                <a:ext cx="85727" cy="197094"/>
              </a:xfrm>
              <a:prstGeom prst="rect">
                <a:avLst/>
              </a:prstGeom>
              <a:noFill/>
              <a:ln w="9525">
                <a:miter lim="800000"/>
                <a:headEnd/>
                <a:tailEnd/>
              </a:ln>
            </xdr:spPr>
          </xdr:sp>
        </mc:Choice>
        <mc:Fallback/>
      </mc:AlternateContent>
      <xdr:sp macro="[0]!Cambio_N_F_DATOS_GENERALES" textlink="">
        <xdr:nvSpPr>
          <xdr:cNvPr id="39" name="N_Final"/>
          <xdr:cNvSpPr/>
        </xdr:nvSpPr>
        <xdr:spPr>
          <a:xfrm>
            <a:off x="3949212" y="3150577"/>
            <a:ext cx="344938" cy="185253"/>
          </a:xfrm>
          <a:prstGeom prst="rect">
            <a:avLst/>
          </a:prstGeom>
          <a:solidFill>
            <a:schemeClr val="bg1">
              <a:lumMod val="85000"/>
              <a:alpha val="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grpSp>
    <xdr:clientData/>
  </xdr:twoCellAnchor>
  <xdr:twoCellAnchor>
    <xdr:from>
      <xdr:col>10</xdr:col>
      <xdr:colOff>0</xdr:colOff>
      <xdr:row>22</xdr:row>
      <xdr:rowOff>0</xdr:rowOff>
    </xdr:from>
    <xdr:to>
      <xdr:col>11</xdr:col>
      <xdr:colOff>38100</xdr:colOff>
      <xdr:row>23</xdr:row>
      <xdr:rowOff>10873</xdr:rowOff>
    </xdr:to>
    <xdr:grpSp>
      <xdr:nvGrpSpPr>
        <xdr:cNvPr id="40" name="G Pregunta Final"/>
        <xdr:cNvGrpSpPr/>
      </xdr:nvGrpSpPr>
      <xdr:grpSpPr>
        <a:xfrm>
          <a:off x="3934239" y="2912717"/>
          <a:ext cx="417720" cy="204134"/>
          <a:chOff x="3949212" y="2870694"/>
          <a:chExt cx="419049" cy="201367"/>
        </a:xfrm>
      </xdr:grpSpPr>
      <mc:AlternateContent xmlns:mc="http://schemas.openxmlformats.org/markup-compatibility/2006">
        <mc:Choice xmlns:a14="http://schemas.microsoft.com/office/drawing/2010/main" Requires="a14">
          <xdr:sp macro="" textlink="">
            <xdr:nvSpPr>
              <xdr:cNvPr id="2058" name="Contador INICIAL" descr="Para consultar los datos de cada pregunta." hidden="1">
                <a:extLst>
                  <a:ext uri="{63B3BB69-23CF-44E3-9099-C40C66FF867C}">
                    <a14:compatExt spid="_x0000_s2058"/>
                  </a:ext>
                </a:extLst>
              </xdr:cNvPr>
              <xdr:cNvSpPr/>
            </xdr:nvSpPr>
            <xdr:spPr bwMode="auto">
              <a:xfrm>
                <a:off x="4282534" y="2870694"/>
                <a:ext cx="85727" cy="197093"/>
              </a:xfrm>
              <a:prstGeom prst="rect">
                <a:avLst/>
              </a:prstGeom>
              <a:noFill/>
              <a:ln w="9525">
                <a:miter lim="800000"/>
                <a:headEnd/>
                <a:tailEnd/>
              </a:ln>
            </xdr:spPr>
          </xdr:sp>
        </mc:Choice>
        <mc:Fallback/>
      </mc:AlternateContent>
      <xdr:sp macro="[0]!Cambio_N_I_DATOS_GENERALES" textlink="">
        <xdr:nvSpPr>
          <xdr:cNvPr id="42" name="N_Inicial"/>
          <xdr:cNvSpPr/>
        </xdr:nvSpPr>
        <xdr:spPr>
          <a:xfrm>
            <a:off x="3949212" y="2889462"/>
            <a:ext cx="344938" cy="182599"/>
          </a:xfrm>
          <a:prstGeom prst="rect">
            <a:avLst/>
          </a:prstGeom>
          <a:solidFill>
            <a:schemeClr val="bg1">
              <a:lumMod val="85000"/>
              <a:alpha val="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grpSp>
    <xdr:clientData/>
  </xdr:twoCellAnchor>
  <mc:AlternateContent xmlns:mc="http://schemas.openxmlformats.org/markup-compatibility/2006">
    <mc:Choice xmlns:a14="http://schemas.microsoft.com/office/drawing/2010/main" Requires="a14">
      <xdr:twoCellAnchor editAs="oneCell">
        <xdr:from>
          <xdr:col>22</xdr:col>
          <xdr:colOff>47625</xdr:colOff>
          <xdr:row>14</xdr:row>
          <xdr:rowOff>9525</xdr:rowOff>
        </xdr:from>
        <xdr:to>
          <xdr:col>22</xdr:col>
          <xdr:colOff>285750</xdr:colOff>
          <xdr:row>15</xdr:row>
          <xdr:rowOff>0</xdr:rowOff>
        </xdr:to>
        <xdr:sp macro="" textlink="">
          <xdr:nvSpPr>
            <xdr:cNvPr id="2060" name="Box CENTRAR" hidden="1">
              <a:extLst>
                <a:ext uri="{63B3BB69-23CF-44E3-9099-C40C66FF867C}">
                  <a14:compatExt spid="_x0000_s206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xdr:twoCellAnchor>
    <xdr:from>
      <xdr:col>1</xdr:col>
      <xdr:colOff>56916</xdr:colOff>
      <xdr:row>21</xdr:row>
      <xdr:rowOff>15764</xdr:rowOff>
    </xdr:from>
    <xdr:to>
      <xdr:col>3</xdr:col>
      <xdr:colOff>156763</xdr:colOff>
      <xdr:row>26</xdr:row>
      <xdr:rowOff>19717</xdr:rowOff>
    </xdr:to>
    <xdr:grpSp>
      <xdr:nvGrpSpPr>
        <xdr:cNvPr id="44" name="G CASA" hidden="1"/>
        <xdr:cNvGrpSpPr/>
      </xdr:nvGrpSpPr>
      <xdr:grpSpPr>
        <a:xfrm>
          <a:off x="774742" y="2852557"/>
          <a:ext cx="658923" cy="618247"/>
          <a:chOff x="1788777" y="434927"/>
          <a:chExt cx="661737" cy="614274"/>
        </a:xfrm>
      </xdr:grpSpPr>
      <xdr:sp macro="" textlink="">
        <xdr:nvSpPr>
          <xdr:cNvPr id="32" name="Casa"/>
          <xdr:cNvSpPr/>
        </xdr:nvSpPr>
        <xdr:spPr>
          <a:xfrm rot="10800000">
            <a:off x="1788777" y="434927"/>
            <a:ext cx="661737" cy="609280"/>
          </a:xfrm>
          <a:prstGeom prst="downArrow">
            <a:avLst>
              <a:gd name="adj1" fmla="val 69282"/>
              <a:gd name="adj2" fmla="val 52237"/>
            </a:avLst>
          </a:prstGeom>
          <a:solidFill>
            <a:srgbClr val="005877"/>
          </a:solidFill>
          <a:ln w="25400">
            <a:solidFill>
              <a:srgbClr val="E87B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sp macro="" textlink="">
        <xdr:nvSpPr>
          <xdr:cNvPr id="35" name="Puerta"/>
          <xdr:cNvSpPr/>
        </xdr:nvSpPr>
        <xdr:spPr>
          <a:xfrm>
            <a:off x="1992148" y="884396"/>
            <a:ext cx="102157" cy="164805"/>
          </a:xfrm>
          <a:prstGeom prst="rect">
            <a:avLst/>
          </a:prstGeom>
          <a:solidFill>
            <a:srgbClr val="E87B00"/>
          </a:solidFill>
          <a:ln>
            <a:solidFill>
              <a:srgbClr val="E87B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sp macro="" textlink="">
        <xdr:nvSpPr>
          <xdr:cNvPr id="45" name="Ventana"/>
          <xdr:cNvSpPr/>
        </xdr:nvSpPr>
        <xdr:spPr>
          <a:xfrm>
            <a:off x="2207575" y="773118"/>
            <a:ext cx="72000" cy="71169"/>
          </a:xfrm>
          <a:prstGeom prst="rect">
            <a:avLst/>
          </a:prstGeom>
          <a:solidFill>
            <a:srgbClr val="E87B00"/>
          </a:solidFill>
          <a:ln>
            <a:solidFill>
              <a:srgbClr val="E87B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sp macro="" textlink="">
        <xdr:nvSpPr>
          <xdr:cNvPr id="41" name="Chimenea"/>
          <xdr:cNvSpPr/>
        </xdr:nvSpPr>
        <xdr:spPr>
          <a:xfrm rot="10800000" flipH="1">
            <a:off x="1920032" y="469613"/>
            <a:ext cx="67473" cy="133757"/>
          </a:xfrm>
          <a:prstGeom prst="snip1Rect">
            <a:avLst>
              <a:gd name="adj" fmla="val 50000"/>
            </a:avLst>
          </a:prstGeom>
          <a:solidFill>
            <a:srgbClr val="E87B00"/>
          </a:solidFill>
          <a:ln>
            <a:solidFill>
              <a:srgbClr val="E87B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grpSp>
    <xdr:clientData/>
  </xdr:twoCellAnchor>
  <xdr:twoCellAnchor editAs="oneCell">
    <xdr:from>
      <xdr:col>1</xdr:col>
      <xdr:colOff>117230</xdr:colOff>
      <xdr:row>30</xdr:row>
      <xdr:rowOff>104239</xdr:rowOff>
    </xdr:from>
    <xdr:to>
      <xdr:col>2</xdr:col>
      <xdr:colOff>234295</xdr:colOff>
      <xdr:row>32</xdr:row>
      <xdr:rowOff>98963</xdr:rowOff>
    </xdr:to>
    <xdr:pic macro="[0]!IR_INICIO">
      <xdr:nvPicPr>
        <xdr:cNvPr id="51" name="Casa_F_Blanco" hidden="1"/>
        <xdr:cNvPicPr>
          <a:picLocks noChangeAspect="1"/>
        </xdr:cNvPicPr>
      </xdr:nvPicPr>
      <xdr:blipFill>
        <a:blip xmlns:r="http://schemas.openxmlformats.org/officeDocument/2006/relationships" r:embed="rId6"/>
        <a:stretch>
          <a:fillRect/>
        </a:stretch>
      </xdr:blipFill>
      <xdr:spPr>
        <a:xfrm>
          <a:off x="835509" y="4078194"/>
          <a:ext cx="296634" cy="260175"/>
        </a:xfrm>
        <a:prstGeom prst="rect">
          <a:avLst/>
        </a:prstGeom>
      </xdr:spPr>
    </xdr:pic>
    <xdr:clientData/>
  </xdr:twoCellAnchor>
  <xdr:twoCellAnchor editAs="oneCell">
    <xdr:from>
      <xdr:col>1</xdr:col>
      <xdr:colOff>105536</xdr:colOff>
      <xdr:row>33</xdr:row>
      <xdr:rowOff>51966</xdr:rowOff>
    </xdr:from>
    <xdr:to>
      <xdr:col>2</xdr:col>
      <xdr:colOff>219551</xdr:colOff>
      <xdr:row>35</xdr:row>
      <xdr:rowOff>45430</xdr:rowOff>
    </xdr:to>
    <xdr:pic macro="[0]!IR_INICIO">
      <xdr:nvPicPr>
        <xdr:cNvPr id="52" name="Casa_F_Gris" hidden="1"/>
        <xdr:cNvPicPr>
          <a:picLocks noChangeAspect="1"/>
        </xdr:cNvPicPr>
      </xdr:nvPicPr>
      <xdr:blipFill>
        <a:blip xmlns:r="http://schemas.openxmlformats.org/officeDocument/2006/relationships" r:embed="rId7"/>
        <a:stretch>
          <a:fillRect/>
        </a:stretch>
      </xdr:blipFill>
      <xdr:spPr>
        <a:xfrm>
          <a:off x="823815" y="4478749"/>
          <a:ext cx="293584" cy="258915"/>
        </a:xfrm>
        <a:prstGeom prst="rect">
          <a:avLst/>
        </a:prstGeom>
      </xdr:spPr>
    </xdr:pic>
    <xdr:clientData/>
  </xdr:twoCellAnchor>
  <xdr:twoCellAnchor editAs="oneCell">
    <xdr:from>
      <xdr:col>19</xdr:col>
      <xdr:colOff>58614</xdr:colOff>
      <xdr:row>1</xdr:row>
      <xdr:rowOff>36636</xdr:rowOff>
    </xdr:from>
    <xdr:to>
      <xdr:col>19</xdr:col>
      <xdr:colOff>353686</xdr:colOff>
      <xdr:row>1</xdr:row>
      <xdr:rowOff>290252</xdr:rowOff>
    </xdr:to>
    <xdr:pic macro="[0]!IR_INICIO">
      <xdr:nvPicPr>
        <xdr:cNvPr id="53" name="Casa_F_Naranja"/>
        <xdr:cNvPicPr>
          <a:picLocks noChangeAspect="1"/>
        </xdr:cNvPicPr>
      </xdr:nvPicPr>
      <xdr:blipFill>
        <a:blip xmlns:r="http://schemas.openxmlformats.org/officeDocument/2006/relationships" r:embed="rId8"/>
        <a:stretch>
          <a:fillRect/>
        </a:stretch>
      </xdr:blipFill>
      <xdr:spPr>
        <a:xfrm>
          <a:off x="7436826" y="65944"/>
          <a:ext cx="295072" cy="253616"/>
        </a:xfrm>
        <a:prstGeom prst="rect">
          <a:avLst/>
        </a:prstGeom>
      </xdr:spPr>
    </xdr:pic>
    <xdr:clientData/>
  </xdr:twoCellAnchor>
  <xdr:oneCellAnchor>
    <xdr:from>
      <xdr:col>15</xdr:col>
      <xdr:colOff>0</xdr:colOff>
      <xdr:row>1</xdr:row>
      <xdr:rowOff>0</xdr:rowOff>
    </xdr:from>
    <xdr:ext cx="1520162" cy="323850"/>
    <xdr:pic macro="[0]!Almacenar_Formulas">
      <xdr:nvPicPr>
        <xdr:cNvPr id="49" name="ALMACENAR FORMULAS"/>
        <xdr:cNvPicPr>
          <a:picLocks noChangeAspect="1"/>
        </xdr:cNvPicPr>
      </xdr:nvPicPr>
      <xdr:blipFill>
        <a:blip xmlns:r="http://schemas.openxmlformats.org/officeDocument/2006/relationships" r:embed="rId9"/>
        <a:stretch>
          <a:fillRect/>
        </a:stretch>
      </xdr:blipFill>
      <xdr:spPr>
        <a:xfrm>
          <a:off x="5848350" y="28575"/>
          <a:ext cx="1520162" cy="323850"/>
        </a:xfrm>
        <a:prstGeom prst="rect">
          <a:avLst/>
        </a:prstGeom>
      </xdr:spPr>
    </xdr:pic>
    <xdr:clientData/>
  </xdr:oneCellAnchor>
  <xdr:twoCellAnchor>
    <xdr:from>
      <xdr:col>26</xdr:col>
      <xdr:colOff>0</xdr:colOff>
      <xdr:row>1</xdr:row>
      <xdr:rowOff>0</xdr:rowOff>
    </xdr:from>
    <xdr:to>
      <xdr:col>27</xdr:col>
      <xdr:colOff>159</xdr:colOff>
      <xdr:row>3</xdr:row>
      <xdr:rowOff>1</xdr:rowOff>
    </xdr:to>
    <xdr:sp macro="[0]!Limpiar_Datos_Variables" textlink="">
      <xdr:nvSpPr>
        <xdr:cNvPr id="50" name="BORRAR VARIABLES" hidden="1"/>
        <xdr:cNvSpPr/>
      </xdr:nvSpPr>
      <xdr:spPr>
        <a:xfrm>
          <a:off x="9972675" y="28575"/>
          <a:ext cx="714534" cy="342901"/>
        </a:xfrm>
        <a:prstGeom prst="rect">
          <a:avLst/>
        </a:prstGeom>
        <a:solidFill>
          <a:schemeClr val="bg1">
            <a:lumMod val="85000"/>
            <a:alpha val="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clientData/>
  </xdr:twoCellAnchor>
</xdr:wsDr>
</file>

<file path=xl/drawings/drawing4.xml><?xml version="1.0" encoding="utf-8"?>
<xdr:wsDr xmlns:xdr="http://schemas.openxmlformats.org/drawingml/2006/spreadsheetDrawing" xmlns:a="http://schemas.openxmlformats.org/drawingml/2006/main">
  <xdr:twoCellAnchor>
    <xdr:from>
      <xdr:col>0</xdr:col>
      <xdr:colOff>718038</xdr:colOff>
      <xdr:row>11</xdr:row>
      <xdr:rowOff>0</xdr:rowOff>
    </xdr:from>
    <xdr:to>
      <xdr:col>22</xdr:col>
      <xdr:colOff>358134</xdr:colOff>
      <xdr:row>35</xdr:row>
      <xdr:rowOff>16568</xdr:rowOff>
    </xdr:to>
    <xdr:grpSp>
      <xdr:nvGrpSpPr>
        <xdr:cNvPr id="28" name="G IMAGENES"/>
        <xdr:cNvGrpSpPr/>
      </xdr:nvGrpSpPr>
      <xdr:grpSpPr>
        <a:xfrm>
          <a:off x="718038" y="1428750"/>
          <a:ext cx="8158167" cy="3255068"/>
          <a:chOff x="718038" y="1428750"/>
          <a:chExt cx="8161308" cy="3240414"/>
        </a:xfrm>
      </xdr:grpSpPr>
      <xdr:pic>
        <xdr:nvPicPr>
          <xdr:cNvPr id="2" name="MOODLE">
            <a:hlinkClick xmlns:r="http://schemas.openxmlformats.org/officeDocument/2006/relationships" r:id="rId1"/>
          </xdr:cNvPr>
          <xdr:cNvPicPr>
            <a:picLocks noChangeAspect="1"/>
          </xdr:cNvPicPr>
        </xdr:nvPicPr>
        <xdr:blipFill rotWithShape="1">
          <a:blip xmlns:r="http://schemas.openxmlformats.org/officeDocument/2006/relationships" r:embed="rId2"/>
          <a:srcRect l="-29988" t="2" r="-446380" b="5496"/>
          <a:stretch/>
        </xdr:blipFill>
        <xdr:spPr>
          <a:xfrm>
            <a:off x="718038" y="1428750"/>
            <a:ext cx="2065653" cy="344166"/>
          </a:xfrm>
          <a:prstGeom prst="rect">
            <a:avLst/>
          </a:prstGeom>
        </xdr:spPr>
      </xdr:pic>
      <xdr:pic macro="[0]!MENU_AYUDA">
        <xdr:nvPicPr>
          <xdr:cNvPr id="3" name="FTP"/>
          <xdr:cNvPicPr>
            <a:picLocks noChangeAspect="1"/>
          </xdr:cNvPicPr>
        </xdr:nvPicPr>
        <xdr:blipFill rotWithShape="1">
          <a:blip xmlns:r="http://schemas.openxmlformats.org/officeDocument/2006/relationships" r:embed="rId3"/>
          <a:srcRect l="8903" r="-34835" b="9685"/>
          <a:stretch/>
        </xdr:blipFill>
        <xdr:spPr>
          <a:xfrm>
            <a:off x="901212" y="4125058"/>
            <a:ext cx="721243" cy="522694"/>
          </a:xfrm>
          <a:prstGeom prst="rect">
            <a:avLst/>
          </a:prstGeom>
        </xdr:spPr>
      </xdr:pic>
      <xdr:pic>
        <xdr:nvPicPr>
          <xdr:cNvPr id="31" name="UCA">
            <a:hlinkClick xmlns:r="http://schemas.openxmlformats.org/officeDocument/2006/relationships" r:id="rId4"/>
          </xdr:cNvPr>
          <xdr:cNvPicPr>
            <a:picLocks noChangeAspect="1"/>
          </xdr:cNvPicPr>
        </xdr:nvPicPr>
        <xdr:blipFill>
          <a:blip xmlns:r="http://schemas.openxmlformats.org/officeDocument/2006/relationships" r:embed="rId5" cstate="print">
            <a:extLst>
              <a:ext uri="{28A0092B-C50C-407E-A947-70E740481C1C}">
                <a14:useLocalDpi xmlns:a14="http://schemas.microsoft.com/office/drawing/2010/main" val="0"/>
              </a:ext>
            </a:extLst>
          </a:blip>
          <a:stretch>
            <a:fillRect/>
          </a:stretch>
        </xdr:blipFill>
        <xdr:spPr>
          <a:xfrm>
            <a:off x="6997212" y="3927231"/>
            <a:ext cx="1882134" cy="741933"/>
          </a:xfrm>
          <a:prstGeom prst="rect">
            <a:avLst/>
          </a:prstGeom>
          <a:ln w="25400">
            <a:solidFill>
              <a:srgbClr val="E87B00"/>
            </a:solidFill>
          </a:ln>
        </xdr:spPr>
      </xdr:pic>
    </xdr:grpSp>
    <xdr:clientData/>
  </xdr:twoCellAnchor>
  <xdr:twoCellAnchor>
    <xdr:from>
      <xdr:col>0</xdr:col>
      <xdr:colOff>0</xdr:colOff>
      <xdr:row>0</xdr:row>
      <xdr:rowOff>0</xdr:rowOff>
    </xdr:from>
    <xdr:to>
      <xdr:col>1</xdr:col>
      <xdr:colOff>1713</xdr:colOff>
      <xdr:row>35</xdr:row>
      <xdr:rowOff>5147</xdr:rowOff>
    </xdr:to>
    <xdr:grpSp>
      <xdr:nvGrpSpPr>
        <xdr:cNvPr id="27" name="G Menu LATERAL"/>
        <xdr:cNvGrpSpPr/>
      </xdr:nvGrpSpPr>
      <xdr:grpSpPr>
        <a:xfrm>
          <a:off x="0" y="0"/>
          <a:ext cx="716088" cy="4672397"/>
          <a:chOff x="0" y="0"/>
          <a:chExt cx="719751" cy="4657743"/>
        </a:xfrm>
      </xdr:grpSpPr>
      <xdr:sp macro="[0]!Copia_CODIGOS_INFORMACION" textlink="">
        <xdr:nvSpPr>
          <xdr:cNvPr id="4" name="CODIGOS ESPECIALES"/>
          <xdr:cNvSpPr/>
        </xdr:nvSpPr>
        <xdr:spPr>
          <a:xfrm>
            <a:off x="0" y="0"/>
            <a:ext cx="718146" cy="348103"/>
          </a:xfrm>
          <a:prstGeom prst="rect">
            <a:avLst/>
          </a:prstGeom>
          <a:solidFill>
            <a:schemeClr val="bg1">
              <a:lumMod val="85000"/>
              <a:alpha val="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sp macro="[0]!Copia_Formula" textlink="">
        <xdr:nvSpPr>
          <xdr:cNvPr id="5" name="FORMULA"/>
          <xdr:cNvSpPr/>
        </xdr:nvSpPr>
        <xdr:spPr>
          <a:xfrm>
            <a:off x="0" y="446942"/>
            <a:ext cx="719751" cy="195647"/>
          </a:xfrm>
          <a:prstGeom prst="rect">
            <a:avLst/>
          </a:prstGeom>
          <a:solidFill>
            <a:schemeClr val="bg1">
              <a:lumMod val="85000"/>
              <a:alpha val="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sp macro="[0]!Copia_Superindice" textlink="">
        <xdr:nvSpPr>
          <xdr:cNvPr id="6" name="SUPERINDICE"/>
          <xdr:cNvSpPr/>
        </xdr:nvSpPr>
        <xdr:spPr>
          <a:xfrm>
            <a:off x="0" y="717928"/>
            <a:ext cx="719751" cy="195647"/>
          </a:xfrm>
          <a:prstGeom prst="rect">
            <a:avLst/>
          </a:prstGeom>
          <a:solidFill>
            <a:schemeClr val="bg1">
              <a:lumMod val="85000"/>
              <a:alpha val="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a:p>
            <a:pPr algn="l"/>
            <a:endParaRPr lang="es-ES" sz="1100"/>
          </a:p>
        </xdr:txBody>
      </xdr:sp>
      <xdr:sp macro="[0]!Copia_Subindice" textlink="">
        <xdr:nvSpPr>
          <xdr:cNvPr id="7" name="SUBINDICE"/>
          <xdr:cNvSpPr/>
        </xdr:nvSpPr>
        <xdr:spPr>
          <a:xfrm>
            <a:off x="0" y="974481"/>
            <a:ext cx="719751" cy="195646"/>
          </a:xfrm>
          <a:prstGeom prst="rect">
            <a:avLst/>
          </a:prstGeom>
          <a:solidFill>
            <a:schemeClr val="bg1">
              <a:lumMod val="85000"/>
              <a:alpha val="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sp macro="[0]!Copia_Salto_Linea" textlink="">
        <xdr:nvSpPr>
          <xdr:cNvPr id="8" name="SALTO LINEA"/>
          <xdr:cNvSpPr/>
        </xdr:nvSpPr>
        <xdr:spPr>
          <a:xfrm>
            <a:off x="0" y="1238250"/>
            <a:ext cx="719751" cy="195646"/>
          </a:xfrm>
          <a:prstGeom prst="rect">
            <a:avLst/>
          </a:prstGeom>
          <a:solidFill>
            <a:schemeClr val="bg1">
              <a:lumMod val="85000"/>
              <a:alpha val="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sp macro="[0]!Copia_Concatenar" textlink="">
        <xdr:nvSpPr>
          <xdr:cNvPr id="9" name="CONCATENAR"/>
          <xdr:cNvSpPr/>
        </xdr:nvSpPr>
        <xdr:spPr>
          <a:xfrm>
            <a:off x="0" y="1504127"/>
            <a:ext cx="719751" cy="193538"/>
          </a:xfrm>
          <a:prstGeom prst="rect">
            <a:avLst/>
          </a:prstGeom>
          <a:solidFill>
            <a:schemeClr val="bg1">
              <a:lumMod val="85000"/>
              <a:alpha val="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sp macro="[0]!Copia_Negrita" textlink="">
        <xdr:nvSpPr>
          <xdr:cNvPr id="10" name="NEGRITA"/>
          <xdr:cNvSpPr/>
        </xdr:nvSpPr>
        <xdr:spPr>
          <a:xfrm>
            <a:off x="0" y="1765788"/>
            <a:ext cx="719751" cy="197017"/>
          </a:xfrm>
          <a:prstGeom prst="rect">
            <a:avLst/>
          </a:prstGeom>
          <a:solidFill>
            <a:schemeClr val="bg1">
              <a:lumMod val="85000"/>
              <a:alpha val="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sp macro="[0]!Copia_Espacios" textlink="">
        <xdr:nvSpPr>
          <xdr:cNvPr id="11" name="ESPACIOES"/>
          <xdr:cNvSpPr/>
        </xdr:nvSpPr>
        <xdr:spPr>
          <a:xfrm>
            <a:off x="0" y="2038992"/>
            <a:ext cx="719751" cy="193539"/>
          </a:xfrm>
          <a:prstGeom prst="rect">
            <a:avLst/>
          </a:prstGeom>
          <a:solidFill>
            <a:schemeClr val="bg1">
              <a:lumMod val="85000"/>
              <a:alpha val="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sp macro="[0]!Copia_Color_Texto_Rojo" textlink="">
        <xdr:nvSpPr>
          <xdr:cNvPr id="12" name="TEXTO ROJO"/>
          <xdr:cNvSpPr/>
        </xdr:nvSpPr>
        <xdr:spPr>
          <a:xfrm>
            <a:off x="0" y="2300654"/>
            <a:ext cx="719751" cy="197017"/>
          </a:xfrm>
          <a:prstGeom prst="rect">
            <a:avLst/>
          </a:prstGeom>
          <a:solidFill>
            <a:schemeClr val="bg1">
              <a:lumMod val="85000"/>
              <a:alpha val="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sp macro="[0]!Copia_Color_Texto_Azul" textlink="">
        <xdr:nvSpPr>
          <xdr:cNvPr id="13" name="TEXTO AZUL"/>
          <xdr:cNvSpPr/>
        </xdr:nvSpPr>
        <xdr:spPr>
          <a:xfrm>
            <a:off x="0" y="2586404"/>
            <a:ext cx="719751" cy="195646"/>
          </a:xfrm>
          <a:prstGeom prst="rect">
            <a:avLst/>
          </a:prstGeom>
          <a:solidFill>
            <a:schemeClr val="bg1">
              <a:lumMod val="85000"/>
              <a:alpha val="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sp macro="[0]!Copia_Color_Texto_Otro" textlink="">
        <xdr:nvSpPr>
          <xdr:cNvPr id="14" name="TEXTO OTRO"/>
          <xdr:cNvSpPr/>
        </xdr:nvSpPr>
        <xdr:spPr>
          <a:xfrm>
            <a:off x="0" y="2850173"/>
            <a:ext cx="719751" cy="197017"/>
          </a:xfrm>
          <a:prstGeom prst="rect">
            <a:avLst/>
          </a:prstGeom>
          <a:solidFill>
            <a:schemeClr val="bg1">
              <a:lumMod val="85000"/>
              <a:alpha val="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sp macro="[0]!Copia_Imagen" textlink="">
        <xdr:nvSpPr>
          <xdr:cNvPr id="15" name="INSERTAR IMAGENES"/>
          <xdr:cNvSpPr/>
        </xdr:nvSpPr>
        <xdr:spPr>
          <a:xfrm>
            <a:off x="0" y="3135923"/>
            <a:ext cx="719751" cy="422259"/>
          </a:xfrm>
          <a:prstGeom prst="rect">
            <a:avLst/>
          </a:prstGeom>
          <a:solidFill>
            <a:schemeClr val="bg1">
              <a:lumMod val="85000"/>
              <a:alpha val="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sp macro="[0]!Celdas_Formulas_INFORMACION" textlink="">
        <xdr:nvSpPr>
          <xdr:cNvPr id="16" name="USAR VARIABLES"/>
          <xdr:cNvSpPr/>
        </xdr:nvSpPr>
        <xdr:spPr>
          <a:xfrm>
            <a:off x="0" y="3663462"/>
            <a:ext cx="719751" cy="443908"/>
          </a:xfrm>
          <a:prstGeom prst="rect">
            <a:avLst/>
          </a:prstGeom>
          <a:solidFill>
            <a:schemeClr val="bg1">
              <a:lumMod val="85000"/>
              <a:alpha val="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sp macro="[0]!Celdas_Formulas_Activar" textlink="">
        <xdr:nvSpPr>
          <xdr:cNvPr id="17" name="ACTIVAR VARIABLES"/>
          <xdr:cNvSpPr/>
        </xdr:nvSpPr>
        <xdr:spPr>
          <a:xfrm>
            <a:off x="0" y="4198327"/>
            <a:ext cx="719751" cy="195647"/>
          </a:xfrm>
          <a:prstGeom prst="rect">
            <a:avLst/>
          </a:prstGeom>
          <a:solidFill>
            <a:schemeClr val="bg1">
              <a:lumMod val="85000"/>
              <a:alpha val="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sp macro="[0]!Celdas_Formulas_Desactivar" textlink="">
        <xdr:nvSpPr>
          <xdr:cNvPr id="18" name="DESACTIVAR VARIABLES"/>
          <xdr:cNvSpPr/>
        </xdr:nvSpPr>
        <xdr:spPr>
          <a:xfrm>
            <a:off x="0" y="4462096"/>
            <a:ext cx="719751" cy="195647"/>
          </a:xfrm>
          <a:prstGeom prst="rect">
            <a:avLst/>
          </a:prstGeom>
          <a:solidFill>
            <a:schemeClr val="bg1">
              <a:lumMod val="85000"/>
              <a:alpha val="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grpSp>
    <xdr:clientData/>
  </xdr:twoCellAnchor>
  <xdr:twoCellAnchor>
    <xdr:from>
      <xdr:col>26</xdr:col>
      <xdr:colOff>0</xdr:colOff>
      <xdr:row>1</xdr:row>
      <xdr:rowOff>0</xdr:rowOff>
    </xdr:from>
    <xdr:to>
      <xdr:col>27</xdr:col>
      <xdr:colOff>159</xdr:colOff>
      <xdr:row>3</xdr:row>
      <xdr:rowOff>1</xdr:rowOff>
    </xdr:to>
    <xdr:sp macro="[0]!Limpiar_Datos_Variables" textlink="">
      <xdr:nvSpPr>
        <xdr:cNvPr id="19" name="BORRAR VARIABLES" hidden="1"/>
        <xdr:cNvSpPr/>
      </xdr:nvSpPr>
      <xdr:spPr>
        <a:xfrm>
          <a:off x="9976556" y="28222"/>
          <a:ext cx="712770" cy="345723"/>
        </a:xfrm>
        <a:prstGeom prst="rect">
          <a:avLst/>
        </a:prstGeom>
        <a:solidFill>
          <a:schemeClr val="bg1">
            <a:lumMod val="85000"/>
            <a:alpha val="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clientData/>
  </xdr:twoCellAnchor>
  <xdr:twoCellAnchor>
    <xdr:from>
      <xdr:col>11</xdr:col>
      <xdr:colOff>0</xdr:colOff>
      <xdr:row>1</xdr:row>
      <xdr:rowOff>0</xdr:rowOff>
    </xdr:from>
    <xdr:to>
      <xdr:col>22</xdr:col>
      <xdr:colOff>331770</xdr:colOff>
      <xdr:row>3</xdr:row>
      <xdr:rowOff>1</xdr:rowOff>
    </xdr:to>
    <xdr:grpSp>
      <xdr:nvGrpSpPr>
        <xdr:cNvPr id="26" name="G Menu SUPERIOR"/>
        <xdr:cNvGrpSpPr/>
      </xdr:nvGrpSpPr>
      <xdr:grpSpPr>
        <a:xfrm>
          <a:off x="4327071" y="27214"/>
          <a:ext cx="4522770" cy="340180"/>
          <a:chOff x="4330212" y="29308"/>
          <a:chExt cx="4522770" cy="344366"/>
        </a:xfrm>
      </xdr:grpSpPr>
      <xdr:sp macro="[0]!IR_DATOS_GENERALES" textlink="">
        <xdr:nvSpPr>
          <xdr:cNvPr id="20" name="DATOS GENERALES"/>
          <xdr:cNvSpPr/>
        </xdr:nvSpPr>
        <xdr:spPr>
          <a:xfrm>
            <a:off x="4330212" y="29308"/>
            <a:ext cx="712770" cy="344366"/>
          </a:xfrm>
          <a:prstGeom prst="rect">
            <a:avLst/>
          </a:prstGeom>
          <a:solidFill>
            <a:schemeClr val="bg1">
              <a:lumMod val="85000"/>
              <a:alpha val="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sp macro="[0]!IR_BANCO_PREGUNTAS" textlink="">
        <xdr:nvSpPr>
          <xdr:cNvPr id="21" name="BANCO PREGUNTAS"/>
          <xdr:cNvSpPr/>
        </xdr:nvSpPr>
        <xdr:spPr>
          <a:xfrm>
            <a:off x="5092212" y="29308"/>
            <a:ext cx="712770" cy="344366"/>
          </a:xfrm>
          <a:prstGeom prst="rect">
            <a:avLst/>
          </a:prstGeom>
          <a:solidFill>
            <a:schemeClr val="bg1">
              <a:lumMod val="85000"/>
              <a:alpha val="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sp macro="[0]!Limpiar_Datos_Formulario" textlink="">
        <xdr:nvSpPr>
          <xdr:cNvPr id="22" name="LIMPIAR DATOS"/>
          <xdr:cNvSpPr/>
        </xdr:nvSpPr>
        <xdr:spPr>
          <a:xfrm>
            <a:off x="5854212" y="29308"/>
            <a:ext cx="712770" cy="344366"/>
          </a:xfrm>
          <a:prstGeom prst="rect">
            <a:avLst/>
          </a:prstGeom>
          <a:solidFill>
            <a:schemeClr val="bg1">
              <a:lumMod val="85000"/>
              <a:alpha val="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sp macro="[0]!Guardar_Pregunta" textlink="">
        <xdr:nvSpPr>
          <xdr:cNvPr id="23" name="GUARDAR PREGUNTAS"/>
          <xdr:cNvSpPr/>
        </xdr:nvSpPr>
        <xdr:spPr>
          <a:xfrm>
            <a:off x="6616212" y="29308"/>
            <a:ext cx="712770" cy="344366"/>
          </a:xfrm>
          <a:prstGeom prst="rect">
            <a:avLst/>
          </a:prstGeom>
          <a:solidFill>
            <a:schemeClr val="bg1">
              <a:lumMod val="85000"/>
              <a:alpha val="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sp macro="[0]!Borrar_Pregunta" textlink="">
        <xdr:nvSpPr>
          <xdr:cNvPr id="24" name="BORRAR PREGUNTAS"/>
          <xdr:cNvSpPr/>
        </xdr:nvSpPr>
        <xdr:spPr>
          <a:xfrm>
            <a:off x="7378212" y="29308"/>
            <a:ext cx="712770" cy="344366"/>
          </a:xfrm>
          <a:prstGeom prst="rect">
            <a:avLst/>
          </a:prstGeom>
          <a:solidFill>
            <a:schemeClr val="bg1">
              <a:lumMod val="85000"/>
              <a:alpha val="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sp macro="[0]!Formato_FORMULARIO" textlink="">
        <xdr:nvSpPr>
          <xdr:cNvPr id="25" name="DAR FORMATO"/>
          <xdr:cNvSpPr/>
        </xdr:nvSpPr>
        <xdr:spPr>
          <a:xfrm>
            <a:off x="8140212" y="29308"/>
            <a:ext cx="712770" cy="344366"/>
          </a:xfrm>
          <a:prstGeom prst="rect">
            <a:avLst/>
          </a:prstGeom>
          <a:solidFill>
            <a:schemeClr val="bg1">
              <a:lumMod val="85000"/>
              <a:alpha val="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grpSp>
    <xdr:clientData/>
  </xdr:twoCellAnchor>
  <xdr:oneCellAnchor>
    <xdr:from>
      <xdr:col>13</xdr:col>
      <xdr:colOff>0</xdr:colOff>
      <xdr:row>4</xdr:row>
      <xdr:rowOff>0</xdr:rowOff>
    </xdr:from>
    <xdr:ext cx="1520162" cy="170703"/>
    <xdr:pic macro="[0]!Almacenar_Formulas">
      <xdr:nvPicPr>
        <xdr:cNvPr id="39" name="ALMACENAR FORMULAS"/>
        <xdr:cNvPicPr>
          <a:picLocks noChangeAspect="1"/>
        </xdr:cNvPicPr>
      </xdr:nvPicPr>
      <xdr:blipFill>
        <a:blip xmlns:r="http://schemas.openxmlformats.org/officeDocument/2006/relationships" r:embed="rId6"/>
        <a:stretch>
          <a:fillRect/>
        </a:stretch>
      </xdr:blipFill>
      <xdr:spPr>
        <a:xfrm>
          <a:off x="5086350" y="447675"/>
          <a:ext cx="1520162" cy="170703"/>
        </a:xfrm>
        <a:prstGeom prst="rect">
          <a:avLst/>
        </a:prstGeom>
      </xdr:spPr>
    </xdr:pic>
    <xdr:clientData/>
  </xdr:oneCellAnchor>
  <xdr:twoCellAnchor>
    <xdr:from>
      <xdr:col>11</xdr:col>
      <xdr:colOff>0</xdr:colOff>
      <xdr:row>4</xdr:row>
      <xdr:rowOff>0</xdr:rowOff>
    </xdr:from>
    <xdr:to>
      <xdr:col>12</xdr:col>
      <xdr:colOff>304800</xdr:colOff>
      <xdr:row>5</xdr:row>
      <xdr:rowOff>22225</xdr:rowOff>
    </xdr:to>
    <xdr:grpSp>
      <xdr:nvGrpSpPr>
        <xdr:cNvPr id="34" name="G Pregunta"/>
        <xdr:cNvGrpSpPr/>
      </xdr:nvGrpSpPr>
      <xdr:grpSpPr>
        <a:xfrm>
          <a:off x="4327071" y="442232"/>
          <a:ext cx="685800" cy="212725"/>
          <a:chOff x="4336761" y="451439"/>
          <a:chExt cx="687310" cy="209839"/>
        </a:xfrm>
      </xdr:grpSpPr>
      <xdr:sp macro="[0]!Elegir_Pregunta" textlink="">
        <xdr:nvSpPr>
          <xdr:cNvPr id="37" name="Pregunta"/>
          <xdr:cNvSpPr/>
        </xdr:nvSpPr>
        <xdr:spPr>
          <a:xfrm>
            <a:off x="4336761" y="454602"/>
            <a:ext cx="346364" cy="180398"/>
          </a:xfrm>
          <a:prstGeom prst="rect">
            <a:avLst/>
          </a:prstGeom>
          <a:solidFill>
            <a:schemeClr val="bg1">
              <a:lumMod val="85000"/>
              <a:alpha val="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mc:AlternateContent xmlns:mc="http://schemas.openxmlformats.org/markup-compatibility/2006">
        <mc:Choice xmlns:a14="http://schemas.microsoft.com/office/drawing/2010/main" Requires="a14">
          <xdr:sp macro="" textlink="">
            <xdr:nvSpPr>
              <xdr:cNvPr id="3078" name="Contador 1" descr="Para consultar los datos de cada pregunta." hidden="1">
                <a:extLst>
                  <a:ext uri="{63B3BB69-23CF-44E3-9099-C40C66FF867C}">
                    <a14:compatExt spid="_x0000_s3078"/>
                  </a:ext>
                </a:extLst>
              </xdr:cNvPr>
              <xdr:cNvSpPr/>
            </xdr:nvSpPr>
            <xdr:spPr bwMode="auto">
              <a:xfrm>
                <a:off x="4717761" y="451439"/>
                <a:ext cx="87169" cy="209839"/>
              </a:xfrm>
              <a:prstGeom prst="rect">
                <a:avLst/>
              </a:prstGeom>
              <a:noFill/>
              <a:ln w="9525">
                <a:miter lim="800000"/>
                <a:headEnd/>
                <a:tailEnd/>
              </a:ln>
            </xdr:spPr>
          </xdr:sp>
        </mc:Choice>
        <mc:Fallback/>
      </mc:AlternateContent>
      <mc:AlternateContent xmlns:mc="http://schemas.openxmlformats.org/markup-compatibility/2006">
        <mc:Choice xmlns:a14="http://schemas.microsoft.com/office/drawing/2010/main" Requires="a14">
          <xdr:sp macro="" textlink="">
            <xdr:nvSpPr>
              <xdr:cNvPr id="3079" name="Box PREGUNTA" hidden="1">
                <a:extLst>
                  <a:ext uri="{63B3BB69-23CF-44E3-9099-C40C66FF867C}">
                    <a14:compatExt spid="_x0000_s3079"/>
                  </a:ext>
                </a:extLst>
              </xdr:cNvPr>
              <xdr:cNvSpPr/>
            </xdr:nvSpPr>
            <xdr:spPr bwMode="auto">
              <a:xfrm>
                <a:off x="4785943" y="464127"/>
                <a:ext cx="238128" cy="187614"/>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mc:Choice>
        <mc:Fallback/>
      </mc:AlternateContent>
    </xdr:grpSp>
    <xdr:clientData/>
  </xdr:twoCellAnchor>
  <xdr:twoCellAnchor>
    <xdr:from>
      <xdr:col>7</xdr:col>
      <xdr:colOff>0</xdr:colOff>
      <xdr:row>4</xdr:row>
      <xdr:rowOff>0</xdr:rowOff>
    </xdr:from>
    <xdr:to>
      <xdr:col>8</xdr:col>
      <xdr:colOff>114300</xdr:colOff>
      <xdr:row>5</xdr:row>
      <xdr:rowOff>22225</xdr:rowOff>
    </xdr:to>
    <xdr:grpSp>
      <xdr:nvGrpSpPr>
        <xdr:cNvPr id="40" name="G Pregunta Inicial"/>
        <xdr:cNvGrpSpPr/>
      </xdr:nvGrpSpPr>
      <xdr:grpSpPr>
        <a:xfrm>
          <a:off x="2803071" y="442232"/>
          <a:ext cx="495300" cy="212725"/>
          <a:chOff x="2806989" y="441902"/>
          <a:chExt cx="496727" cy="209839"/>
        </a:xfrm>
      </xdr:grpSpPr>
      <xdr:sp macro="" textlink="">
        <xdr:nvSpPr>
          <xdr:cNvPr id="43" name="NADA"/>
          <xdr:cNvSpPr/>
        </xdr:nvSpPr>
        <xdr:spPr>
          <a:xfrm>
            <a:off x="2806989" y="454602"/>
            <a:ext cx="346364" cy="180398"/>
          </a:xfrm>
          <a:prstGeom prst="rect">
            <a:avLst/>
          </a:prstGeom>
          <a:solidFill>
            <a:schemeClr val="bg1">
              <a:lumMod val="85000"/>
              <a:alpha val="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mc:AlternateContent xmlns:mc="http://schemas.openxmlformats.org/markup-compatibility/2006">
        <mc:Choice xmlns:a14="http://schemas.microsoft.com/office/drawing/2010/main" Requires="a14">
          <xdr:sp macro="" textlink="">
            <xdr:nvSpPr>
              <xdr:cNvPr id="3080" name="Contador 10" descr="Para consultar los datos de cada pregunta." hidden="1">
                <a:extLst>
                  <a:ext uri="{63B3BB69-23CF-44E3-9099-C40C66FF867C}">
                    <a14:compatExt spid="_x0000_s3080"/>
                  </a:ext>
                </a:extLst>
              </xdr:cNvPr>
              <xdr:cNvSpPr/>
            </xdr:nvSpPr>
            <xdr:spPr bwMode="auto">
              <a:xfrm>
                <a:off x="3130837" y="441902"/>
                <a:ext cx="87168" cy="209839"/>
              </a:xfrm>
              <a:prstGeom prst="rect">
                <a:avLst/>
              </a:prstGeom>
              <a:noFill/>
              <a:ln w="9525">
                <a:miter lim="800000"/>
                <a:headEnd/>
                <a:tailEnd/>
              </a:ln>
            </xdr:spPr>
          </xdr:sp>
        </mc:Choice>
        <mc:Fallback/>
      </mc:AlternateContent>
      <mc:AlternateContent xmlns:mc="http://schemas.openxmlformats.org/markup-compatibility/2006">
        <mc:Choice xmlns:a14="http://schemas.microsoft.com/office/drawing/2010/main" Requires="a14">
          <xdr:sp macro="" textlink="">
            <xdr:nvSpPr>
              <xdr:cNvPr id="3081" name="Contador 100" descr="Para consultar los datos de cada pregunta." hidden="1">
                <a:extLst>
                  <a:ext uri="{63B3BB69-23CF-44E3-9099-C40C66FF867C}">
                    <a14:compatExt spid="_x0000_s3081"/>
                  </a:ext>
                </a:extLst>
              </xdr:cNvPr>
              <xdr:cNvSpPr/>
            </xdr:nvSpPr>
            <xdr:spPr bwMode="auto">
              <a:xfrm>
                <a:off x="3217991" y="441902"/>
                <a:ext cx="85725" cy="209839"/>
              </a:xfrm>
              <a:prstGeom prst="rect">
                <a:avLst/>
              </a:prstGeom>
              <a:noFill/>
              <a:ln w="9525">
                <a:miter lim="800000"/>
                <a:headEnd/>
                <a:tailEnd/>
              </a:ln>
            </xdr:spPr>
          </xdr:sp>
        </mc:Choice>
        <mc:Fallback/>
      </mc:AlternateContent>
    </xdr:grpSp>
    <xdr:clientData/>
  </xdr:twoCellAnchor>
  <xdr:twoCellAnchor editAs="oneCell">
    <xdr:from>
      <xdr:col>1</xdr:col>
      <xdr:colOff>153866</xdr:colOff>
      <xdr:row>7</xdr:row>
      <xdr:rowOff>29308</xdr:rowOff>
    </xdr:from>
    <xdr:to>
      <xdr:col>2</xdr:col>
      <xdr:colOff>264276</xdr:colOff>
      <xdr:row>9</xdr:row>
      <xdr:rowOff>24454</xdr:rowOff>
    </xdr:to>
    <xdr:pic macro="[0]!IR_INICIO">
      <xdr:nvPicPr>
        <xdr:cNvPr id="42" name="Casa_F_Gris" descr="HOME" title="HOME"/>
        <xdr:cNvPicPr>
          <a:picLocks noChangeAspect="1"/>
        </xdr:cNvPicPr>
      </xdr:nvPicPr>
      <xdr:blipFill>
        <a:blip xmlns:r="http://schemas.openxmlformats.org/officeDocument/2006/relationships" r:embed="rId7"/>
        <a:stretch>
          <a:fillRect/>
        </a:stretch>
      </xdr:blipFill>
      <xdr:spPr>
        <a:xfrm>
          <a:off x="871904" y="930520"/>
          <a:ext cx="293584" cy="258915"/>
        </a:xfrm>
        <a:prstGeom prst="rect">
          <a:avLst/>
        </a:prstGeom>
      </xdr:spPr>
    </xdr:pic>
    <xdr:clientData/>
  </xdr:twoCellAnchor>
</xdr:wsDr>
</file>

<file path=xl/drawings/drawing5.xml><?xml version="1.0" encoding="utf-8"?>
<xdr:wsDr xmlns:xdr="http://schemas.openxmlformats.org/drawingml/2006/spreadsheetDrawing" xmlns:a="http://schemas.openxmlformats.org/drawingml/2006/main">
  <xdr:twoCellAnchor>
    <xdr:from>
      <xdr:col>0</xdr:col>
      <xdr:colOff>0</xdr:colOff>
      <xdr:row>0</xdr:row>
      <xdr:rowOff>0</xdr:rowOff>
    </xdr:from>
    <xdr:to>
      <xdr:col>1</xdr:col>
      <xdr:colOff>179848</xdr:colOff>
      <xdr:row>0</xdr:row>
      <xdr:rowOff>321878</xdr:rowOff>
    </xdr:to>
    <xdr:pic>
      <xdr:nvPicPr>
        <xdr:cNvPr id="8" name="UCA">
          <a:hlinkClick xmlns:r="http://schemas.openxmlformats.org/officeDocument/2006/relationships" r:id="rId1"/>
        </xdr:cNvPr>
        <xdr:cNvPicPr>
          <a:picLocks noChangeAspect="1"/>
        </xdr:cNvPicPr>
      </xdr:nvPicPr>
      <xdr:blipFill>
        <a:blip xmlns:r="http://schemas.openxmlformats.org/officeDocument/2006/relationships" r:embed="rId2" cstate="print">
          <a:extLst>
            <a:ext uri="{28A0092B-C50C-407E-A947-70E740481C1C}">
              <a14:useLocalDpi xmlns:a14="http://schemas.microsoft.com/office/drawing/2010/main" val="0"/>
            </a:ext>
          </a:extLst>
        </a:blip>
        <a:stretch>
          <a:fillRect/>
        </a:stretch>
      </xdr:blipFill>
      <xdr:spPr>
        <a:xfrm>
          <a:off x="0" y="0"/>
          <a:ext cx="830176" cy="321878"/>
        </a:xfrm>
        <a:prstGeom prst="rect">
          <a:avLst/>
        </a:prstGeom>
        <a:ln w="12700">
          <a:solidFill>
            <a:srgbClr val="E87B00"/>
          </a:solidFill>
        </a:ln>
      </xdr:spPr>
    </xdr:pic>
    <xdr:clientData/>
  </xdr:twoCellAnchor>
  <xdr:twoCellAnchor>
    <xdr:from>
      <xdr:col>6</xdr:col>
      <xdr:colOff>2931</xdr:colOff>
      <xdr:row>0</xdr:row>
      <xdr:rowOff>0</xdr:rowOff>
    </xdr:from>
    <xdr:to>
      <xdr:col>7</xdr:col>
      <xdr:colOff>16484</xdr:colOff>
      <xdr:row>1</xdr:row>
      <xdr:rowOff>65844</xdr:rowOff>
    </xdr:to>
    <xdr:grpSp>
      <xdr:nvGrpSpPr>
        <xdr:cNvPr id="40" name="G FTP_MOODLE"/>
        <xdr:cNvGrpSpPr/>
      </xdr:nvGrpSpPr>
      <xdr:grpSpPr>
        <a:xfrm>
          <a:off x="2840020" y="0"/>
          <a:ext cx="2973107" cy="569308"/>
          <a:chOff x="2844102" y="0"/>
          <a:chExt cx="2974468" cy="572030"/>
        </a:xfrm>
      </xdr:grpSpPr>
      <xdr:pic>
        <xdr:nvPicPr>
          <xdr:cNvPr id="9" name="FTP-MOODLE"/>
          <xdr:cNvPicPr>
            <a:picLocks noChangeAspect="1"/>
          </xdr:cNvPicPr>
        </xdr:nvPicPr>
        <xdr:blipFill rotWithShape="1">
          <a:blip xmlns:r="http://schemas.openxmlformats.org/officeDocument/2006/relationships" r:embed="rId3"/>
          <a:srcRect l="62747"/>
          <a:stretch/>
        </xdr:blipFill>
        <xdr:spPr>
          <a:xfrm>
            <a:off x="4838037" y="0"/>
            <a:ext cx="980533" cy="572030"/>
          </a:xfrm>
          <a:prstGeom prst="rect">
            <a:avLst/>
          </a:prstGeom>
        </xdr:spPr>
      </xdr:pic>
      <xdr:cxnSp macro="">
        <xdr:nvCxnSpPr>
          <xdr:cNvPr id="38" name="LINEA H"/>
          <xdr:cNvCxnSpPr/>
        </xdr:nvCxnSpPr>
        <xdr:spPr>
          <a:xfrm>
            <a:off x="2844102" y="261934"/>
            <a:ext cx="1836000"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xnSp macro="">
        <xdr:nvCxnSpPr>
          <xdr:cNvPr id="39" name="LINEA V"/>
          <xdr:cNvCxnSpPr/>
        </xdr:nvCxnSpPr>
        <xdr:spPr>
          <a:xfrm>
            <a:off x="4674733" y="1"/>
            <a:ext cx="0" cy="522170"/>
          </a:xfrm>
          <a:prstGeom prst="line">
            <a:avLst/>
          </a:prstGeom>
          <a:ln w="19050">
            <a:solidFill>
              <a:schemeClr val="bg1"/>
            </a:solidFill>
          </a:ln>
        </xdr:spPr>
        <xdr:style>
          <a:lnRef idx="1">
            <a:schemeClr val="accent1"/>
          </a:lnRef>
          <a:fillRef idx="0">
            <a:schemeClr val="accent1"/>
          </a:fillRef>
          <a:effectRef idx="0">
            <a:schemeClr val="accent1"/>
          </a:effectRef>
          <a:fontRef idx="minor">
            <a:schemeClr val="tx1"/>
          </a:fontRef>
        </xdr:style>
      </xdr:cxnSp>
    </xdr:grpSp>
    <xdr:clientData/>
  </xdr:twoCellAnchor>
  <xdr:twoCellAnchor>
    <xdr:from>
      <xdr:col>5</xdr:col>
      <xdr:colOff>929</xdr:colOff>
      <xdr:row>0</xdr:row>
      <xdr:rowOff>0</xdr:rowOff>
    </xdr:from>
    <xdr:to>
      <xdr:col>6</xdr:col>
      <xdr:colOff>52551</xdr:colOff>
      <xdr:row>0</xdr:row>
      <xdr:rowOff>496777</xdr:rowOff>
    </xdr:to>
    <xdr:grpSp>
      <xdr:nvGrpSpPr>
        <xdr:cNvPr id="41" name="Ir a"/>
        <xdr:cNvGrpSpPr/>
      </xdr:nvGrpSpPr>
      <xdr:grpSpPr>
        <a:xfrm>
          <a:off x="2082822" y="0"/>
          <a:ext cx="806818" cy="496777"/>
          <a:chOff x="2090986" y="0"/>
          <a:chExt cx="802736" cy="496777"/>
        </a:xfrm>
      </xdr:grpSpPr>
      <xdr:cxnSp macro="">
        <xdr:nvCxnSpPr>
          <xdr:cNvPr id="35" name="LINEA"/>
          <xdr:cNvCxnSpPr/>
        </xdr:nvCxnSpPr>
        <xdr:spPr>
          <a:xfrm>
            <a:off x="2090986" y="319012"/>
            <a:ext cx="753631"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sp macro="[0]!IR_DATOS_GENERALES" textlink="">
        <xdr:nvSpPr>
          <xdr:cNvPr id="36" name="DATOS GENERALES"/>
          <xdr:cNvSpPr/>
        </xdr:nvSpPr>
        <xdr:spPr>
          <a:xfrm>
            <a:off x="2169091" y="0"/>
            <a:ext cx="724631" cy="321666"/>
          </a:xfrm>
          <a:prstGeom prst="rect">
            <a:avLst/>
          </a:prstGeom>
          <a:solidFill>
            <a:schemeClr val="bg1">
              <a:lumMod val="85000"/>
              <a:alpha val="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sp macro="[0]!IR_FORMULARIO" textlink="">
        <xdr:nvSpPr>
          <xdr:cNvPr id="37" name="FORMULARIO"/>
          <xdr:cNvSpPr/>
        </xdr:nvSpPr>
        <xdr:spPr>
          <a:xfrm>
            <a:off x="2175854" y="355886"/>
            <a:ext cx="716703" cy="140891"/>
          </a:xfrm>
          <a:prstGeom prst="rect">
            <a:avLst/>
          </a:prstGeom>
          <a:solidFill>
            <a:schemeClr val="bg1">
              <a:lumMod val="85000"/>
              <a:alpha val="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grpSp>
    <xdr:clientData/>
  </xdr:twoCellAnchor>
  <xdr:twoCellAnchor>
    <xdr:from>
      <xdr:col>6</xdr:col>
      <xdr:colOff>0</xdr:colOff>
      <xdr:row>0</xdr:row>
      <xdr:rowOff>19938</xdr:rowOff>
    </xdr:from>
    <xdr:to>
      <xdr:col>6</xdr:col>
      <xdr:colOff>1930621</xdr:colOff>
      <xdr:row>0</xdr:row>
      <xdr:rowOff>492582</xdr:rowOff>
    </xdr:to>
    <xdr:grpSp>
      <xdr:nvGrpSpPr>
        <xdr:cNvPr id="5" name="PREGUNTA"/>
        <xdr:cNvGrpSpPr/>
      </xdr:nvGrpSpPr>
      <xdr:grpSpPr>
        <a:xfrm>
          <a:off x="2837089" y="19938"/>
          <a:ext cx="1930621" cy="472644"/>
          <a:chOff x="2837089" y="19938"/>
          <a:chExt cx="1930621" cy="472644"/>
        </a:xfrm>
      </xdr:grpSpPr>
      <xdr:sp macro="[0]!INSERTAR_PREGUNTA" textlink="">
        <xdr:nvSpPr>
          <xdr:cNvPr id="13" name="INSERTAR"/>
          <xdr:cNvSpPr/>
        </xdr:nvSpPr>
        <xdr:spPr>
          <a:xfrm>
            <a:off x="2837089" y="19938"/>
            <a:ext cx="1914292" cy="204580"/>
          </a:xfrm>
          <a:prstGeom prst="rect">
            <a:avLst/>
          </a:prstGeom>
          <a:solidFill>
            <a:schemeClr val="bg1">
              <a:lumMod val="85000"/>
              <a:alpha val="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sp macro="[0]!BORRAR_PREGUNTA_DATOS" textlink="">
        <xdr:nvSpPr>
          <xdr:cNvPr id="15" name="BORRAR"/>
          <xdr:cNvSpPr/>
        </xdr:nvSpPr>
        <xdr:spPr>
          <a:xfrm>
            <a:off x="2853418" y="288002"/>
            <a:ext cx="1914292" cy="204580"/>
          </a:xfrm>
          <a:prstGeom prst="rect">
            <a:avLst/>
          </a:prstGeom>
          <a:solidFill>
            <a:schemeClr val="bg1">
              <a:lumMod val="85000"/>
              <a:alpha val="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grpSp>
    <xdr:clientData/>
  </xdr:twoCellAnchor>
  <xdr:twoCellAnchor editAs="oneCell">
    <xdr:from>
      <xdr:col>6</xdr:col>
      <xdr:colOff>2605768</xdr:colOff>
      <xdr:row>1</xdr:row>
      <xdr:rowOff>40822</xdr:rowOff>
    </xdr:from>
    <xdr:to>
      <xdr:col>6</xdr:col>
      <xdr:colOff>2900840</xdr:colOff>
      <xdr:row>1</xdr:row>
      <xdr:rowOff>294438</xdr:rowOff>
    </xdr:to>
    <xdr:pic macro="[0]!IR_INICIO">
      <xdr:nvPicPr>
        <xdr:cNvPr id="16" name="Casa_F_Naranja"/>
        <xdr:cNvPicPr>
          <a:picLocks noChangeAspect="1"/>
        </xdr:cNvPicPr>
      </xdr:nvPicPr>
      <xdr:blipFill>
        <a:blip xmlns:r="http://schemas.openxmlformats.org/officeDocument/2006/relationships" r:embed="rId4"/>
        <a:stretch>
          <a:fillRect/>
        </a:stretch>
      </xdr:blipFill>
      <xdr:spPr>
        <a:xfrm>
          <a:off x="5442857" y="544286"/>
          <a:ext cx="295072" cy="253616"/>
        </a:xfrm>
        <a:prstGeom prst="rect">
          <a:avLst/>
        </a:prstGeom>
      </xdr:spPr>
    </xdr:pic>
    <xdr:clientData/>
  </xdr:twoCellAnchor>
</xdr:wsDr>
</file>

<file path=xl/drawings/drawing6.xml><?xml version="1.0" encoding="utf-8"?>
<xdr:wsDr xmlns:xdr="http://schemas.openxmlformats.org/drawingml/2006/spreadsheetDrawing" xmlns:a="http://schemas.openxmlformats.org/drawingml/2006/main">
  <xdr:twoCellAnchor editAs="oneCell">
    <xdr:from>
      <xdr:col>1</xdr:col>
      <xdr:colOff>0</xdr:colOff>
      <xdr:row>11</xdr:row>
      <xdr:rowOff>0</xdr:rowOff>
    </xdr:from>
    <xdr:to>
      <xdr:col>6</xdr:col>
      <xdr:colOff>358479</xdr:colOff>
      <xdr:row>14</xdr:row>
      <xdr:rowOff>7128</xdr:rowOff>
    </xdr:to>
    <xdr:pic>
      <xdr:nvPicPr>
        <xdr:cNvPr id="2" name="MOODLE">
          <a:hlinkClick xmlns:r="http://schemas.openxmlformats.org/officeDocument/2006/relationships" r:id="rId1"/>
        </xdr:cNvPr>
        <xdr:cNvPicPr>
          <a:picLocks noChangeAspect="1"/>
        </xdr:cNvPicPr>
      </xdr:nvPicPr>
      <xdr:blipFill rotWithShape="1">
        <a:blip xmlns:r="http://schemas.openxmlformats.org/officeDocument/2006/relationships" r:embed="rId2"/>
        <a:srcRect l="-29988" t="2" r="-446380" b="5496"/>
        <a:stretch/>
      </xdr:blipFill>
      <xdr:spPr>
        <a:xfrm>
          <a:off x="712662" y="1439029"/>
          <a:ext cx="2071608" cy="349754"/>
        </a:xfrm>
        <a:prstGeom prst="rect">
          <a:avLst/>
        </a:prstGeom>
      </xdr:spPr>
    </xdr:pic>
    <xdr:clientData/>
  </xdr:twoCellAnchor>
  <xdr:twoCellAnchor editAs="oneCell">
    <xdr:from>
      <xdr:col>2</xdr:col>
      <xdr:colOff>0</xdr:colOff>
      <xdr:row>31</xdr:row>
      <xdr:rowOff>0</xdr:rowOff>
    </xdr:from>
    <xdr:to>
      <xdr:col>3</xdr:col>
      <xdr:colOff>340243</xdr:colOff>
      <xdr:row>34</xdr:row>
      <xdr:rowOff>185656</xdr:rowOff>
    </xdr:to>
    <xdr:pic macro="[0]!MENU_AYUDA">
      <xdr:nvPicPr>
        <xdr:cNvPr id="3" name="FTP"/>
        <xdr:cNvPicPr>
          <a:picLocks noChangeAspect="1"/>
        </xdr:cNvPicPr>
      </xdr:nvPicPr>
      <xdr:blipFill rotWithShape="1">
        <a:blip xmlns:r="http://schemas.openxmlformats.org/officeDocument/2006/relationships" r:embed="rId3"/>
        <a:srcRect l="8903" r="-34835" b="9685"/>
        <a:stretch/>
      </xdr:blipFill>
      <xdr:spPr>
        <a:xfrm>
          <a:off x="890827" y="4166331"/>
          <a:ext cx="723984" cy="528282"/>
        </a:xfrm>
        <a:prstGeom prst="rect">
          <a:avLst/>
        </a:prstGeom>
      </xdr:spPr>
    </xdr:pic>
    <xdr:clientData/>
  </xdr:twoCellAnchor>
  <xdr:twoCellAnchor editAs="absolute">
    <xdr:from>
      <xdr:col>18</xdr:col>
      <xdr:colOff>1380</xdr:colOff>
      <xdr:row>30</xdr:row>
      <xdr:rowOff>4341</xdr:rowOff>
    </xdr:from>
    <xdr:to>
      <xdr:col>22</xdr:col>
      <xdr:colOff>358134</xdr:colOff>
      <xdr:row>35</xdr:row>
      <xdr:rowOff>23623</xdr:rowOff>
    </xdr:to>
    <xdr:pic>
      <xdr:nvPicPr>
        <xdr:cNvPr id="31" name="UCA">
          <a:hlinkClick xmlns:r="http://schemas.openxmlformats.org/officeDocument/2006/relationships" r:id="rId4"/>
        </xdr:cNvPr>
        <xdr:cNvPicPr>
          <a:picLocks noChangeAspect="1"/>
        </xdr:cNvPicPr>
      </xdr:nvPicPr>
      <xdr:blipFill>
        <a:blip xmlns:r="http://schemas.openxmlformats.org/officeDocument/2006/relationships" r:embed="rId5" cstate="print">
          <a:extLst>
            <a:ext uri="{28A0092B-C50C-407E-A947-70E740481C1C}">
              <a14:useLocalDpi xmlns:a14="http://schemas.microsoft.com/office/drawing/2010/main" val="0"/>
            </a:ext>
          </a:extLst>
        </a:blip>
        <a:stretch>
          <a:fillRect/>
        </a:stretch>
      </xdr:blipFill>
      <xdr:spPr>
        <a:xfrm>
          <a:off x="6992056" y="3993444"/>
          <a:ext cx="1882134" cy="750346"/>
        </a:xfrm>
        <a:prstGeom prst="rect">
          <a:avLst/>
        </a:prstGeom>
        <a:ln w="25400">
          <a:solidFill>
            <a:srgbClr val="E87B00"/>
          </a:solidFill>
        </a:ln>
      </xdr:spPr>
    </xdr:pic>
    <xdr:clientData/>
  </xdr:twoCellAnchor>
  <xdr:twoCellAnchor>
    <xdr:from>
      <xdr:col>0</xdr:col>
      <xdr:colOff>0</xdr:colOff>
      <xdr:row>0</xdr:row>
      <xdr:rowOff>0</xdr:rowOff>
    </xdr:from>
    <xdr:to>
      <xdr:col>1</xdr:col>
      <xdr:colOff>1713</xdr:colOff>
      <xdr:row>35</xdr:row>
      <xdr:rowOff>5147</xdr:rowOff>
    </xdr:to>
    <xdr:grpSp>
      <xdr:nvGrpSpPr>
        <xdr:cNvPr id="29" name="G Menu LATERAL"/>
        <xdr:cNvGrpSpPr/>
      </xdr:nvGrpSpPr>
      <xdr:grpSpPr>
        <a:xfrm>
          <a:off x="0" y="0"/>
          <a:ext cx="716088" cy="4672397"/>
          <a:chOff x="0" y="0"/>
          <a:chExt cx="717730" cy="4734802"/>
        </a:xfrm>
      </xdr:grpSpPr>
      <xdr:sp macro="[0]!Copia_CODIGOS_INFORMACION" textlink="">
        <xdr:nvSpPr>
          <xdr:cNvPr id="4" name="CODIGOS ESPECIALES"/>
          <xdr:cNvSpPr/>
        </xdr:nvSpPr>
        <xdr:spPr>
          <a:xfrm>
            <a:off x="0" y="0"/>
            <a:ext cx="716125" cy="345324"/>
          </a:xfrm>
          <a:prstGeom prst="rect">
            <a:avLst/>
          </a:prstGeom>
          <a:solidFill>
            <a:schemeClr val="bg1">
              <a:lumMod val="85000"/>
              <a:alpha val="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sp macro="[0]!Copia_Formula" textlink="">
        <xdr:nvSpPr>
          <xdr:cNvPr id="5" name="FORMULA"/>
          <xdr:cNvSpPr/>
        </xdr:nvSpPr>
        <xdr:spPr>
          <a:xfrm>
            <a:off x="0" y="446690"/>
            <a:ext cx="717730" cy="195647"/>
          </a:xfrm>
          <a:prstGeom prst="rect">
            <a:avLst/>
          </a:prstGeom>
          <a:solidFill>
            <a:schemeClr val="bg1">
              <a:lumMod val="85000"/>
              <a:alpha val="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sp macro="[0]!Copia_Superindice" textlink="">
        <xdr:nvSpPr>
          <xdr:cNvPr id="6" name="SUPERINDICE"/>
          <xdr:cNvSpPr/>
        </xdr:nvSpPr>
        <xdr:spPr>
          <a:xfrm>
            <a:off x="0" y="716017"/>
            <a:ext cx="717730" cy="195647"/>
          </a:xfrm>
          <a:prstGeom prst="rect">
            <a:avLst/>
          </a:prstGeom>
          <a:solidFill>
            <a:schemeClr val="bg1">
              <a:lumMod val="85000"/>
              <a:alpha val="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sp macro="[0]!Copia_Subindice" textlink="">
        <xdr:nvSpPr>
          <xdr:cNvPr id="7" name="SUBINDICE"/>
          <xdr:cNvSpPr/>
        </xdr:nvSpPr>
        <xdr:spPr>
          <a:xfrm>
            <a:off x="0" y="985345"/>
            <a:ext cx="717730" cy="195646"/>
          </a:xfrm>
          <a:prstGeom prst="rect">
            <a:avLst/>
          </a:prstGeom>
          <a:solidFill>
            <a:schemeClr val="bg1">
              <a:lumMod val="85000"/>
              <a:alpha val="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sp macro="[0]!Copia_Salto_Linea" textlink="">
        <xdr:nvSpPr>
          <xdr:cNvPr id="8" name="SALTO LINEA"/>
          <xdr:cNvSpPr/>
        </xdr:nvSpPr>
        <xdr:spPr>
          <a:xfrm>
            <a:off x="0" y="1254672"/>
            <a:ext cx="717730" cy="195646"/>
          </a:xfrm>
          <a:prstGeom prst="rect">
            <a:avLst/>
          </a:prstGeom>
          <a:solidFill>
            <a:schemeClr val="bg1">
              <a:lumMod val="85000"/>
              <a:alpha val="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sp macro="[0]!Copia_Concatenar" textlink="">
        <xdr:nvSpPr>
          <xdr:cNvPr id="9" name="CONCATENAR"/>
          <xdr:cNvSpPr/>
        </xdr:nvSpPr>
        <xdr:spPr>
          <a:xfrm>
            <a:off x="0" y="1520549"/>
            <a:ext cx="717730" cy="199097"/>
          </a:xfrm>
          <a:prstGeom prst="rect">
            <a:avLst/>
          </a:prstGeom>
          <a:solidFill>
            <a:schemeClr val="bg1">
              <a:lumMod val="85000"/>
              <a:alpha val="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sp macro="[0]!Copia_Negrita" textlink="">
        <xdr:nvSpPr>
          <xdr:cNvPr id="10" name="NEGRITA"/>
          <xdr:cNvSpPr/>
        </xdr:nvSpPr>
        <xdr:spPr>
          <a:xfrm>
            <a:off x="0" y="1793328"/>
            <a:ext cx="717730" cy="197017"/>
          </a:xfrm>
          <a:prstGeom prst="rect">
            <a:avLst/>
          </a:prstGeom>
          <a:solidFill>
            <a:schemeClr val="bg1">
              <a:lumMod val="85000"/>
              <a:alpha val="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sp macro="[0]!Copia_Espacios" textlink="">
        <xdr:nvSpPr>
          <xdr:cNvPr id="11" name="ESPACIOS"/>
          <xdr:cNvSpPr/>
        </xdr:nvSpPr>
        <xdr:spPr>
          <a:xfrm>
            <a:off x="0" y="2065774"/>
            <a:ext cx="717730" cy="199096"/>
          </a:xfrm>
          <a:prstGeom prst="rect">
            <a:avLst/>
          </a:prstGeom>
          <a:solidFill>
            <a:schemeClr val="bg1">
              <a:lumMod val="85000"/>
              <a:alpha val="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sp macro="[0]!Copia_Color_Texto_Rojo" textlink="">
        <xdr:nvSpPr>
          <xdr:cNvPr id="12" name="TEXTO ROJO"/>
          <xdr:cNvSpPr/>
        </xdr:nvSpPr>
        <xdr:spPr>
          <a:xfrm>
            <a:off x="0" y="2338552"/>
            <a:ext cx="717730" cy="197017"/>
          </a:xfrm>
          <a:prstGeom prst="rect">
            <a:avLst/>
          </a:prstGeom>
          <a:solidFill>
            <a:schemeClr val="bg1">
              <a:lumMod val="85000"/>
              <a:alpha val="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sp macro="[0]!Copia_Color_Texto_Azul" textlink="">
        <xdr:nvSpPr>
          <xdr:cNvPr id="13" name="TEXTO AZUL"/>
          <xdr:cNvSpPr/>
        </xdr:nvSpPr>
        <xdr:spPr>
          <a:xfrm>
            <a:off x="0" y="2614448"/>
            <a:ext cx="717730" cy="197017"/>
          </a:xfrm>
          <a:prstGeom prst="rect">
            <a:avLst/>
          </a:prstGeom>
          <a:solidFill>
            <a:schemeClr val="bg1">
              <a:lumMod val="85000"/>
              <a:alpha val="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sp macro="[0]!Copia_Color_Texto_Otro" textlink="">
        <xdr:nvSpPr>
          <xdr:cNvPr id="14" name="TEXTO OTRO"/>
          <xdr:cNvSpPr/>
        </xdr:nvSpPr>
        <xdr:spPr>
          <a:xfrm>
            <a:off x="0" y="2903483"/>
            <a:ext cx="717730" cy="197017"/>
          </a:xfrm>
          <a:prstGeom prst="rect">
            <a:avLst/>
          </a:prstGeom>
          <a:solidFill>
            <a:schemeClr val="bg1">
              <a:lumMod val="85000"/>
              <a:alpha val="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sp macro="[0]!Copia_Imagen" textlink="">
        <xdr:nvSpPr>
          <xdr:cNvPr id="15" name="INSERTARI IMAGENES"/>
          <xdr:cNvSpPr/>
        </xdr:nvSpPr>
        <xdr:spPr>
          <a:xfrm>
            <a:off x="0" y="3192517"/>
            <a:ext cx="717730" cy="427819"/>
          </a:xfrm>
          <a:prstGeom prst="rect">
            <a:avLst/>
          </a:prstGeom>
          <a:solidFill>
            <a:schemeClr val="bg1">
              <a:lumMod val="85000"/>
              <a:alpha val="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sp macro="[0]!Celdas_Formulas_INFORMACION" textlink="">
        <xdr:nvSpPr>
          <xdr:cNvPr id="16" name="USAR VARIABLES"/>
          <xdr:cNvSpPr/>
        </xdr:nvSpPr>
        <xdr:spPr>
          <a:xfrm>
            <a:off x="0" y="3731172"/>
            <a:ext cx="717730" cy="449467"/>
          </a:xfrm>
          <a:prstGeom prst="rect">
            <a:avLst/>
          </a:prstGeom>
          <a:solidFill>
            <a:schemeClr val="bg1">
              <a:lumMod val="85000"/>
              <a:alpha val="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sp macro="[0]!Celdas_Formulas_Activar" textlink="">
        <xdr:nvSpPr>
          <xdr:cNvPr id="17" name="ACTIVAR VARIABLES"/>
          <xdr:cNvSpPr/>
        </xdr:nvSpPr>
        <xdr:spPr>
          <a:xfrm>
            <a:off x="0" y="4269828"/>
            <a:ext cx="717730" cy="195647"/>
          </a:xfrm>
          <a:prstGeom prst="rect">
            <a:avLst/>
          </a:prstGeom>
          <a:solidFill>
            <a:schemeClr val="bg1">
              <a:lumMod val="85000"/>
              <a:alpha val="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sp macro="[0]!Celdas_Formulas_Desactivar" textlink="">
        <xdr:nvSpPr>
          <xdr:cNvPr id="18" name="DESACTIVAR VARIABLES"/>
          <xdr:cNvSpPr/>
        </xdr:nvSpPr>
        <xdr:spPr>
          <a:xfrm>
            <a:off x="0" y="4539155"/>
            <a:ext cx="717730" cy="195647"/>
          </a:xfrm>
          <a:prstGeom prst="rect">
            <a:avLst/>
          </a:prstGeom>
          <a:solidFill>
            <a:schemeClr val="bg1">
              <a:lumMod val="85000"/>
              <a:alpha val="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grpSp>
    <xdr:clientData/>
  </xdr:twoCellAnchor>
  <xdr:twoCellAnchor>
    <xdr:from>
      <xdr:col>26</xdr:col>
      <xdr:colOff>0</xdr:colOff>
      <xdr:row>1</xdr:row>
      <xdr:rowOff>0</xdr:rowOff>
    </xdr:from>
    <xdr:to>
      <xdr:col>27</xdr:col>
      <xdr:colOff>63659</xdr:colOff>
      <xdr:row>3</xdr:row>
      <xdr:rowOff>1</xdr:rowOff>
    </xdr:to>
    <xdr:sp macro="[0]!Limpiar_Datos_Variables" textlink="">
      <xdr:nvSpPr>
        <xdr:cNvPr id="19" name="BORRAR VARIABLES" hidden="1"/>
        <xdr:cNvSpPr/>
      </xdr:nvSpPr>
      <xdr:spPr>
        <a:xfrm>
          <a:off x="9948333" y="28222"/>
          <a:ext cx="712770" cy="345723"/>
        </a:xfrm>
        <a:prstGeom prst="rect">
          <a:avLst/>
        </a:prstGeom>
        <a:solidFill>
          <a:schemeClr val="bg1">
            <a:lumMod val="85000"/>
            <a:alpha val="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clientData/>
  </xdr:twoCellAnchor>
  <xdr:twoCellAnchor>
    <xdr:from>
      <xdr:col>11</xdr:col>
      <xdr:colOff>0</xdr:colOff>
      <xdr:row>1</xdr:row>
      <xdr:rowOff>0</xdr:rowOff>
    </xdr:from>
    <xdr:to>
      <xdr:col>22</xdr:col>
      <xdr:colOff>331770</xdr:colOff>
      <xdr:row>3</xdr:row>
      <xdr:rowOff>1</xdr:rowOff>
    </xdr:to>
    <xdr:grpSp>
      <xdr:nvGrpSpPr>
        <xdr:cNvPr id="28" name="G Menu SUPERIOR"/>
        <xdr:cNvGrpSpPr/>
      </xdr:nvGrpSpPr>
      <xdr:grpSpPr>
        <a:xfrm>
          <a:off x="4327071" y="27214"/>
          <a:ext cx="4522770" cy="340180"/>
          <a:chOff x="4324350" y="28575"/>
          <a:chExt cx="4522770" cy="342901"/>
        </a:xfrm>
      </xdr:grpSpPr>
      <xdr:sp macro="[0]!IR_DATOS_GENERALES" textlink="">
        <xdr:nvSpPr>
          <xdr:cNvPr id="20" name="DATOS GENERALES"/>
          <xdr:cNvSpPr/>
        </xdr:nvSpPr>
        <xdr:spPr>
          <a:xfrm>
            <a:off x="4324350" y="28575"/>
            <a:ext cx="712770" cy="342901"/>
          </a:xfrm>
          <a:prstGeom prst="rect">
            <a:avLst/>
          </a:prstGeom>
          <a:solidFill>
            <a:schemeClr val="bg1">
              <a:lumMod val="85000"/>
              <a:alpha val="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sp macro="[0]!IR_BANCO_PREGUNTAS" textlink="">
        <xdr:nvSpPr>
          <xdr:cNvPr id="21" name="BANCO PREGUNTAS"/>
          <xdr:cNvSpPr/>
        </xdr:nvSpPr>
        <xdr:spPr>
          <a:xfrm>
            <a:off x="5086350" y="28575"/>
            <a:ext cx="712770" cy="342901"/>
          </a:xfrm>
          <a:prstGeom prst="rect">
            <a:avLst/>
          </a:prstGeom>
          <a:solidFill>
            <a:schemeClr val="bg1">
              <a:lumMod val="85000"/>
              <a:alpha val="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sp macro="[0]!Limpiar_Datos_Formulario" textlink="">
        <xdr:nvSpPr>
          <xdr:cNvPr id="22" name="LIMPIAR DATOS"/>
          <xdr:cNvSpPr/>
        </xdr:nvSpPr>
        <xdr:spPr>
          <a:xfrm>
            <a:off x="5848350" y="28575"/>
            <a:ext cx="712770" cy="342901"/>
          </a:xfrm>
          <a:prstGeom prst="rect">
            <a:avLst/>
          </a:prstGeom>
          <a:solidFill>
            <a:schemeClr val="bg1">
              <a:lumMod val="85000"/>
              <a:alpha val="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sp macro="[0]!Guardar_Pregunta" textlink="">
        <xdr:nvSpPr>
          <xdr:cNvPr id="23" name="GUARDAR PREGUNTAS"/>
          <xdr:cNvSpPr/>
        </xdr:nvSpPr>
        <xdr:spPr>
          <a:xfrm>
            <a:off x="6610350" y="28575"/>
            <a:ext cx="712770" cy="342901"/>
          </a:xfrm>
          <a:prstGeom prst="rect">
            <a:avLst/>
          </a:prstGeom>
          <a:solidFill>
            <a:schemeClr val="bg1">
              <a:lumMod val="85000"/>
              <a:alpha val="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sp macro="[0]!Borrar_Pregunta" textlink="">
        <xdr:nvSpPr>
          <xdr:cNvPr id="24" name="BORRAR PREGUNTAS"/>
          <xdr:cNvSpPr/>
        </xdr:nvSpPr>
        <xdr:spPr>
          <a:xfrm>
            <a:off x="7372350" y="28575"/>
            <a:ext cx="712770" cy="342901"/>
          </a:xfrm>
          <a:prstGeom prst="rect">
            <a:avLst/>
          </a:prstGeom>
          <a:solidFill>
            <a:schemeClr val="bg1">
              <a:lumMod val="85000"/>
              <a:alpha val="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sp macro="[0]!Formato_FORMULARIO" textlink="">
        <xdr:nvSpPr>
          <xdr:cNvPr id="25" name="DAR FORMATO"/>
          <xdr:cNvSpPr/>
        </xdr:nvSpPr>
        <xdr:spPr>
          <a:xfrm>
            <a:off x="8134350" y="28575"/>
            <a:ext cx="712770" cy="342901"/>
          </a:xfrm>
          <a:prstGeom prst="rect">
            <a:avLst/>
          </a:prstGeom>
          <a:solidFill>
            <a:schemeClr val="bg1">
              <a:lumMod val="85000"/>
              <a:alpha val="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grpSp>
    <xdr:clientData/>
  </xdr:twoCellAnchor>
  <xdr:oneCellAnchor>
    <xdr:from>
      <xdr:col>13</xdr:col>
      <xdr:colOff>0</xdr:colOff>
      <xdr:row>4</xdr:row>
      <xdr:rowOff>0</xdr:rowOff>
    </xdr:from>
    <xdr:ext cx="1520162" cy="170703"/>
    <xdr:pic macro="[0]!Almacenar_Formulas">
      <xdr:nvPicPr>
        <xdr:cNvPr id="41" name="ALMACENAR FORMULAS"/>
        <xdr:cNvPicPr>
          <a:picLocks noChangeAspect="1"/>
        </xdr:cNvPicPr>
      </xdr:nvPicPr>
      <xdr:blipFill>
        <a:blip xmlns:r="http://schemas.openxmlformats.org/officeDocument/2006/relationships" r:embed="rId6"/>
        <a:stretch>
          <a:fillRect/>
        </a:stretch>
      </xdr:blipFill>
      <xdr:spPr>
        <a:xfrm>
          <a:off x="5086350" y="447675"/>
          <a:ext cx="1520162" cy="170703"/>
        </a:xfrm>
        <a:prstGeom prst="rect">
          <a:avLst/>
        </a:prstGeom>
      </xdr:spPr>
    </xdr:pic>
    <xdr:clientData/>
  </xdr:oneCellAnchor>
  <xdr:twoCellAnchor>
    <xdr:from>
      <xdr:col>11</xdr:col>
      <xdr:colOff>0</xdr:colOff>
      <xdr:row>3</xdr:row>
      <xdr:rowOff>66675</xdr:rowOff>
    </xdr:from>
    <xdr:to>
      <xdr:col>12</xdr:col>
      <xdr:colOff>323850</xdr:colOff>
      <xdr:row>5</xdr:row>
      <xdr:rowOff>9525</xdr:rowOff>
    </xdr:to>
    <xdr:grpSp>
      <xdr:nvGrpSpPr>
        <xdr:cNvPr id="26" name="G Pregunta"/>
        <xdr:cNvGrpSpPr/>
      </xdr:nvGrpSpPr>
      <xdr:grpSpPr>
        <a:xfrm>
          <a:off x="4327071" y="434068"/>
          <a:ext cx="704850" cy="208189"/>
          <a:chOff x="4336761" y="441925"/>
          <a:chExt cx="706342" cy="209839"/>
        </a:xfrm>
      </xdr:grpSpPr>
      <xdr:sp macro="[0]!Elegir_Pregunta" textlink="">
        <xdr:nvSpPr>
          <xdr:cNvPr id="32" name="Pregunta"/>
          <xdr:cNvSpPr/>
        </xdr:nvSpPr>
        <xdr:spPr>
          <a:xfrm>
            <a:off x="4336761" y="454602"/>
            <a:ext cx="346364" cy="180398"/>
          </a:xfrm>
          <a:prstGeom prst="rect">
            <a:avLst/>
          </a:prstGeom>
          <a:solidFill>
            <a:schemeClr val="bg1">
              <a:lumMod val="85000"/>
              <a:alpha val="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mc:AlternateContent xmlns:mc="http://schemas.openxmlformats.org/markup-compatibility/2006">
        <mc:Choice xmlns:a14="http://schemas.microsoft.com/office/drawing/2010/main" Requires="a14">
          <xdr:sp macro="" textlink="">
            <xdr:nvSpPr>
              <xdr:cNvPr id="5123" name="Contador 1" descr="Para consultar los datos de cada pregunta." hidden="1">
                <a:extLst>
                  <a:ext uri="{63B3BB69-23CF-44E3-9099-C40C66FF867C}">
                    <a14:compatExt spid="_x0000_s5123"/>
                  </a:ext>
                </a:extLst>
              </xdr:cNvPr>
              <xdr:cNvSpPr/>
            </xdr:nvSpPr>
            <xdr:spPr bwMode="auto">
              <a:xfrm>
                <a:off x="4728730" y="441925"/>
                <a:ext cx="85725" cy="209839"/>
              </a:xfrm>
              <a:prstGeom prst="rect">
                <a:avLst/>
              </a:prstGeom>
              <a:noFill/>
              <a:ln w="9525">
                <a:miter lim="800000"/>
                <a:headEnd/>
                <a:tailEnd/>
              </a:ln>
            </xdr:spPr>
          </xdr:sp>
        </mc:Choice>
        <mc:Fallback/>
      </mc:AlternateContent>
      <mc:AlternateContent xmlns:mc="http://schemas.openxmlformats.org/markup-compatibility/2006">
        <mc:Choice xmlns:a14="http://schemas.microsoft.com/office/drawing/2010/main" Requires="a14">
          <xdr:sp macro="" textlink="">
            <xdr:nvSpPr>
              <xdr:cNvPr id="5124" name="Box PREGUNTA" hidden="1">
                <a:extLst>
                  <a:ext uri="{63B3BB69-23CF-44E3-9099-C40C66FF867C}">
                    <a14:compatExt spid="_x0000_s5124"/>
                  </a:ext>
                </a:extLst>
              </xdr:cNvPr>
              <xdr:cNvSpPr/>
            </xdr:nvSpPr>
            <xdr:spPr bwMode="auto">
              <a:xfrm>
                <a:off x="4804972" y="454602"/>
                <a:ext cx="238131" cy="187614"/>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mc:Choice>
        <mc:Fallback/>
      </mc:AlternateContent>
    </xdr:grpSp>
    <xdr:clientData/>
  </xdr:twoCellAnchor>
  <xdr:twoCellAnchor>
    <xdr:from>
      <xdr:col>7</xdr:col>
      <xdr:colOff>0</xdr:colOff>
      <xdr:row>3</xdr:row>
      <xdr:rowOff>57150</xdr:rowOff>
    </xdr:from>
    <xdr:to>
      <xdr:col>8</xdr:col>
      <xdr:colOff>123825</xdr:colOff>
      <xdr:row>5</xdr:row>
      <xdr:rowOff>0</xdr:rowOff>
    </xdr:to>
    <xdr:grpSp>
      <xdr:nvGrpSpPr>
        <xdr:cNvPr id="27" name="G Pregunta Inicial"/>
        <xdr:cNvGrpSpPr/>
      </xdr:nvGrpSpPr>
      <xdr:grpSpPr>
        <a:xfrm>
          <a:off x="2803071" y="424543"/>
          <a:ext cx="504825" cy="208189"/>
          <a:chOff x="2806989" y="432377"/>
          <a:chExt cx="506257" cy="209839"/>
        </a:xfrm>
      </xdr:grpSpPr>
      <xdr:sp macro="" textlink="">
        <xdr:nvSpPr>
          <xdr:cNvPr id="34" name="NADA"/>
          <xdr:cNvSpPr/>
        </xdr:nvSpPr>
        <xdr:spPr>
          <a:xfrm>
            <a:off x="2806989" y="454602"/>
            <a:ext cx="346364" cy="180398"/>
          </a:xfrm>
          <a:prstGeom prst="rect">
            <a:avLst/>
          </a:prstGeom>
          <a:solidFill>
            <a:schemeClr val="bg1">
              <a:lumMod val="85000"/>
              <a:alpha val="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mc:AlternateContent xmlns:mc="http://schemas.openxmlformats.org/markup-compatibility/2006">
        <mc:Choice xmlns:a14="http://schemas.microsoft.com/office/drawing/2010/main" Requires="a14">
          <xdr:sp macro="" textlink="">
            <xdr:nvSpPr>
              <xdr:cNvPr id="5121" name="Contador 10" descr="Para consultar los datos de cada pregunta." hidden="1">
                <a:extLst>
                  <a:ext uri="{63B3BB69-23CF-44E3-9099-C40C66FF867C}">
                    <a14:compatExt spid="_x0000_s5121"/>
                  </a:ext>
                </a:extLst>
              </xdr:cNvPr>
              <xdr:cNvSpPr/>
            </xdr:nvSpPr>
            <xdr:spPr bwMode="auto">
              <a:xfrm>
                <a:off x="3140364" y="432377"/>
                <a:ext cx="87168" cy="209839"/>
              </a:xfrm>
              <a:prstGeom prst="rect">
                <a:avLst/>
              </a:prstGeom>
              <a:noFill/>
              <a:ln w="9525">
                <a:miter lim="800000"/>
                <a:headEnd/>
                <a:tailEnd/>
              </a:ln>
            </xdr:spPr>
          </xdr:sp>
        </mc:Choice>
        <mc:Fallback/>
      </mc:AlternateContent>
      <mc:AlternateContent xmlns:mc="http://schemas.openxmlformats.org/markup-compatibility/2006">
        <mc:Choice xmlns:a14="http://schemas.microsoft.com/office/drawing/2010/main" Requires="a14">
          <xdr:sp macro="" textlink="">
            <xdr:nvSpPr>
              <xdr:cNvPr id="5122" name="Contador 100" descr="Para consultar los datos de cada pregunta." hidden="1">
                <a:extLst>
                  <a:ext uri="{63B3BB69-23CF-44E3-9099-C40C66FF867C}">
                    <a14:compatExt spid="_x0000_s5122"/>
                  </a:ext>
                </a:extLst>
              </xdr:cNvPr>
              <xdr:cNvSpPr/>
            </xdr:nvSpPr>
            <xdr:spPr bwMode="auto">
              <a:xfrm>
                <a:off x="3227521" y="432377"/>
                <a:ext cx="85725" cy="209839"/>
              </a:xfrm>
              <a:prstGeom prst="rect">
                <a:avLst/>
              </a:prstGeom>
              <a:noFill/>
              <a:ln w="9525">
                <a:miter lim="800000"/>
                <a:headEnd/>
                <a:tailEnd/>
              </a:ln>
            </xdr:spPr>
          </xdr:sp>
        </mc:Choice>
        <mc:Fallback/>
      </mc:AlternateContent>
    </xdr:grpSp>
    <xdr:clientData/>
  </xdr:twoCellAnchor>
  <xdr:twoCellAnchor editAs="oneCell">
    <xdr:from>
      <xdr:col>1</xdr:col>
      <xdr:colOff>153866</xdr:colOff>
      <xdr:row>7</xdr:row>
      <xdr:rowOff>29308</xdr:rowOff>
    </xdr:from>
    <xdr:to>
      <xdr:col>2</xdr:col>
      <xdr:colOff>264276</xdr:colOff>
      <xdr:row>9</xdr:row>
      <xdr:rowOff>24454</xdr:rowOff>
    </xdr:to>
    <xdr:pic macro="[0]!IR_INICIO">
      <xdr:nvPicPr>
        <xdr:cNvPr id="38" name="Casa_F_Gris"/>
        <xdr:cNvPicPr>
          <a:picLocks noChangeAspect="1"/>
        </xdr:cNvPicPr>
      </xdr:nvPicPr>
      <xdr:blipFill>
        <a:blip xmlns:r="http://schemas.openxmlformats.org/officeDocument/2006/relationships" r:embed="rId7"/>
        <a:stretch>
          <a:fillRect/>
        </a:stretch>
      </xdr:blipFill>
      <xdr:spPr>
        <a:xfrm>
          <a:off x="868241" y="934183"/>
          <a:ext cx="291385" cy="261846"/>
        </a:xfrm>
        <a:prstGeom prst="rect">
          <a:avLst/>
        </a:prstGeom>
      </xdr:spPr>
    </xdr:pic>
    <xdr:clientData/>
  </xdr:twoCellAnchor>
</xdr:wsDr>
</file>

<file path=xl/drawings/drawing7.xml><?xml version="1.0" encoding="utf-8"?>
<xdr:wsDr xmlns:xdr="http://schemas.openxmlformats.org/drawingml/2006/spreadsheetDrawing" xmlns:a="http://schemas.openxmlformats.org/drawingml/2006/main">
  <xdr:twoCellAnchor>
    <xdr:from>
      <xdr:col>0</xdr:col>
      <xdr:colOff>0</xdr:colOff>
      <xdr:row>0</xdr:row>
      <xdr:rowOff>0</xdr:rowOff>
    </xdr:from>
    <xdr:to>
      <xdr:col>1</xdr:col>
      <xdr:colOff>183837</xdr:colOff>
      <xdr:row>0</xdr:row>
      <xdr:rowOff>321878</xdr:rowOff>
    </xdr:to>
    <xdr:pic>
      <xdr:nvPicPr>
        <xdr:cNvPr id="8" name="UCA">
          <a:hlinkClick xmlns:r="http://schemas.openxmlformats.org/officeDocument/2006/relationships" r:id="rId1"/>
        </xdr:cNvPr>
        <xdr:cNvPicPr>
          <a:picLocks noChangeAspect="1"/>
        </xdr:cNvPicPr>
      </xdr:nvPicPr>
      <xdr:blipFill>
        <a:blip xmlns:r="http://schemas.openxmlformats.org/officeDocument/2006/relationships" r:embed="rId2" cstate="print">
          <a:extLst>
            <a:ext uri="{28A0092B-C50C-407E-A947-70E740481C1C}">
              <a14:useLocalDpi xmlns:a14="http://schemas.microsoft.com/office/drawing/2010/main" val="0"/>
            </a:ext>
          </a:extLst>
        </a:blip>
        <a:stretch>
          <a:fillRect/>
        </a:stretch>
      </xdr:blipFill>
      <xdr:spPr>
        <a:xfrm>
          <a:off x="0" y="0"/>
          <a:ext cx="830176" cy="321878"/>
        </a:xfrm>
        <a:prstGeom prst="rect">
          <a:avLst/>
        </a:prstGeom>
        <a:ln w="12700">
          <a:solidFill>
            <a:srgbClr val="E87B00"/>
          </a:solidFill>
        </a:ln>
      </xdr:spPr>
    </xdr:pic>
    <xdr:clientData/>
  </xdr:twoCellAnchor>
  <xdr:twoCellAnchor>
    <xdr:from>
      <xdr:col>6</xdr:col>
      <xdr:colOff>0</xdr:colOff>
      <xdr:row>0</xdr:row>
      <xdr:rowOff>0</xdr:rowOff>
    </xdr:from>
    <xdr:to>
      <xdr:col>7</xdr:col>
      <xdr:colOff>14915</xdr:colOff>
      <xdr:row>1</xdr:row>
      <xdr:rowOff>68566</xdr:rowOff>
    </xdr:to>
    <xdr:grpSp>
      <xdr:nvGrpSpPr>
        <xdr:cNvPr id="36" name="G FTP_MOODLE"/>
        <xdr:cNvGrpSpPr/>
      </xdr:nvGrpSpPr>
      <xdr:grpSpPr>
        <a:xfrm>
          <a:off x="2687411" y="0"/>
          <a:ext cx="2974468" cy="572030"/>
          <a:chOff x="2844102" y="0"/>
          <a:chExt cx="2974468" cy="572030"/>
        </a:xfrm>
      </xdr:grpSpPr>
      <xdr:pic>
        <xdr:nvPicPr>
          <xdr:cNvPr id="37" name="FTP-MOODLE"/>
          <xdr:cNvPicPr>
            <a:picLocks noChangeAspect="1"/>
          </xdr:cNvPicPr>
        </xdr:nvPicPr>
        <xdr:blipFill rotWithShape="1">
          <a:blip xmlns:r="http://schemas.openxmlformats.org/officeDocument/2006/relationships" r:embed="rId3"/>
          <a:srcRect l="62747"/>
          <a:stretch/>
        </xdr:blipFill>
        <xdr:spPr>
          <a:xfrm>
            <a:off x="4838037" y="0"/>
            <a:ext cx="980533" cy="572030"/>
          </a:xfrm>
          <a:prstGeom prst="rect">
            <a:avLst/>
          </a:prstGeom>
        </xdr:spPr>
      </xdr:pic>
      <xdr:cxnSp macro="">
        <xdr:nvCxnSpPr>
          <xdr:cNvPr id="38" name="LINEA H"/>
          <xdr:cNvCxnSpPr/>
        </xdr:nvCxnSpPr>
        <xdr:spPr>
          <a:xfrm>
            <a:off x="2844102" y="261934"/>
            <a:ext cx="1836000"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xnSp macro="">
        <xdr:nvCxnSpPr>
          <xdr:cNvPr id="39" name="LINEA V"/>
          <xdr:cNvCxnSpPr/>
        </xdr:nvCxnSpPr>
        <xdr:spPr>
          <a:xfrm>
            <a:off x="4674733" y="1"/>
            <a:ext cx="0" cy="522170"/>
          </a:xfrm>
          <a:prstGeom prst="line">
            <a:avLst/>
          </a:prstGeom>
          <a:ln w="19050">
            <a:solidFill>
              <a:schemeClr val="bg1"/>
            </a:solidFill>
          </a:ln>
        </xdr:spPr>
        <xdr:style>
          <a:lnRef idx="1">
            <a:schemeClr val="accent1"/>
          </a:lnRef>
          <a:fillRef idx="0">
            <a:schemeClr val="accent1"/>
          </a:fillRef>
          <a:effectRef idx="0">
            <a:schemeClr val="accent1"/>
          </a:effectRef>
          <a:fontRef idx="minor">
            <a:schemeClr val="tx1"/>
          </a:fontRef>
        </xdr:style>
      </xdr:cxnSp>
    </xdr:grpSp>
    <xdr:clientData/>
  </xdr:twoCellAnchor>
  <xdr:twoCellAnchor>
    <xdr:from>
      <xdr:col>5</xdr:col>
      <xdr:colOff>0</xdr:colOff>
      <xdr:row>0</xdr:row>
      <xdr:rowOff>0</xdr:rowOff>
    </xdr:from>
    <xdr:to>
      <xdr:col>6</xdr:col>
      <xdr:colOff>95164</xdr:colOff>
      <xdr:row>0</xdr:row>
      <xdr:rowOff>496777</xdr:rowOff>
    </xdr:to>
    <xdr:grpSp>
      <xdr:nvGrpSpPr>
        <xdr:cNvPr id="21" name="Ir a"/>
        <xdr:cNvGrpSpPr/>
      </xdr:nvGrpSpPr>
      <xdr:grpSpPr>
        <a:xfrm>
          <a:off x="1979839" y="0"/>
          <a:ext cx="802736" cy="496777"/>
          <a:chOff x="2090986" y="0"/>
          <a:chExt cx="802736" cy="496777"/>
        </a:xfrm>
      </xdr:grpSpPr>
      <xdr:cxnSp macro="">
        <xdr:nvCxnSpPr>
          <xdr:cNvPr id="22" name="LINEA"/>
          <xdr:cNvCxnSpPr/>
        </xdr:nvCxnSpPr>
        <xdr:spPr>
          <a:xfrm>
            <a:off x="2090986" y="319012"/>
            <a:ext cx="702000"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sp macro="[0]!IR_DATOS_GENERALES" textlink="">
        <xdr:nvSpPr>
          <xdr:cNvPr id="23" name="DATOS GENERALES"/>
          <xdr:cNvSpPr/>
        </xdr:nvSpPr>
        <xdr:spPr>
          <a:xfrm>
            <a:off x="2169091" y="0"/>
            <a:ext cx="724631" cy="321666"/>
          </a:xfrm>
          <a:prstGeom prst="rect">
            <a:avLst/>
          </a:prstGeom>
          <a:solidFill>
            <a:schemeClr val="bg1">
              <a:lumMod val="85000"/>
              <a:alpha val="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sp macro="[0]!IR_FORMULARIO" textlink="">
        <xdr:nvSpPr>
          <xdr:cNvPr id="24" name="FORMULARIO"/>
          <xdr:cNvSpPr/>
        </xdr:nvSpPr>
        <xdr:spPr>
          <a:xfrm>
            <a:off x="2175854" y="355886"/>
            <a:ext cx="716703" cy="140891"/>
          </a:xfrm>
          <a:prstGeom prst="rect">
            <a:avLst/>
          </a:prstGeom>
          <a:solidFill>
            <a:schemeClr val="bg1">
              <a:lumMod val="85000"/>
              <a:alpha val="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grpSp>
    <xdr:clientData/>
  </xdr:twoCellAnchor>
  <xdr:twoCellAnchor>
    <xdr:from>
      <xdr:col>6</xdr:col>
      <xdr:colOff>0</xdr:colOff>
      <xdr:row>0</xdr:row>
      <xdr:rowOff>0</xdr:rowOff>
    </xdr:from>
    <xdr:to>
      <xdr:col>6</xdr:col>
      <xdr:colOff>1930621</xdr:colOff>
      <xdr:row>0</xdr:row>
      <xdr:rowOff>472644</xdr:rowOff>
    </xdr:to>
    <xdr:grpSp>
      <xdr:nvGrpSpPr>
        <xdr:cNvPr id="33" name="PREGUNTA"/>
        <xdr:cNvGrpSpPr/>
      </xdr:nvGrpSpPr>
      <xdr:grpSpPr>
        <a:xfrm>
          <a:off x="2687411" y="0"/>
          <a:ext cx="1930621" cy="472644"/>
          <a:chOff x="2837089" y="19938"/>
          <a:chExt cx="1930621" cy="472644"/>
        </a:xfrm>
      </xdr:grpSpPr>
      <xdr:sp macro="[0]!INSERTAR_PREGUNTA" textlink="">
        <xdr:nvSpPr>
          <xdr:cNvPr id="34" name="INSERTAR"/>
          <xdr:cNvSpPr/>
        </xdr:nvSpPr>
        <xdr:spPr>
          <a:xfrm>
            <a:off x="2837089" y="19938"/>
            <a:ext cx="1914292" cy="204580"/>
          </a:xfrm>
          <a:prstGeom prst="rect">
            <a:avLst/>
          </a:prstGeom>
          <a:solidFill>
            <a:schemeClr val="bg1">
              <a:lumMod val="85000"/>
              <a:alpha val="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sp macro="[0]!BORRAR_PREGUNTA_DATOS" textlink="">
        <xdr:nvSpPr>
          <xdr:cNvPr id="35" name="BORRAR"/>
          <xdr:cNvSpPr/>
        </xdr:nvSpPr>
        <xdr:spPr>
          <a:xfrm>
            <a:off x="2853418" y="288002"/>
            <a:ext cx="1914292" cy="204580"/>
          </a:xfrm>
          <a:prstGeom prst="rect">
            <a:avLst/>
          </a:prstGeom>
          <a:solidFill>
            <a:schemeClr val="bg1">
              <a:lumMod val="85000"/>
              <a:alpha val="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grpSp>
    <xdr:clientData/>
  </xdr:twoCellAnchor>
  <xdr:twoCellAnchor editAs="oneCell">
    <xdr:from>
      <xdr:col>6</xdr:col>
      <xdr:colOff>2612571</xdr:colOff>
      <xdr:row>1</xdr:row>
      <xdr:rowOff>47625</xdr:rowOff>
    </xdr:from>
    <xdr:to>
      <xdr:col>6</xdr:col>
      <xdr:colOff>2907643</xdr:colOff>
      <xdr:row>1</xdr:row>
      <xdr:rowOff>301241</xdr:rowOff>
    </xdr:to>
    <xdr:pic macro="[0]!IR_INICIO">
      <xdr:nvPicPr>
        <xdr:cNvPr id="15" name="Casa_F_Naranja"/>
        <xdr:cNvPicPr>
          <a:picLocks noChangeAspect="1"/>
        </xdr:cNvPicPr>
      </xdr:nvPicPr>
      <xdr:blipFill>
        <a:blip xmlns:r="http://schemas.openxmlformats.org/officeDocument/2006/relationships" r:embed="rId4"/>
        <a:stretch>
          <a:fillRect/>
        </a:stretch>
      </xdr:blipFill>
      <xdr:spPr>
        <a:xfrm>
          <a:off x="5299982" y="551089"/>
          <a:ext cx="295072" cy="253616"/>
        </a:xfrm>
        <a:prstGeom prst="rect">
          <a:avLst/>
        </a:prstGeom>
      </xdr:spPr>
    </xdr:pic>
    <xdr:clientData/>
  </xdr:twoCellAnchor>
</xdr:wsDr>
</file>

<file path=xl/drawings/drawing8.xml><?xml version="1.0" encoding="utf-8"?>
<xdr:wsDr xmlns:xdr="http://schemas.openxmlformats.org/drawingml/2006/spreadsheetDrawing" xmlns:a="http://schemas.openxmlformats.org/drawingml/2006/main">
  <xdr:twoCellAnchor editAs="oneCell">
    <xdr:from>
      <xdr:col>1</xdr:col>
      <xdr:colOff>0</xdr:colOff>
      <xdr:row>11</xdr:row>
      <xdr:rowOff>0</xdr:rowOff>
    </xdr:from>
    <xdr:to>
      <xdr:col>6</xdr:col>
      <xdr:colOff>373673</xdr:colOff>
      <xdr:row>14</xdr:row>
      <xdr:rowOff>4646</xdr:rowOff>
    </xdr:to>
    <xdr:pic>
      <xdr:nvPicPr>
        <xdr:cNvPr id="2" name="MOODLE">
          <a:hlinkClick xmlns:r="http://schemas.openxmlformats.org/officeDocument/2006/relationships" r:id="rId1"/>
        </xdr:cNvPr>
        <xdr:cNvPicPr>
          <a:picLocks noChangeAspect="1"/>
        </xdr:cNvPicPr>
      </xdr:nvPicPr>
      <xdr:blipFill rotWithShape="1">
        <a:blip xmlns:r="http://schemas.openxmlformats.org/officeDocument/2006/relationships" r:embed="rId2"/>
        <a:srcRect l="-29988" t="2" r="-446380" b="5496"/>
        <a:stretch/>
      </xdr:blipFill>
      <xdr:spPr>
        <a:xfrm>
          <a:off x="714375" y="1438275"/>
          <a:ext cx="2078648" cy="347546"/>
        </a:xfrm>
        <a:prstGeom prst="rect">
          <a:avLst/>
        </a:prstGeom>
      </xdr:spPr>
    </xdr:pic>
    <xdr:clientData/>
  </xdr:twoCellAnchor>
  <xdr:twoCellAnchor editAs="oneCell">
    <xdr:from>
      <xdr:col>2</xdr:col>
      <xdr:colOff>0</xdr:colOff>
      <xdr:row>31</xdr:row>
      <xdr:rowOff>0</xdr:rowOff>
    </xdr:from>
    <xdr:to>
      <xdr:col>3</xdr:col>
      <xdr:colOff>340243</xdr:colOff>
      <xdr:row>34</xdr:row>
      <xdr:rowOff>178803</xdr:rowOff>
    </xdr:to>
    <xdr:pic macro="[0]!MENU_AYUDA">
      <xdr:nvPicPr>
        <xdr:cNvPr id="3" name="FTP"/>
        <xdr:cNvPicPr>
          <a:picLocks noChangeAspect="1"/>
        </xdr:cNvPicPr>
      </xdr:nvPicPr>
      <xdr:blipFill rotWithShape="1">
        <a:blip xmlns:r="http://schemas.openxmlformats.org/officeDocument/2006/relationships" r:embed="rId3"/>
        <a:srcRect l="8903" r="-34835" b="9685"/>
        <a:stretch/>
      </xdr:blipFill>
      <xdr:spPr>
        <a:xfrm>
          <a:off x="890827" y="4132068"/>
          <a:ext cx="723984" cy="528282"/>
        </a:xfrm>
        <a:prstGeom prst="rect">
          <a:avLst/>
        </a:prstGeom>
      </xdr:spPr>
    </xdr:pic>
    <xdr:clientData/>
  </xdr:twoCellAnchor>
  <xdr:twoCellAnchor editAs="absolute">
    <xdr:from>
      <xdr:col>18</xdr:col>
      <xdr:colOff>4121</xdr:colOff>
      <xdr:row>29</xdr:row>
      <xdr:rowOff>73900</xdr:rowOff>
    </xdr:from>
    <xdr:to>
      <xdr:col>22</xdr:col>
      <xdr:colOff>358134</xdr:colOff>
      <xdr:row>35</xdr:row>
      <xdr:rowOff>2457</xdr:rowOff>
    </xdr:to>
    <xdr:pic>
      <xdr:nvPicPr>
        <xdr:cNvPr id="34" name="UCA">
          <a:hlinkClick xmlns:r="http://schemas.openxmlformats.org/officeDocument/2006/relationships" r:id="rId4"/>
        </xdr:cNvPr>
        <xdr:cNvPicPr>
          <a:picLocks noChangeAspect="1"/>
        </xdr:cNvPicPr>
      </xdr:nvPicPr>
      <xdr:blipFill>
        <a:blip xmlns:r="http://schemas.openxmlformats.org/officeDocument/2006/relationships" r:embed="rId5" cstate="print">
          <a:extLst>
            <a:ext uri="{28A0092B-C50C-407E-A947-70E740481C1C}">
              <a14:useLocalDpi xmlns:a14="http://schemas.microsoft.com/office/drawing/2010/main" val="0"/>
            </a:ext>
          </a:extLst>
        </a:blip>
        <a:stretch>
          <a:fillRect/>
        </a:stretch>
      </xdr:blipFill>
      <xdr:spPr>
        <a:xfrm>
          <a:off x="6992056" y="3951111"/>
          <a:ext cx="1882134" cy="750346"/>
        </a:xfrm>
        <a:prstGeom prst="rect">
          <a:avLst/>
        </a:prstGeom>
        <a:ln w="25400">
          <a:solidFill>
            <a:srgbClr val="E87B00"/>
          </a:solidFill>
        </a:ln>
      </xdr:spPr>
    </xdr:pic>
    <xdr:clientData/>
  </xdr:twoCellAnchor>
  <xdr:twoCellAnchor>
    <xdr:from>
      <xdr:col>0</xdr:col>
      <xdr:colOff>0</xdr:colOff>
      <xdr:row>0</xdr:row>
      <xdr:rowOff>0</xdr:rowOff>
    </xdr:from>
    <xdr:to>
      <xdr:col>1</xdr:col>
      <xdr:colOff>1713</xdr:colOff>
      <xdr:row>34</xdr:row>
      <xdr:rowOff>197017</xdr:rowOff>
    </xdr:to>
    <xdr:grpSp>
      <xdr:nvGrpSpPr>
        <xdr:cNvPr id="29" name="G Menu LATERAL"/>
        <xdr:cNvGrpSpPr/>
      </xdr:nvGrpSpPr>
      <xdr:grpSpPr>
        <a:xfrm>
          <a:off x="0" y="0"/>
          <a:ext cx="716088" cy="4646553"/>
          <a:chOff x="0" y="0"/>
          <a:chExt cx="716088" cy="4691626"/>
        </a:xfrm>
      </xdr:grpSpPr>
      <xdr:sp macro="[0]!Copia_CODIGOS_INFORMACION" textlink="">
        <xdr:nvSpPr>
          <xdr:cNvPr id="4" name="CODIGOS ESPECIALES"/>
          <xdr:cNvSpPr/>
        </xdr:nvSpPr>
        <xdr:spPr>
          <a:xfrm>
            <a:off x="0" y="0"/>
            <a:ext cx="714483" cy="346043"/>
          </a:xfrm>
          <a:prstGeom prst="rect">
            <a:avLst/>
          </a:prstGeom>
          <a:solidFill>
            <a:schemeClr val="bg1">
              <a:lumMod val="85000"/>
              <a:alpha val="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sp macro="[0]!Copia_Formula" textlink="">
        <xdr:nvSpPr>
          <xdr:cNvPr id="5" name="FORMULA"/>
          <xdr:cNvSpPr/>
        </xdr:nvSpPr>
        <xdr:spPr>
          <a:xfrm>
            <a:off x="0" y="446484"/>
            <a:ext cx="716088" cy="198624"/>
          </a:xfrm>
          <a:prstGeom prst="rect">
            <a:avLst/>
          </a:prstGeom>
          <a:solidFill>
            <a:schemeClr val="bg1">
              <a:lumMod val="85000"/>
              <a:alpha val="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sp macro="[0]!Copia_Superindice" textlink="">
        <xdr:nvSpPr>
          <xdr:cNvPr id="6" name="SUPERINDICE"/>
          <xdr:cNvSpPr/>
        </xdr:nvSpPr>
        <xdr:spPr>
          <a:xfrm>
            <a:off x="0" y="714375"/>
            <a:ext cx="716088" cy="198624"/>
          </a:xfrm>
          <a:prstGeom prst="rect">
            <a:avLst/>
          </a:prstGeom>
          <a:solidFill>
            <a:schemeClr val="bg1">
              <a:lumMod val="85000"/>
              <a:alpha val="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sp macro="[0]!Copia_Subindice" textlink="">
        <xdr:nvSpPr>
          <xdr:cNvPr id="7" name="SUBINDICE"/>
          <xdr:cNvSpPr/>
        </xdr:nvSpPr>
        <xdr:spPr>
          <a:xfrm>
            <a:off x="0" y="982266"/>
            <a:ext cx="716088" cy="198622"/>
          </a:xfrm>
          <a:prstGeom prst="rect">
            <a:avLst/>
          </a:prstGeom>
          <a:solidFill>
            <a:schemeClr val="bg1">
              <a:lumMod val="85000"/>
              <a:alpha val="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sp macro="[0]!Copia_Salto_Linea" textlink="">
        <xdr:nvSpPr>
          <xdr:cNvPr id="8" name="SALTO LINEA"/>
          <xdr:cNvSpPr/>
        </xdr:nvSpPr>
        <xdr:spPr>
          <a:xfrm>
            <a:off x="0" y="1250156"/>
            <a:ext cx="716088" cy="197017"/>
          </a:xfrm>
          <a:prstGeom prst="rect">
            <a:avLst/>
          </a:prstGeom>
          <a:solidFill>
            <a:schemeClr val="bg1">
              <a:lumMod val="85000"/>
              <a:alpha val="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sp macro="[0]!Copia_Concatenar" textlink="">
        <xdr:nvSpPr>
          <xdr:cNvPr id="9" name="CONCATENAR"/>
          <xdr:cNvSpPr/>
        </xdr:nvSpPr>
        <xdr:spPr>
          <a:xfrm>
            <a:off x="0" y="1525488"/>
            <a:ext cx="716088" cy="198624"/>
          </a:xfrm>
          <a:prstGeom prst="rect">
            <a:avLst/>
          </a:prstGeom>
          <a:solidFill>
            <a:schemeClr val="bg1">
              <a:lumMod val="85000"/>
              <a:alpha val="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sp macro="[0]!Copia_Negrita" textlink="">
        <xdr:nvSpPr>
          <xdr:cNvPr id="10" name="NEGRITA"/>
          <xdr:cNvSpPr/>
        </xdr:nvSpPr>
        <xdr:spPr>
          <a:xfrm>
            <a:off x="0" y="1793379"/>
            <a:ext cx="716088" cy="198622"/>
          </a:xfrm>
          <a:prstGeom prst="rect">
            <a:avLst/>
          </a:prstGeom>
          <a:solidFill>
            <a:schemeClr val="bg1">
              <a:lumMod val="85000"/>
              <a:alpha val="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sp macro="[0]!Copia_Espacios" textlink="">
        <xdr:nvSpPr>
          <xdr:cNvPr id="11" name="ESPACIOS"/>
          <xdr:cNvSpPr/>
        </xdr:nvSpPr>
        <xdr:spPr>
          <a:xfrm>
            <a:off x="0" y="2062232"/>
            <a:ext cx="716088" cy="197660"/>
          </a:xfrm>
          <a:prstGeom prst="rect">
            <a:avLst/>
          </a:prstGeom>
          <a:solidFill>
            <a:schemeClr val="bg1">
              <a:lumMod val="85000"/>
              <a:alpha val="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sp macro="[0]!Copia_Color_Texto_Rojo" textlink="">
        <xdr:nvSpPr>
          <xdr:cNvPr id="12" name="TEXTO ROJO"/>
          <xdr:cNvSpPr/>
        </xdr:nvSpPr>
        <xdr:spPr>
          <a:xfrm>
            <a:off x="0" y="2329160"/>
            <a:ext cx="716088" cy="197017"/>
          </a:xfrm>
          <a:prstGeom prst="rect">
            <a:avLst/>
          </a:prstGeom>
          <a:solidFill>
            <a:schemeClr val="bg1">
              <a:lumMod val="85000"/>
              <a:alpha val="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sp macro="[0]!Copia_Color_Texto_Azul" textlink="">
        <xdr:nvSpPr>
          <xdr:cNvPr id="13" name="TEXTO AZUL"/>
          <xdr:cNvSpPr/>
        </xdr:nvSpPr>
        <xdr:spPr>
          <a:xfrm>
            <a:off x="0" y="2604492"/>
            <a:ext cx="716088" cy="198623"/>
          </a:xfrm>
          <a:prstGeom prst="rect">
            <a:avLst/>
          </a:prstGeom>
          <a:solidFill>
            <a:schemeClr val="bg1">
              <a:lumMod val="85000"/>
              <a:alpha val="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sp macro="[0]!Copia_Color_Texto_Otro" textlink="">
        <xdr:nvSpPr>
          <xdr:cNvPr id="14" name="TEXTO OTRO"/>
          <xdr:cNvSpPr/>
        </xdr:nvSpPr>
        <xdr:spPr>
          <a:xfrm>
            <a:off x="0" y="2872383"/>
            <a:ext cx="716088" cy="198623"/>
          </a:xfrm>
          <a:prstGeom prst="rect">
            <a:avLst/>
          </a:prstGeom>
          <a:solidFill>
            <a:schemeClr val="bg1">
              <a:lumMod val="85000"/>
              <a:alpha val="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sp macro="[0]!Copia_Imagen" textlink="">
        <xdr:nvSpPr>
          <xdr:cNvPr id="15" name="INSERTAR IMAGENES"/>
          <xdr:cNvSpPr/>
        </xdr:nvSpPr>
        <xdr:spPr>
          <a:xfrm>
            <a:off x="0" y="3140273"/>
            <a:ext cx="716088" cy="426382"/>
          </a:xfrm>
          <a:prstGeom prst="rect">
            <a:avLst/>
          </a:prstGeom>
          <a:solidFill>
            <a:schemeClr val="bg1">
              <a:lumMod val="85000"/>
              <a:alpha val="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sp macro="[0]!Celdas_Formulas_INFORMACION" textlink="">
        <xdr:nvSpPr>
          <xdr:cNvPr id="16" name="USAR VARIABLES"/>
          <xdr:cNvSpPr/>
        </xdr:nvSpPr>
        <xdr:spPr>
          <a:xfrm>
            <a:off x="0" y="3676055"/>
            <a:ext cx="716088" cy="448029"/>
          </a:xfrm>
          <a:prstGeom prst="rect">
            <a:avLst/>
          </a:prstGeom>
          <a:solidFill>
            <a:schemeClr val="bg1">
              <a:lumMod val="85000"/>
              <a:alpha val="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sp macro="[0]!Celdas_Formulas_Activar" textlink="">
        <xdr:nvSpPr>
          <xdr:cNvPr id="17" name="ACTIVAR VARIABLES"/>
          <xdr:cNvSpPr/>
        </xdr:nvSpPr>
        <xdr:spPr>
          <a:xfrm>
            <a:off x="0" y="4219277"/>
            <a:ext cx="716088" cy="197017"/>
          </a:xfrm>
          <a:prstGeom prst="rect">
            <a:avLst/>
          </a:prstGeom>
          <a:solidFill>
            <a:schemeClr val="bg1">
              <a:lumMod val="85000"/>
              <a:alpha val="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sp macro="[0]!Celdas_Formulas_Desactivar" textlink="">
        <xdr:nvSpPr>
          <xdr:cNvPr id="18" name="DESACTIVAR VARIABLES"/>
          <xdr:cNvSpPr/>
        </xdr:nvSpPr>
        <xdr:spPr>
          <a:xfrm>
            <a:off x="0" y="4494609"/>
            <a:ext cx="716088" cy="197017"/>
          </a:xfrm>
          <a:prstGeom prst="rect">
            <a:avLst/>
          </a:prstGeom>
          <a:solidFill>
            <a:schemeClr val="bg1">
              <a:lumMod val="85000"/>
              <a:alpha val="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grpSp>
    <xdr:clientData/>
  </xdr:twoCellAnchor>
  <xdr:twoCellAnchor>
    <xdr:from>
      <xdr:col>11</xdr:col>
      <xdr:colOff>0</xdr:colOff>
      <xdr:row>1</xdr:row>
      <xdr:rowOff>0</xdr:rowOff>
    </xdr:from>
    <xdr:to>
      <xdr:col>22</xdr:col>
      <xdr:colOff>331770</xdr:colOff>
      <xdr:row>3</xdr:row>
      <xdr:rowOff>1</xdr:rowOff>
    </xdr:to>
    <xdr:grpSp>
      <xdr:nvGrpSpPr>
        <xdr:cNvPr id="28" name="G Menu SUPERIOR"/>
        <xdr:cNvGrpSpPr/>
      </xdr:nvGrpSpPr>
      <xdr:grpSpPr>
        <a:xfrm>
          <a:off x="4327071" y="27214"/>
          <a:ext cx="4522770" cy="340180"/>
          <a:chOff x="4308574" y="29766"/>
          <a:chExt cx="4506399" cy="342305"/>
        </a:xfrm>
      </xdr:grpSpPr>
      <xdr:sp macro="[0]!IR_DATOS_GENERALES" textlink="">
        <xdr:nvSpPr>
          <xdr:cNvPr id="20" name="DATOS GENERALES"/>
          <xdr:cNvSpPr/>
        </xdr:nvSpPr>
        <xdr:spPr>
          <a:xfrm>
            <a:off x="4308574" y="29766"/>
            <a:ext cx="711282" cy="342305"/>
          </a:xfrm>
          <a:prstGeom prst="rect">
            <a:avLst/>
          </a:prstGeom>
          <a:solidFill>
            <a:schemeClr val="bg1">
              <a:lumMod val="85000"/>
              <a:alpha val="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sp macro="[0]!IR_BANCO_PREGUNTAS" textlink="">
        <xdr:nvSpPr>
          <xdr:cNvPr id="21" name="BANCO PREGUNTAS"/>
          <xdr:cNvSpPr/>
        </xdr:nvSpPr>
        <xdr:spPr>
          <a:xfrm>
            <a:off x="5067598" y="29766"/>
            <a:ext cx="711281" cy="342305"/>
          </a:xfrm>
          <a:prstGeom prst="rect">
            <a:avLst/>
          </a:prstGeom>
          <a:solidFill>
            <a:schemeClr val="bg1">
              <a:lumMod val="85000"/>
              <a:alpha val="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sp macro="[0]!Limpiar_Datos_Formulario" textlink="">
        <xdr:nvSpPr>
          <xdr:cNvPr id="22" name="LIMPIAR DATOS"/>
          <xdr:cNvSpPr/>
        </xdr:nvSpPr>
        <xdr:spPr>
          <a:xfrm>
            <a:off x="5826621" y="29766"/>
            <a:ext cx="711282" cy="342305"/>
          </a:xfrm>
          <a:prstGeom prst="rect">
            <a:avLst/>
          </a:prstGeom>
          <a:solidFill>
            <a:schemeClr val="bg1">
              <a:lumMod val="85000"/>
              <a:alpha val="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sp macro="[0]!Guardar_Pregunta" textlink="">
        <xdr:nvSpPr>
          <xdr:cNvPr id="23" name="GUARDAR PREGUNTAS"/>
          <xdr:cNvSpPr/>
        </xdr:nvSpPr>
        <xdr:spPr>
          <a:xfrm>
            <a:off x="6585645" y="29766"/>
            <a:ext cx="711281" cy="342305"/>
          </a:xfrm>
          <a:prstGeom prst="rect">
            <a:avLst/>
          </a:prstGeom>
          <a:solidFill>
            <a:schemeClr val="bg1">
              <a:lumMod val="85000"/>
              <a:alpha val="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sp macro="[0]!Borrar_Pregunta" textlink="">
        <xdr:nvSpPr>
          <xdr:cNvPr id="24" name="BORRAR PREGUNTAS"/>
          <xdr:cNvSpPr/>
        </xdr:nvSpPr>
        <xdr:spPr>
          <a:xfrm>
            <a:off x="7344668" y="29766"/>
            <a:ext cx="711282" cy="342305"/>
          </a:xfrm>
          <a:prstGeom prst="rect">
            <a:avLst/>
          </a:prstGeom>
          <a:solidFill>
            <a:schemeClr val="bg1">
              <a:lumMod val="85000"/>
              <a:alpha val="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sp macro="[0]!Formato_FORMULARIO" textlink="">
        <xdr:nvSpPr>
          <xdr:cNvPr id="25" name="DAR FORMATO"/>
          <xdr:cNvSpPr/>
        </xdr:nvSpPr>
        <xdr:spPr>
          <a:xfrm>
            <a:off x="8103691" y="29766"/>
            <a:ext cx="711282" cy="342305"/>
          </a:xfrm>
          <a:prstGeom prst="rect">
            <a:avLst/>
          </a:prstGeom>
          <a:solidFill>
            <a:schemeClr val="bg1">
              <a:lumMod val="85000"/>
              <a:alpha val="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grpSp>
    <xdr:clientData/>
  </xdr:twoCellAnchor>
  <xdr:twoCellAnchor>
    <xdr:from>
      <xdr:col>26</xdr:col>
      <xdr:colOff>0</xdr:colOff>
      <xdr:row>1</xdr:row>
      <xdr:rowOff>0</xdr:rowOff>
    </xdr:from>
    <xdr:to>
      <xdr:col>27</xdr:col>
      <xdr:colOff>159</xdr:colOff>
      <xdr:row>3</xdr:row>
      <xdr:rowOff>1</xdr:rowOff>
    </xdr:to>
    <xdr:sp macro="[0]!Limpiar_Datos_Variables" textlink="">
      <xdr:nvSpPr>
        <xdr:cNvPr id="19" name="BORRAR VARIABLES" hidden="1"/>
        <xdr:cNvSpPr/>
      </xdr:nvSpPr>
      <xdr:spPr>
        <a:xfrm>
          <a:off x="9976556" y="28222"/>
          <a:ext cx="712770" cy="345723"/>
        </a:xfrm>
        <a:prstGeom prst="rect">
          <a:avLst/>
        </a:prstGeom>
        <a:solidFill>
          <a:schemeClr val="bg1">
            <a:lumMod val="85000"/>
            <a:alpha val="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clientData/>
  </xdr:twoCellAnchor>
  <xdr:oneCellAnchor>
    <xdr:from>
      <xdr:col>13</xdr:col>
      <xdr:colOff>0</xdr:colOff>
      <xdr:row>4</xdr:row>
      <xdr:rowOff>0</xdr:rowOff>
    </xdr:from>
    <xdr:ext cx="1520162" cy="170703"/>
    <xdr:pic macro="[0]!Almacenar_Formulas">
      <xdr:nvPicPr>
        <xdr:cNvPr id="41" name="ALMACENAR FORMULAS"/>
        <xdr:cNvPicPr>
          <a:picLocks noChangeAspect="1"/>
        </xdr:cNvPicPr>
      </xdr:nvPicPr>
      <xdr:blipFill>
        <a:blip xmlns:r="http://schemas.openxmlformats.org/officeDocument/2006/relationships" r:embed="rId6"/>
        <a:stretch>
          <a:fillRect/>
        </a:stretch>
      </xdr:blipFill>
      <xdr:spPr>
        <a:xfrm>
          <a:off x="5086350" y="447675"/>
          <a:ext cx="1520162" cy="170703"/>
        </a:xfrm>
        <a:prstGeom prst="rect">
          <a:avLst/>
        </a:prstGeom>
      </xdr:spPr>
    </xdr:pic>
    <xdr:clientData/>
  </xdr:oneCellAnchor>
  <xdr:twoCellAnchor>
    <xdr:from>
      <xdr:col>11</xdr:col>
      <xdr:colOff>0</xdr:colOff>
      <xdr:row>4</xdr:row>
      <xdr:rowOff>0</xdr:rowOff>
    </xdr:from>
    <xdr:to>
      <xdr:col>12</xdr:col>
      <xdr:colOff>323850</xdr:colOff>
      <xdr:row>5</xdr:row>
      <xdr:rowOff>19050</xdr:rowOff>
    </xdr:to>
    <xdr:grpSp>
      <xdr:nvGrpSpPr>
        <xdr:cNvPr id="26" name="G Pregunta"/>
        <xdr:cNvGrpSpPr/>
      </xdr:nvGrpSpPr>
      <xdr:grpSpPr>
        <a:xfrm>
          <a:off x="4327071" y="442232"/>
          <a:ext cx="704850" cy="209550"/>
          <a:chOff x="4336761" y="454602"/>
          <a:chExt cx="706297" cy="206664"/>
        </a:xfrm>
      </xdr:grpSpPr>
      <xdr:sp macro="[0]!Elegir_Pregunta" textlink="">
        <xdr:nvSpPr>
          <xdr:cNvPr id="32" name="Pregunta"/>
          <xdr:cNvSpPr/>
        </xdr:nvSpPr>
        <xdr:spPr>
          <a:xfrm>
            <a:off x="4336761" y="454602"/>
            <a:ext cx="346364" cy="180398"/>
          </a:xfrm>
          <a:prstGeom prst="rect">
            <a:avLst/>
          </a:prstGeom>
          <a:solidFill>
            <a:schemeClr val="bg1">
              <a:lumMod val="85000"/>
              <a:alpha val="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mc:AlternateContent xmlns:mc="http://schemas.openxmlformats.org/markup-compatibility/2006">
        <mc:Choice xmlns:a14="http://schemas.microsoft.com/office/drawing/2010/main" Requires="a14">
          <xdr:sp macro="" textlink="">
            <xdr:nvSpPr>
              <xdr:cNvPr id="7171" name="Contador 1" descr="Para consultar los datos de cada pregunta." hidden="1">
                <a:extLst>
                  <a:ext uri="{63B3BB69-23CF-44E3-9099-C40C66FF867C}">
                    <a14:compatExt spid="_x0000_s7171"/>
                  </a:ext>
                </a:extLst>
              </xdr:cNvPr>
              <xdr:cNvSpPr/>
            </xdr:nvSpPr>
            <xdr:spPr bwMode="auto">
              <a:xfrm>
                <a:off x="4719205" y="454602"/>
                <a:ext cx="85725" cy="206664"/>
              </a:xfrm>
              <a:prstGeom prst="rect">
                <a:avLst/>
              </a:prstGeom>
              <a:noFill/>
              <a:ln w="9525">
                <a:miter lim="800000"/>
                <a:headEnd/>
                <a:tailEnd/>
              </a:ln>
            </xdr:spPr>
          </xdr:sp>
        </mc:Choice>
        <mc:Fallback/>
      </mc:AlternateContent>
      <mc:AlternateContent xmlns:mc="http://schemas.openxmlformats.org/markup-compatibility/2006">
        <mc:Choice xmlns:a14="http://schemas.microsoft.com/office/drawing/2010/main" Requires="a14">
          <xdr:sp macro="" textlink="">
            <xdr:nvSpPr>
              <xdr:cNvPr id="7172" name="Box PREGUNTAS" hidden="1">
                <a:extLst>
                  <a:ext uri="{63B3BB69-23CF-44E3-9099-C40C66FF867C}">
                    <a14:compatExt spid="_x0000_s7172"/>
                  </a:ext>
                </a:extLst>
              </xdr:cNvPr>
              <xdr:cNvSpPr/>
            </xdr:nvSpPr>
            <xdr:spPr bwMode="auto">
              <a:xfrm>
                <a:off x="4804931" y="464127"/>
                <a:ext cx="238127" cy="197139"/>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mc:Choice>
        <mc:Fallback/>
      </mc:AlternateContent>
    </xdr:grpSp>
    <xdr:clientData/>
  </xdr:twoCellAnchor>
  <xdr:twoCellAnchor>
    <xdr:from>
      <xdr:col>7</xdr:col>
      <xdr:colOff>0</xdr:colOff>
      <xdr:row>3</xdr:row>
      <xdr:rowOff>66675</xdr:rowOff>
    </xdr:from>
    <xdr:to>
      <xdr:col>8</xdr:col>
      <xdr:colOff>114300</xdr:colOff>
      <xdr:row>5</xdr:row>
      <xdr:rowOff>9525</xdr:rowOff>
    </xdr:to>
    <xdr:grpSp>
      <xdr:nvGrpSpPr>
        <xdr:cNvPr id="27" name="G Pregunta Inicial"/>
        <xdr:cNvGrpSpPr/>
      </xdr:nvGrpSpPr>
      <xdr:grpSpPr>
        <a:xfrm>
          <a:off x="2803071" y="434068"/>
          <a:ext cx="495300" cy="208189"/>
          <a:chOff x="2806989" y="441902"/>
          <a:chExt cx="496743" cy="209839"/>
        </a:xfrm>
      </xdr:grpSpPr>
      <xdr:sp macro="" textlink="">
        <xdr:nvSpPr>
          <xdr:cNvPr id="35" name="NADA"/>
          <xdr:cNvSpPr/>
        </xdr:nvSpPr>
        <xdr:spPr>
          <a:xfrm>
            <a:off x="2806989" y="454602"/>
            <a:ext cx="346364" cy="180398"/>
          </a:xfrm>
          <a:prstGeom prst="rect">
            <a:avLst/>
          </a:prstGeom>
          <a:solidFill>
            <a:schemeClr val="bg1">
              <a:lumMod val="85000"/>
              <a:alpha val="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mc:AlternateContent xmlns:mc="http://schemas.openxmlformats.org/markup-compatibility/2006">
        <mc:Choice xmlns:a14="http://schemas.microsoft.com/office/drawing/2010/main" Requires="a14">
          <xdr:sp macro="" textlink="">
            <xdr:nvSpPr>
              <xdr:cNvPr id="7169" name="Contador 10" descr="Para consultar los datos de cada pregunta." hidden="1">
                <a:extLst>
                  <a:ext uri="{63B3BB69-23CF-44E3-9099-C40C66FF867C}">
                    <a14:compatExt spid="_x0000_s7169"/>
                  </a:ext>
                </a:extLst>
              </xdr:cNvPr>
              <xdr:cNvSpPr/>
            </xdr:nvSpPr>
            <xdr:spPr bwMode="auto">
              <a:xfrm>
                <a:off x="3130839" y="441902"/>
                <a:ext cx="87168" cy="209839"/>
              </a:xfrm>
              <a:prstGeom prst="rect">
                <a:avLst/>
              </a:prstGeom>
              <a:noFill/>
              <a:ln w="9525">
                <a:miter lim="800000"/>
                <a:headEnd/>
                <a:tailEnd/>
              </a:ln>
            </xdr:spPr>
          </xdr:sp>
        </mc:Choice>
        <mc:Fallback/>
      </mc:AlternateContent>
      <mc:AlternateContent xmlns:mc="http://schemas.openxmlformats.org/markup-compatibility/2006">
        <mc:Choice xmlns:a14="http://schemas.microsoft.com/office/drawing/2010/main" Requires="a14">
          <xdr:sp macro="" textlink="">
            <xdr:nvSpPr>
              <xdr:cNvPr id="7170" name="Contador 100" descr="Para consultar los datos de cada pregunta." hidden="1">
                <a:extLst>
                  <a:ext uri="{63B3BB69-23CF-44E3-9099-C40C66FF867C}">
                    <a14:compatExt spid="_x0000_s7170"/>
                  </a:ext>
                </a:extLst>
              </xdr:cNvPr>
              <xdr:cNvSpPr/>
            </xdr:nvSpPr>
            <xdr:spPr bwMode="auto">
              <a:xfrm>
                <a:off x="3218011" y="441902"/>
                <a:ext cx="85721" cy="209839"/>
              </a:xfrm>
              <a:prstGeom prst="rect">
                <a:avLst/>
              </a:prstGeom>
              <a:noFill/>
              <a:ln w="9525">
                <a:miter lim="800000"/>
                <a:headEnd/>
                <a:tailEnd/>
              </a:ln>
            </xdr:spPr>
          </xdr:sp>
        </mc:Choice>
        <mc:Fallback/>
      </mc:AlternateContent>
    </xdr:grpSp>
    <xdr:clientData/>
  </xdr:twoCellAnchor>
  <xdr:twoCellAnchor editAs="oneCell">
    <xdr:from>
      <xdr:col>1</xdr:col>
      <xdr:colOff>153866</xdr:colOff>
      <xdr:row>7</xdr:row>
      <xdr:rowOff>29308</xdr:rowOff>
    </xdr:from>
    <xdr:to>
      <xdr:col>2</xdr:col>
      <xdr:colOff>264276</xdr:colOff>
      <xdr:row>9</xdr:row>
      <xdr:rowOff>24454</xdr:rowOff>
    </xdr:to>
    <xdr:pic macro="[0]!IR_INICIO">
      <xdr:nvPicPr>
        <xdr:cNvPr id="38" name="Casa_F_Gris"/>
        <xdr:cNvPicPr>
          <a:picLocks noChangeAspect="1"/>
        </xdr:cNvPicPr>
      </xdr:nvPicPr>
      <xdr:blipFill>
        <a:blip xmlns:r="http://schemas.openxmlformats.org/officeDocument/2006/relationships" r:embed="rId7"/>
        <a:stretch>
          <a:fillRect/>
        </a:stretch>
      </xdr:blipFill>
      <xdr:spPr>
        <a:xfrm>
          <a:off x="868241" y="934183"/>
          <a:ext cx="291385" cy="261846"/>
        </a:xfrm>
        <a:prstGeom prst="rect">
          <a:avLst/>
        </a:prstGeom>
      </xdr:spPr>
    </xdr:pic>
    <xdr:clientData/>
  </xdr:twoCellAnchor>
</xdr:wsDr>
</file>

<file path=xl/drawings/drawing9.xml><?xml version="1.0" encoding="utf-8"?>
<xdr:wsDr xmlns:xdr="http://schemas.openxmlformats.org/drawingml/2006/spreadsheetDrawing" xmlns:a="http://schemas.openxmlformats.org/drawingml/2006/main">
  <xdr:twoCellAnchor>
    <xdr:from>
      <xdr:col>0</xdr:col>
      <xdr:colOff>0</xdr:colOff>
      <xdr:row>0</xdr:row>
      <xdr:rowOff>0</xdr:rowOff>
    </xdr:from>
    <xdr:to>
      <xdr:col>0</xdr:col>
      <xdr:colOff>630621</xdr:colOff>
      <xdr:row>0</xdr:row>
      <xdr:rowOff>243336</xdr:rowOff>
    </xdr:to>
    <xdr:pic>
      <xdr:nvPicPr>
        <xdr:cNvPr id="8" name="UCA">
          <a:hlinkClick xmlns:r="http://schemas.openxmlformats.org/officeDocument/2006/relationships" r:id="rId1"/>
        </xdr:cNvPr>
        <xdr:cNvPicPr>
          <a:picLocks noChangeAspect="1"/>
        </xdr:cNvPicPr>
      </xdr:nvPicPr>
      <xdr:blipFill>
        <a:blip xmlns:r="http://schemas.openxmlformats.org/officeDocument/2006/relationships" r:embed="rId2" cstate="print">
          <a:extLst>
            <a:ext uri="{28A0092B-C50C-407E-A947-70E740481C1C}">
              <a14:useLocalDpi xmlns:a14="http://schemas.microsoft.com/office/drawing/2010/main" val="0"/>
            </a:ext>
          </a:extLst>
        </a:blip>
        <a:stretch>
          <a:fillRect/>
        </a:stretch>
      </xdr:blipFill>
      <xdr:spPr>
        <a:xfrm>
          <a:off x="0" y="0"/>
          <a:ext cx="630621" cy="243336"/>
        </a:xfrm>
        <a:prstGeom prst="rect">
          <a:avLst/>
        </a:prstGeom>
        <a:ln w="12700">
          <a:solidFill>
            <a:srgbClr val="E87B00"/>
          </a:solidFill>
        </a:ln>
      </xdr:spPr>
    </xdr:pic>
    <xdr:clientData/>
  </xdr:twoCellAnchor>
  <xdr:twoCellAnchor>
    <xdr:from>
      <xdr:col>6</xdr:col>
      <xdr:colOff>0</xdr:colOff>
      <xdr:row>0</xdr:row>
      <xdr:rowOff>0</xdr:rowOff>
    </xdr:from>
    <xdr:to>
      <xdr:col>6</xdr:col>
      <xdr:colOff>2974468</xdr:colOff>
      <xdr:row>1</xdr:row>
      <xdr:rowOff>68566</xdr:rowOff>
    </xdr:to>
    <xdr:grpSp>
      <xdr:nvGrpSpPr>
        <xdr:cNvPr id="23" name="G FTP_MOODLE"/>
        <xdr:cNvGrpSpPr/>
      </xdr:nvGrpSpPr>
      <xdr:grpSpPr>
        <a:xfrm>
          <a:off x="1401536" y="0"/>
          <a:ext cx="2974468" cy="572030"/>
          <a:chOff x="2844102" y="0"/>
          <a:chExt cx="2974468" cy="572030"/>
        </a:xfrm>
      </xdr:grpSpPr>
      <xdr:pic>
        <xdr:nvPicPr>
          <xdr:cNvPr id="24" name="FTP-MOODLE"/>
          <xdr:cNvPicPr>
            <a:picLocks noChangeAspect="1"/>
          </xdr:cNvPicPr>
        </xdr:nvPicPr>
        <xdr:blipFill rotWithShape="1">
          <a:blip xmlns:r="http://schemas.openxmlformats.org/officeDocument/2006/relationships" r:embed="rId3"/>
          <a:srcRect l="62747"/>
          <a:stretch/>
        </xdr:blipFill>
        <xdr:spPr>
          <a:xfrm>
            <a:off x="4838037" y="0"/>
            <a:ext cx="980533" cy="572030"/>
          </a:xfrm>
          <a:prstGeom prst="rect">
            <a:avLst/>
          </a:prstGeom>
        </xdr:spPr>
      </xdr:pic>
      <xdr:cxnSp macro="">
        <xdr:nvCxnSpPr>
          <xdr:cNvPr id="25" name="LINEA H"/>
          <xdr:cNvCxnSpPr/>
        </xdr:nvCxnSpPr>
        <xdr:spPr>
          <a:xfrm>
            <a:off x="2844102" y="261934"/>
            <a:ext cx="1836000"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xnSp macro="">
        <xdr:nvCxnSpPr>
          <xdr:cNvPr id="26" name="LINEA V"/>
          <xdr:cNvCxnSpPr/>
        </xdr:nvCxnSpPr>
        <xdr:spPr>
          <a:xfrm>
            <a:off x="4674733" y="1"/>
            <a:ext cx="0" cy="522170"/>
          </a:xfrm>
          <a:prstGeom prst="line">
            <a:avLst/>
          </a:prstGeom>
          <a:ln w="19050">
            <a:solidFill>
              <a:schemeClr val="bg1"/>
            </a:solidFill>
          </a:ln>
        </xdr:spPr>
        <xdr:style>
          <a:lnRef idx="1">
            <a:schemeClr val="accent1"/>
          </a:lnRef>
          <a:fillRef idx="0">
            <a:schemeClr val="accent1"/>
          </a:fillRef>
          <a:effectRef idx="0">
            <a:schemeClr val="accent1"/>
          </a:effectRef>
          <a:fontRef idx="minor">
            <a:schemeClr val="tx1"/>
          </a:fontRef>
        </xdr:style>
      </xdr:cxnSp>
    </xdr:grpSp>
    <xdr:clientData/>
  </xdr:twoCellAnchor>
  <xdr:twoCellAnchor>
    <xdr:from>
      <xdr:col>1</xdr:col>
      <xdr:colOff>0</xdr:colOff>
      <xdr:row>0</xdr:row>
      <xdr:rowOff>0</xdr:rowOff>
    </xdr:from>
    <xdr:to>
      <xdr:col>6</xdr:col>
      <xdr:colOff>47539</xdr:colOff>
      <xdr:row>0</xdr:row>
      <xdr:rowOff>496777</xdr:rowOff>
    </xdr:to>
    <xdr:grpSp>
      <xdr:nvGrpSpPr>
        <xdr:cNvPr id="10" name="Ir a"/>
        <xdr:cNvGrpSpPr/>
      </xdr:nvGrpSpPr>
      <xdr:grpSpPr>
        <a:xfrm>
          <a:off x="646339" y="0"/>
          <a:ext cx="802736" cy="496777"/>
          <a:chOff x="2090986" y="0"/>
          <a:chExt cx="802736" cy="496777"/>
        </a:xfrm>
      </xdr:grpSpPr>
      <xdr:cxnSp macro="">
        <xdr:nvCxnSpPr>
          <xdr:cNvPr id="17" name="LINEA"/>
          <xdr:cNvCxnSpPr/>
        </xdr:nvCxnSpPr>
        <xdr:spPr>
          <a:xfrm>
            <a:off x="2090986" y="319012"/>
            <a:ext cx="753631"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sp macro="[0]!IR_DATOS_GENERALES" textlink="">
        <xdr:nvSpPr>
          <xdr:cNvPr id="18" name="DATOS GENERALES"/>
          <xdr:cNvSpPr/>
        </xdr:nvSpPr>
        <xdr:spPr>
          <a:xfrm>
            <a:off x="2169091" y="0"/>
            <a:ext cx="724631" cy="321666"/>
          </a:xfrm>
          <a:prstGeom prst="rect">
            <a:avLst/>
          </a:prstGeom>
          <a:solidFill>
            <a:schemeClr val="bg1">
              <a:lumMod val="85000"/>
              <a:alpha val="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sp macro="[0]!IR_FORMULARIO" textlink="">
        <xdr:nvSpPr>
          <xdr:cNvPr id="19" name="FORMULARIO"/>
          <xdr:cNvSpPr/>
        </xdr:nvSpPr>
        <xdr:spPr>
          <a:xfrm>
            <a:off x="2175854" y="355886"/>
            <a:ext cx="716703" cy="140891"/>
          </a:xfrm>
          <a:prstGeom prst="rect">
            <a:avLst/>
          </a:prstGeom>
          <a:solidFill>
            <a:schemeClr val="bg1">
              <a:lumMod val="85000"/>
              <a:alpha val="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grpSp>
    <xdr:clientData/>
  </xdr:twoCellAnchor>
  <xdr:twoCellAnchor>
    <xdr:from>
      <xdr:col>6</xdr:col>
      <xdr:colOff>0</xdr:colOff>
      <xdr:row>0</xdr:row>
      <xdr:rowOff>0</xdr:rowOff>
    </xdr:from>
    <xdr:to>
      <xdr:col>6</xdr:col>
      <xdr:colOff>1930621</xdr:colOff>
      <xdr:row>0</xdr:row>
      <xdr:rowOff>472644</xdr:rowOff>
    </xdr:to>
    <xdr:grpSp>
      <xdr:nvGrpSpPr>
        <xdr:cNvPr id="20" name="PREGUNTA"/>
        <xdr:cNvGrpSpPr/>
      </xdr:nvGrpSpPr>
      <xdr:grpSpPr>
        <a:xfrm>
          <a:off x="1401536" y="0"/>
          <a:ext cx="1930621" cy="472644"/>
          <a:chOff x="2837089" y="19938"/>
          <a:chExt cx="1930621" cy="472644"/>
        </a:xfrm>
      </xdr:grpSpPr>
      <xdr:sp macro="[0]!INSERTAR_PREGUNTA" textlink="">
        <xdr:nvSpPr>
          <xdr:cNvPr id="21" name="INSERTAR"/>
          <xdr:cNvSpPr/>
        </xdr:nvSpPr>
        <xdr:spPr>
          <a:xfrm>
            <a:off x="2837089" y="19938"/>
            <a:ext cx="1914292" cy="204580"/>
          </a:xfrm>
          <a:prstGeom prst="rect">
            <a:avLst/>
          </a:prstGeom>
          <a:solidFill>
            <a:schemeClr val="bg1">
              <a:lumMod val="85000"/>
              <a:alpha val="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sp macro="[0]!BORRAR_PREGUNTA_DATOS" textlink="">
        <xdr:nvSpPr>
          <xdr:cNvPr id="22" name="BORRAR"/>
          <xdr:cNvSpPr/>
        </xdr:nvSpPr>
        <xdr:spPr>
          <a:xfrm>
            <a:off x="2853418" y="288002"/>
            <a:ext cx="1914292" cy="204580"/>
          </a:xfrm>
          <a:prstGeom prst="rect">
            <a:avLst/>
          </a:prstGeom>
          <a:solidFill>
            <a:schemeClr val="bg1">
              <a:lumMod val="85000"/>
              <a:alpha val="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grpSp>
    <xdr:clientData/>
  </xdr:twoCellAnchor>
  <xdr:twoCellAnchor editAs="oneCell">
    <xdr:from>
      <xdr:col>6</xdr:col>
      <xdr:colOff>3986893</xdr:colOff>
      <xdr:row>1</xdr:row>
      <xdr:rowOff>27214</xdr:rowOff>
    </xdr:from>
    <xdr:to>
      <xdr:col>6</xdr:col>
      <xdr:colOff>4281965</xdr:colOff>
      <xdr:row>1</xdr:row>
      <xdr:rowOff>280830</xdr:rowOff>
    </xdr:to>
    <xdr:pic macro="[0]!IR_INICIO">
      <xdr:nvPicPr>
        <xdr:cNvPr id="14" name="Casa_F_Naranja"/>
        <xdr:cNvPicPr>
          <a:picLocks noChangeAspect="1"/>
        </xdr:cNvPicPr>
      </xdr:nvPicPr>
      <xdr:blipFill>
        <a:blip xmlns:r="http://schemas.openxmlformats.org/officeDocument/2006/relationships" r:embed="rId4"/>
        <a:stretch>
          <a:fillRect/>
        </a:stretch>
      </xdr:blipFill>
      <xdr:spPr>
        <a:xfrm>
          <a:off x="5388429" y="530678"/>
          <a:ext cx="295072" cy="253616"/>
        </a:xfrm>
        <a:prstGeom prst="rect">
          <a:avLst/>
        </a:prstGeom>
      </xdr:spPr>
    </xdr:pic>
    <xdr:clientData/>
  </xdr:twoCellAnchor>
</xdr:wsDr>
</file>

<file path=xl/drawings/drawing10.xml><?xml version="1.0" encoding="utf-8"?>
<xdr:wsDr xmlns:xdr="http://schemas.openxmlformats.org/drawingml/2006/spreadsheetDrawing" xmlns:a="http://schemas.openxmlformats.org/drawingml/2006/main">
  <xdr:twoCellAnchor>
    <xdr:from>
      <xdr:col>1</xdr:col>
      <xdr:colOff>0</xdr:colOff>
      <xdr:row>11</xdr:row>
      <xdr:rowOff>0</xdr:rowOff>
    </xdr:from>
    <xdr:to>
      <xdr:col>22</xdr:col>
      <xdr:colOff>358134</xdr:colOff>
      <xdr:row>35</xdr:row>
      <xdr:rowOff>1484</xdr:rowOff>
    </xdr:to>
    <xdr:grpSp>
      <xdr:nvGrpSpPr>
        <xdr:cNvPr id="31" name="G IMAGENES"/>
        <xdr:cNvGrpSpPr/>
      </xdr:nvGrpSpPr>
      <xdr:grpSpPr>
        <a:xfrm>
          <a:off x="714375" y="1435554"/>
          <a:ext cx="8161830" cy="3260394"/>
          <a:chOff x="716113" y="1439179"/>
          <a:chExt cx="8186711" cy="3283090"/>
        </a:xfrm>
      </xdr:grpSpPr>
      <xdr:pic>
        <xdr:nvPicPr>
          <xdr:cNvPr id="2" name="MOODLE">
            <a:hlinkClick xmlns:r="http://schemas.openxmlformats.org/officeDocument/2006/relationships" r:id="rId1"/>
          </xdr:cNvPr>
          <xdr:cNvPicPr>
            <a:picLocks noChangeAspect="1"/>
          </xdr:cNvPicPr>
        </xdr:nvPicPr>
        <xdr:blipFill rotWithShape="1">
          <a:blip xmlns:r="http://schemas.openxmlformats.org/officeDocument/2006/relationships" r:embed="rId2"/>
          <a:srcRect l="-29988" t="2" r="-446380" b="5496"/>
          <a:stretch/>
        </xdr:blipFill>
        <xdr:spPr>
          <a:xfrm>
            <a:off x="716113" y="1439179"/>
            <a:ext cx="2084002" cy="345321"/>
          </a:xfrm>
          <a:prstGeom prst="rect">
            <a:avLst/>
          </a:prstGeom>
        </xdr:spPr>
      </xdr:pic>
      <xdr:pic macro="[0]!MENU_AYUDA">
        <xdr:nvPicPr>
          <xdr:cNvPr id="3" name="FTP"/>
          <xdr:cNvPicPr>
            <a:picLocks noChangeAspect="1"/>
          </xdr:cNvPicPr>
        </xdr:nvPicPr>
        <xdr:blipFill rotWithShape="1">
          <a:blip xmlns:r="http://schemas.openxmlformats.org/officeDocument/2006/relationships" r:embed="rId3"/>
          <a:srcRect l="8903" r="-34835" b="9685"/>
          <a:stretch/>
        </xdr:blipFill>
        <xdr:spPr>
          <a:xfrm>
            <a:off x="896880" y="4164580"/>
            <a:ext cx="722633" cy="533385"/>
          </a:xfrm>
          <a:prstGeom prst="rect">
            <a:avLst/>
          </a:prstGeom>
        </xdr:spPr>
      </xdr:pic>
      <xdr:pic>
        <xdr:nvPicPr>
          <xdr:cNvPr id="30" name="UCA">
            <a:hlinkClick xmlns:r="http://schemas.openxmlformats.org/officeDocument/2006/relationships" r:id="rId4"/>
          </xdr:cNvPr>
          <xdr:cNvPicPr>
            <a:picLocks noChangeAspect="1"/>
          </xdr:cNvPicPr>
        </xdr:nvPicPr>
        <xdr:blipFill>
          <a:blip xmlns:r="http://schemas.openxmlformats.org/officeDocument/2006/relationships" r:embed="rId5" cstate="print">
            <a:extLst>
              <a:ext uri="{28A0092B-C50C-407E-A947-70E740481C1C}">
                <a14:useLocalDpi xmlns:a14="http://schemas.microsoft.com/office/drawing/2010/main" val="0"/>
              </a:ext>
            </a:extLst>
          </a:blip>
          <a:stretch>
            <a:fillRect/>
          </a:stretch>
        </xdr:blipFill>
        <xdr:spPr>
          <a:xfrm>
            <a:off x="7015128" y="3962956"/>
            <a:ext cx="1887696" cy="759313"/>
          </a:xfrm>
          <a:prstGeom prst="rect">
            <a:avLst/>
          </a:prstGeom>
          <a:ln w="25400">
            <a:solidFill>
              <a:srgbClr val="E87B00"/>
            </a:solidFill>
          </a:ln>
        </xdr:spPr>
      </xdr:pic>
    </xdr:grpSp>
    <xdr:clientData/>
  </xdr:twoCellAnchor>
  <xdr:twoCellAnchor>
    <xdr:from>
      <xdr:col>0</xdr:col>
      <xdr:colOff>0</xdr:colOff>
      <xdr:row>0</xdr:row>
      <xdr:rowOff>0</xdr:rowOff>
    </xdr:from>
    <xdr:to>
      <xdr:col>1</xdr:col>
      <xdr:colOff>1713</xdr:colOff>
      <xdr:row>34</xdr:row>
      <xdr:rowOff>197017</xdr:rowOff>
    </xdr:to>
    <xdr:grpSp>
      <xdr:nvGrpSpPr>
        <xdr:cNvPr id="28" name="G Menu LATERAL"/>
        <xdr:cNvGrpSpPr/>
      </xdr:nvGrpSpPr>
      <xdr:grpSpPr>
        <a:xfrm>
          <a:off x="0" y="0"/>
          <a:ext cx="716088" cy="4694178"/>
          <a:chOff x="0" y="0"/>
          <a:chExt cx="717826" cy="4716178"/>
        </a:xfrm>
      </xdr:grpSpPr>
      <xdr:sp macro="[0]!Copia_CODIGOS_INFORMACION" textlink="">
        <xdr:nvSpPr>
          <xdr:cNvPr id="4" name="CODIGOS ESPECIALES"/>
          <xdr:cNvSpPr/>
        </xdr:nvSpPr>
        <xdr:spPr>
          <a:xfrm>
            <a:off x="0" y="0"/>
            <a:ext cx="716221" cy="344413"/>
          </a:xfrm>
          <a:prstGeom prst="rect">
            <a:avLst/>
          </a:prstGeom>
          <a:solidFill>
            <a:schemeClr val="bg1">
              <a:lumMod val="85000"/>
              <a:alpha val="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sp macro="[0]!Copia_Formula" textlink="">
        <xdr:nvSpPr>
          <xdr:cNvPr id="5" name="FORMULA"/>
          <xdr:cNvSpPr/>
        </xdr:nvSpPr>
        <xdr:spPr>
          <a:xfrm>
            <a:off x="0" y="444964"/>
            <a:ext cx="717826" cy="192865"/>
          </a:xfrm>
          <a:prstGeom prst="rect">
            <a:avLst/>
          </a:prstGeom>
          <a:solidFill>
            <a:schemeClr val="bg1">
              <a:lumMod val="85000"/>
              <a:alpha val="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sp macro="[0]!Copia_Superindice" textlink="">
        <xdr:nvSpPr>
          <xdr:cNvPr id="6" name="SUPERINDICE"/>
          <xdr:cNvSpPr/>
        </xdr:nvSpPr>
        <xdr:spPr>
          <a:xfrm>
            <a:off x="0" y="709161"/>
            <a:ext cx="717826" cy="192866"/>
          </a:xfrm>
          <a:prstGeom prst="rect">
            <a:avLst/>
          </a:prstGeom>
          <a:solidFill>
            <a:schemeClr val="bg1">
              <a:lumMod val="85000"/>
              <a:alpha val="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sp macro="[0]!Copia_Subindice" textlink="">
        <xdr:nvSpPr>
          <xdr:cNvPr id="7" name="SUBINDICE"/>
          <xdr:cNvSpPr/>
        </xdr:nvSpPr>
        <xdr:spPr>
          <a:xfrm>
            <a:off x="0" y="973358"/>
            <a:ext cx="717826" cy="192865"/>
          </a:xfrm>
          <a:prstGeom prst="rect">
            <a:avLst/>
          </a:prstGeom>
          <a:solidFill>
            <a:schemeClr val="bg1">
              <a:lumMod val="85000"/>
              <a:alpha val="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sp macro="[0]!Copia_Salto_Linea" textlink="">
        <xdr:nvSpPr>
          <xdr:cNvPr id="8" name="SALTO LINEA"/>
          <xdr:cNvSpPr/>
        </xdr:nvSpPr>
        <xdr:spPr>
          <a:xfrm>
            <a:off x="0" y="1237555"/>
            <a:ext cx="717826" cy="197017"/>
          </a:xfrm>
          <a:prstGeom prst="rect">
            <a:avLst/>
          </a:prstGeom>
          <a:solidFill>
            <a:schemeClr val="bg1">
              <a:lumMod val="85000"/>
              <a:alpha val="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sp macro="[0]!Copia_Concatenar" textlink="">
        <xdr:nvSpPr>
          <xdr:cNvPr id="9" name="CONCATENAR"/>
          <xdr:cNvSpPr/>
        </xdr:nvSpPr>
        <xdr:spPr>
          <a:xfrm>
            <a:off x="0" y="1515657"/>
            <a:ext cx="717826" cy="192866"/>
          </a:xfrm>
          <a:prstGeom prst="rect">
            <a:avLst/>
          </a:prstGeom>
          <a:solidFill>
            <a:schemeClr val="bg1">
              <a:lumMod val="85000"/>
              <a:alpha val="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sp macro="[0]!Copia_Negrita" textlink="">
        <xdr:nvSpPr>
          <xdr:cNvPr id="10" name="NEGRITA"/>
          <xdr:cNvSpPr/>
        </xdr:nvSpPr>
        <xdr:spPr>
          <a:xfrm>
            <a:off x="0" y="1779854"/>
            <a:ext cx="717826" cy="197017"/>
          </a:xfrm>
          <a:prstGeom prst="rect">
            <a:avLst/>
          </a:prstGeom>
          <a:solidFill>
            <a:schemeClr val="bg1">
              <a:lumMod val="85000"/>
              <a:alpha val="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sp macro="[0]!Copia_Espacios" textlink="">
        <xdr:nvSpPr>
          <xdr:cNvPr id="11" name="ESPACIOS"/>
          <xdr:cNvSpPr/>
        </xdr:nvSpPr>
        <xdr:spPr>
          <a:xfrm>
            <a:off x="0" y="2057956"/>
            <a:ext cx="717826" cy="192866"/>
          </a:xfrm>
          <a:prstGeom prst="rect">
            <a:avLst/>
          </a:prstGeom>
          <a:solidFill>
            <a:schemeClr val="bg1">
              <a:lumMod val="85000"/>
              <a:alpha val="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sp macro="[0]!Copia_Color_Texto_Rojo" textlink="">
        <xdr:nvSpPr>
          <xdr:cNvPr id="12" name="TEXTO ROJO"/>
          <xdr:cNvSpPr/>
        </xdr:nvSpPr>
        <xdr:spPr>
          <a:xfrm>
            <a:off x="0" y="2322153"/>
            <a:ext cx="717826" cy="197017"/>
          </a:xfrm>
          <a:prstGeom prst="rect">
            <a:avLst/>
          </a:prstGeom>
          <a:solidFill>
            <a:schemeClr val="bg1">
              <a:lumMod val="85000"/>
              <a:alpha val="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sp macro="[0]!Copia_Color_Texto_Azul" textlink="">
        <xdr:nvSpPr>
          <xdr:cNvPr id="13" name="TEXTO AZUL"/>
          <xdr:cNvSpPr/>
        </xdr:nvSpPr>
        <xdr:spPr>
          <a:xfrm>
            <a:off x="0" y="2600255"/>
            <a:ext cx="717826" cy="197017"/>
          </a:xfrm>
          <a:prstGeom prst="rect">
            <a:avLst/>
          </a:prstGeom>
          <a:solidFill>
            <a:schemeClr val="bg1">
              <a:lumMod val="85000"/>
              <a:alpha val="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sp macro="[0]!Copia_Color_Texto_Otro" textlink="">
        <xdr:nvSpPr>
          <xdr:cNvPr id="14" name="TEXTO OTRO"/>
          <xdr:cNvSpPr/>
        </xdr:nvSpPr>
        <xdr:spPr>
          <a:xfrm>
            <a:off x="0" y="2885310"/>
            <a:ext cx="717826" cy="197017"/>
          </a:xfrm>
          <a:prstGeom prst="rect">
            <a:avLst/>
          </a:prstGeom>
          <a:solidFill>
            <a:schemeClr val="bg1">
              <a:lumMod val="85000"/>
              <a:alpha val="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sp macro="[0]!Copia_Imagen" textlink="">
        <xdr:nvSpPr>
          <xdr:cNvPr id="15" name="INSERTAR IMAGENES"/>
          <xdr:cNvSpPr/>
        </xdr:nvSpPr>
        <xdr:spPr>
          <a:xfrm>
            <a:off x="0" y="3170365"/>
            <a:ext cx="717826" cy="422687"/>
          </a:xfrm>
          <a:prstGeom prst="rect">
            <a:avLst/>
          </a:prstGeom>
          <a:solidFill>
            <a:schemeClr val="bg1">
              <a:lumMod val="85000"/>
              <a:alpha val="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sp macro="[0]!Celdas_Formulas_INFORMACION" textlink="">
        <xdr:nvSpPr>
          <xdr:cNvPr id="16" name="USAR VARIABLES"/>
          <xdr:cNvSpPr/>
        </xdr:nvSpPr>
        <xdr:spPr>
          <a:xfrm>
            <a:off x="0" y="3698759"/>
            <a:ext cx="717826" cy="444336"/>
          </a:xfrm>
          <a:prstGeom prst="rect">
            <a:avLst/>
          </a:prstGeom>
          <a:solidFill>
            <a:schemeClr val="bg1">
              <a:lumMod val="85000"/>
              <a:alpha val="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sp macro="[0]!Celdas_Formulas_Activar" textlink="">
        <xdr:nvSpPr>
          <xdr:cNvPr id="17" name="ACTIVAR VARIABLES"/>
          <xdr:cNvSpPr/>
        </xdr:nvSpPr>
        <xdr:spPr>
          <a:xfrm>
            <a:off x="0" y="4241058"/>
            <a:ext cx="717826" cy="197017"/>
          </a:xfrm>
          <a:prstGeom prst="rect">
            <a:avLst/>
          </a:prstGeom>
          <a:solidFill>
            <a:schemeClr val="bg1">
              <a:lumMod val="85000"/>
              <a:alpha val="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sp macro="[0]!Celdas_Formulas_Desactivar" textlink="">
        <xdr:nvSpPr>
          <xdr:cNvPr id="18" name="DESACTIVAR VARIABLES"/>
          <xdr:cNvSpPr/>
        </xdr:nvSpPr>
        <xdr:spPr>
          <a:xfrm>
            <a:off x="0" y="4518059"/>
            <a:ext cx="717826" cy="198119"/>
          </a:xfrm>
          <a:prstGeom prst="rect">
            <a:avLst/>
          </a:prstGeom>
          <a:solidFill>
            <a:schemeClr val="bg1">
              <a:lumMod val="85000"/>
              <a:alpha val="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grpSp>
    <xdr:clientData/>
  </xdr:twoCellAnchor>
  <xdr:twoCellAnchor>
    <xdr:from>
      <xdr:col>26</xdr:col>
      <xdr:colOff>0</xdr:colOff>
      <xdr:row>1</xdr:row>
      <xdr:rowOff>0</xdr:rowOff>
    </xdr:from>
    <xdr:to>
      <xdr:col>27</xdr:col>
      <xdr:colOff>159</xdr:colOff>
      <xdr:row>3</xdr:row>
      <xdr:rowOff>1</xdr:rowOff>
    </xdr:to>
    <xdr:sp macro="[0]!Limpiar_Datos_Variables" textlink="">
      <xdr:nvSpPr>
        <xdr:cNvPr id="19" name="BORRAR VARIABLES" hidden="1"/>
        <xdr:cNvSpPr/>
      </xdr:nvSpPr>
      <xdr:spPr>
        <a:xfrm>
          <a:off x="9976556" y="28222"/>
          <a:ext cx="712770" cy="345723"/>
        </a:xfrm>
        <a:prstGeom prst="rect">
          <a:avLst/>
        </a:prstGeom>
        <a:solidFill>
          <a:schemeClr val="bg1">
            <a:lumMod val="85000"/>
            <a:alpha val="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clientData/>
  </xdr:twoCellAnchor>
  <xdr:twoCellAnchor>
    <xdr:from>
      <xdr:col>11</xdr:col>
      <xdr:colOff>0</xdr:colOff>
      <xdr:row>1</xdr:row>
      <xdr:rowOff>0</xdr:rowOff>
    </xdr:from>
    <xdr:to>
      <xdr:col>22</xdr:col>
      <xdr:colOff>331770</xdr:colOff>
      <xdr:row>3</xdr:row>
      <xdr:rowOff>4137</xdr:rowOff>
    </xdr:to>
    <xdr:grpSp>
      <xdr:nvGrpSpPr>
        <xdr:cNvPr id="29" name="G Menu SUPERIOR"/>
        <xdr:cNvGrpSpPr/>
      </xdr:nvGrpSpPr>
      <xdr:grpSpPr>
        <a:xfrm>
          <a:off x="4327071" y="27214"/>
          <a:ext cx="4522770" cy="344316"/>
          <a:chOff x="4338394" y="27810"/>
          <a:chExt cx="4538066" cy="344812"/>
        </a:xfrm>
      </xdr:grpSpPr>
      <xdr:sp macro="[0]!IR_DATOS_GENERALES" textlink="">
        <xdr:nvSpPr>
          <xdr:cNvPr id="20" name="DATOS GENERALES"/>
          <xdr:cNvSpPr/>
        </xdr:nvSpPr>
        <xdr:spPr>
          <a:xfrm>
            <a:off x="4338394" y="27810"/>
            <a:ext cx="714161" cy="340676"/>
          </a:xfrm>
          <a:prstGeom prst="rect">
            <a:avLst/>
          </a:prstGeom>
          <a:solidFill>
            <a:schemeClr val="bg1">
              <a:lumMod val="85000"/>
              <a:alpha val="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sp macro="[0]!IR_BANCO_PREGUNTAS" textlink="">
        <xdr:nvSpPr>
          <xdr:cNvPr id="21" name="BANCO PREGUNTAS"/>
          <xdr:cNvSpPr/>
        </xdr:nvSpPr>
        <xdr:spPr>
          <a:xfrm>
            <a:off x="5103175" y="27810"/>
            <a:ext cx="714161" cy="344812"/>
          </a:xfrm>
          <a:prstGeom prst="rect">
            <a:avLst/>
          </a:prstGeom>
          <a:solidFill>
            <a:schemeClr val="bg1">
              <a:lumMod val="85000"/>
              <a:alpha val="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sp macro="[0]!Limpiar_Datos_Formulario" textlink="">
        <xdr:nvSpPr>
          <xdr:cNvPr id="22" name="LIMPIAR DATOS"/>
          <xdr:cNvSpPr/>
        </xdr:nvSpPr>
        <xdr:spPr>
          <a:xfrm>
            <a:off x="5867956" y="27810"/>
            <a:ext cx="714161" cy="344812"/>
          </a:xfrm>
          <a:prstGeom prst="rect">
            <a:avLst/>
          </a:prstGeom>
          <a:solidFill>
            <a:schemeClr val="bg1">
              <a:lumMod val="85000"/>
              <a:alpha val="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sp macro="[0]!Guardar_Pregunta" textlink="">
        <xdr:nvSpPr>
          <xdr:cNvPr id="23" name="GUARDAR PREGUNTAS"/>
          <xdr:cNvSpPr/>
        </xdr:nvSpPr>
        <xdr:spPr>
          <a:xfrm>
            <a:off x="6632737" y="27810"/>
            <a:ext cx="714161" cy="344812"/>
          </a:xfrm>
          <a:prstGeom prst="rect">
            <a:avLst/>
          </a:prstGeom>
          <a:solidFill>
            <a:schemeClr val="bg1">
              <a:lumMod val="85000"/>
              <a:alpha val="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sp macro="[0]!Borrar_Pregunta" textlink="">
        <xdr:nvSpPr>
          <xdr:cNvPr id="24" name="BORRAR PREGUNTAS"/>
          <xdr:cNvSpPr/>
        </xdr:nvSpPr>
        <xdr:spPr>
          <a:xfrm>
            <a:off x="7397518" y="27810"/>
            <a:ext cx="714161" cy="344812"/>
          </a:xfrm>
          <a:prstGeom prst="rect">
            <a:avLst/>
          </a:prstGeom>
          <a:solidFill>
            <a:schemeClr val="bg1">
              <a:lumMod val="85000"/>
              <a:alpha val="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sp macro="[0]!Formato_FORMULARIO" textlink="">
        <xdr:nvSpPr>
          <xdr:cNvPr id="25" name="DAR FORMATO"/>
          <xdr:cNvSpPr/>
        </xdr:nvSpPr>
        <xdr:spPr>
          <a:xfrm>
            <a:off x="8162299" y="27810"/>
            <a:ext cx="714161" cy="344812"/>
          </a:xfrm>
          <a:prstGeom prst="rect">
            <a:avLst/>
          </a:prstGeom>
          <a:solidFill>
            <a:schemeClr val="bg1">
              <a:lumMod val="85000"/>
              <a:alpha val="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grpSp>
    <xdr:clientData/>
  </xdr:twoCellAnchor>
  <xdr:oneCellAnchor>
    <xdr:from>
      <xdr:col>13</xdr:col>
      <xdr:colOff>0</xdr:colOff>
      <xdr:row>4</xdr:row>
      <xdr:rowOff>0</xdr:rowOff>
    </xdr:from>
    <xdr:ext cx="1520162" cy="170703"/>
    <xdr:pic macro="[0]!Almacenar_Formulas">
      <xdr:nvPicPr>
        <xdr:cNvPr id="41" name="ALMACENAR FORMULAS"/>
        <xdr:cNvPicPr>
          <a:picLocks noChangeAspect="1"/>
        </xdr:cNvPicPr>
      </xdr:nvPicPr>
      <xdr:blipFill>
        <a:blip xmlns:r="http://schemas.openxmlformats.org/officeDocument/2006/relationships" r:embed="rId6"/>
        <a:stretch>
          <a:fillRect/>
        </a:stretch>
      </xdr:blipFill>
      <xdr:spPr>
        <a:xfrm>
          <a:off x="5086350" y="447675"/>
          <a:ext cx="1520162" cy="170703"/>
        </a:xfrm>
        <a:prstGeom prst="rect">
          <a:avLst/>
        </a:prstGeom>
      </xdr:spPr>
    </xdr:pic>
    <xdr:clientData/>
  </xdr:oneCellAnchor>
  <xdr:twoCellAnchor>
    <xdr:from>
      <xdr:col>10</xdr:col>
      <xdr:colOff>378091</xdr:colOff>
      <xdr:row>3</xdr:row>
      <xdr:rowOff>66675</xdr:rowOff>
    </xdr:from>
    <xdr:to>
      <xdr:col>12</xdr:col>
      <xdr:colOff>323850</xdr:colOff>
      <xdr:row>5</xdr:row>
      <xdr:rowOff>9525</xdr:rowOff>
    </xdr:to>
    <xdr:grpSp>
      <xdr:nvGrpSpPr>
        <xdr:cNvPr id="26" name="G Pregunta"/>
        <xdr:cNvGrpSpPr/>
      </xdr:nvGrpSpPr>
      <xdr:grpSpPr>
        <a:xfrm>
          <a:off x="4324162" y="434068"/>
          <a:ext cx="707759" cy="208189"/>
          <a:chOff x="4297156" y="437451"/>
          <a:chExt cx="701948" cy="204605"/>
        </a:xfrm>
      </xdr:grpSpPr>
      <xdr:sp macro="[0]!Elegir_Pregunta" textlink="">
        <xdr:nvSpPr>
          <xdr:cNvPr id="32" name="Pregunta"/>
          <xdr:cNvSpPr/>
        </xdr:nvSpPr>
        <xdr:spPr>
          <a:xfrm>
            <a:off x="4297156" y="443531"/>
            <a:ext cx="346364" cy="180398"/>
          </a:xfrm>
          <a:prstGeom prst="rect">
            <a:avLst/>
          </a:prstGeom>
          <a:solidFill>
            <a:schemeClr val="bg1">
              <a:lumMod val="85000"/>
              <a:alpha val="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mc:AlternateContent xmlns:mc="http://schemas.openxmlformats.org/markup-compatibility/2006">
        <mc:Choice xmlns:a14="http://schemas.microsoft.com/office/drawing/2010/main" Requires="a14">
          <xdr:sp macro="" textlink="">
            <xdr:nvSpPr>
              <xdr:cNvPr id="12291" name="Contador 1" descr="Para consultar los datos de cada pregunta." hidden="1">
                <a:extLst>
                  <a:ext uri="{63B3BB69-23CF-44E3-9099-C40C66FF867C}">
                    <a14:compatExt spid="_x0000_s12291"/>
                  </a:ext>
                </a:extLst>
              </xdr:cNvPr>
              <xdr:cNvSpPr/>
            </xdr:nvSpPr>
            <xdr:spPr bwMode="auto">
              <a:xfrm>
                <a:off x="4659106" y="437451"/>
                <a:ext cx="82817" cy="204605"/>
              </a:xfrm>
              <a:prstGeom prst="rect">
                <a:avLst/>
              </a:prstGeom>
              <a:noFill/>
              <a:ln w="9525">
                <a:miter lim="800000"/>
                <a:headEnd/>
                <a:tailEnd/>
              </a:ln>
            </xdr:spPr>
          </xdr:sp>
        </mc:Choice>
        <mc:Fallback/>
      </mc:AlternateContent>
      <mc:AlternateContent xmlns:mc="http://schemas.openxmlformats.org/markup-compatibility/2006">
        <mc:Choice xmlns:a14="http://schemas.microsoft.com/office/drawing/2010/main" Requires="a14">
          <xdr:sp macro="" textlink="">
            <xdr:nvSpPr>
              <xdr:cNvPr id="12292" name="Box PREGUNTAS" hidden="1">
                <a:extLst>
                  <a:ext uri="{63B3BB69-23CF-44E3-9099-C40C66FF867C}">
                    <a14:compatExt spid="_x0000_s12292"/>
                  </a:ext>
                </a:extLst>
              </xdr:cNvPr>
              <xdr:cNvSpPr/>
            </xdr:nvSpPr>
            <xdr:spPr bwMode="auto">
              <a:xfrm>
                <a:off x="4760979" y="447021"/>
                <a:ext cx="238125" cy="18701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mc:Choice>
        <mc:Fallback/>
      </mc:AlternateContent>
    </xdr:grpSp>
    <xdr:clientData/>
  </xdr:twoCellAnchor>
  <xdr:twoCellAnchor>
    <xdr:from>
      <xdr:col>7</xdr:col>
      <xdr:colOff>0</xdr:colOff>
      <xdr:row>4</xdr:row>
      <xdr:rowOff>0</xdr:rowOff>
    </xdr:from>
    <xdr:to>
      <xdr:col>8</xdr:col>
      <xdr:colOff>152400</xdr:colOff>
      <xdr:row>5</xdr:row>
      <xdr:rowOff>19050</xdr:rowOff>
    </xdr:to>
    <xdr:grpSp>
      <xdr:nvGrpSpPr>
        <xdr:cNvPr id="27" name="G Pregunta Inicial"/>
        <xdr:cNvGrpSpPr/>
      </xdr:nvGrpSpPr>
      <xdr:grpSpPr>
        <a:xfrm>
          <a:off x="2803071" y="442232"/>
          <a:ext cx="533400" cy="209550"/>
          <a:chOff x="2784790" y="443531"/>
          <a:chExt cx="530485" cy="208095"/>
        </a:xfrm>
      </xdr:grpSpPr>
      <xdr:sp macro="" textlink="">
        <xdr:nvSpPr>
          <xdr:cNvPr id="34" name="NADA"/>
          <xdr:cNvSpPr/>
        </xdr:nvSpPr>
        <xdr:spPr>
          <a:xfrm>
            <a:off x="2784790" y="443531"/>
            <a:ext cx="346364" cy="180398"/>
          </a:xfrm>
          <a:prstGeom prst="rect">
            <a:avLst/>
          </a:prstGeom>
          <a:solidFill>
            <a:schemeClr val="bg1">
              <a:lumMod val="85000"/>
              <a:alpha val="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mc:AlternateContent xmlns:mc="http://schemas.openxmlformats.org/markup-compatibility/2006">
        <mc:Choice xmlns:a14="http://schemas.microsoft.com/office/drawing/2010/main" Requires="a14">
          <xdr:sp macro="" textlink="">
            <xdr:nvSpPr>
              <xdr:cNvPr id="12289" name="Contador 10" descr="Para consultar los datos de cada pregunta." hidden="1">
                <a:extLst>
                  <a:ext uri="{63B3BB69-23CF-44E3-9099-C40C66FF867C}">
                    <a14:compatExt spid="_x0000_s12289"/>
                  </a:ext>
                </a:extLst>
              </xdr:cNvPr>
              <xdr:cNvSpPr/>
            </xdr:nvSpPr>
            <xdr:spPr bwMode="auto">
              <a:xfrm>
                <a:off x="3146740" y="447021"/>
                <a:ext cx="82817" cy="204605"/>
              </a:xfrm>
              <a:prstGeom prst="rect">
                <a:avLst/>
              </a:prstGeom>
              <a:noFill/>
              <a:ln w="9525">
                <a:miter lim="800000"/>
                <a:headEnd/>
                <a:tailEnd/>
              </a:ln>
            </xdr:spPr>
          </xdr:sp>
        </mc:Choice>
        <mc:Fallback/>
      </mc:AlternateContent>
      <mc:AlternateContent xmlns:mc="http://schemas.openxmlformats.org/markup-compatibility/2006">
        <mc:Choice xmlns:a14="http://schemas.microsoft.com/office/drawing/2010/main" Requires="a14">
          <xdr:sp macro="" textlink="">
            <xdr:nvSpPr>
              <xdr:cNvPr id="12290" name="Contador 100" descr="Para consultar los datos de cada pregunta." hidden="1">
                <a:extLst>
                  <a:ext uri="{63B3BB69-23CF-44E3-9099-C40C66FF867C}">
                    <a14:compatExt spid="_x0000_s12290"/>
                  </a:ext>
                </a:extLst>
              </xdr:cNvPr>
              <xdr:cNvSpPr/>
            </xdr:nvSpPr>
            <xdr:spPr bwMode="auto">
              <a:xfrm>
                <a:off x="3229551" y="447021"/>
                <a:ext cx="85724" cy="204605"/>
              </a:xfrm>
              <a:prstGeom prst="rect">
                <a:avLst/>
              </a:prstGeom>
              <a:noFill/>
              <a:ln w="9525">
                <a:miter lim="800000"/>
                <a:headEnd/>
                <a:tailEnd/>
              </a:ln>
            </xdr:spPr>
          </xdr:sp>
        </mc:Choice>
        <mc:Fallback/>
      </mc:AlternateContent>
    </xdr:grpSp>
    <xdr:clientData/>
  </xdr:twoCellAnchor>
  <xdr:twoCellAnchor editAs="oneCell">
    <xdr:from>
      <xdr:col>1</xdr:col>
      <xdr:colOff>153866</xdr:colOff>
      <xdr:row>7</xdr:row>
      <xdr:rowOff>29308</xdr:rowOff>
    </xdr:from>
    <xdr:to>
      <xdr:col>2</xdr:col>
      <xdr:colOff>264276</xdr:colOff>
      <xdr:row>9</xdr:row>
      <xdr:rowOff>24454</xdr:rowOff>
    </xdr:to>
    <xdr:pic macro="[0]!IR_INICIO">
      <xdr:nvPicPr>
        <xdr:cNvPr id="39" name="Casa_F_Gris"/>
        <xdr:cNvPicPr>
          <a:picLocks noChangeAspect="1"/>
        </xdr:cNvPicPr>
      </xdr:nvPicPr>
      <xdr:blipFill>
        <a:blip xmlns:r="http://schemas.openxmlformats.org/officeDocument/2006/relationships" r:embed="rId7"/>
        <a:stretch>
          <a:fillRect/>
        </a:stretch>
      </xdr:blipFill>
      <xdr:spPr>
        <a:xfrm>
          <a:off x="868241" y="934183"/>
          <a:ext cx="291385" cy="261846"/>
        </a:xfrm>
        <a:prstGeom prst="rect">
          <a:avLst/>
        </a:prstGeom>
      </xdr:spPr>
    </xdr:pic>
    <xdr:clientData/>
  </xdr:twoCellAnchor>
</xdr:wsDr>
</file>

<file path=xl/drawings/drawing11.xml><?xml version="1.0" encoding="utf-8"?>
<xdr:wsDr xmlns:xdr="http://schemas.openxmlformats.org/drawingml/2006/spreadsheetDrawing" xmlns:a="http://schemas.openxmlformats.org/drawingml/2006/main">
  <xdr:twoCellAnchor>
    <xdr:from>
      <xdr:col>0</xdr:col>
      <xdr:colOff>0</xdr:colOff>
      <xdr:row>0</xdr:row>
      <xdr:rowOff>0</xdr:rowOff>
    </xdr:from>
    <xdr:to>
      <xdr:col>1</xdr:col>
      <xdr:colOff>183837</xdr:colOff>
      <xdr:row>0</xdr:row>
      <xdr:rowOff>321878</xdr:rowOff>
    </xdr:to>
    <xdr:pic>
      <xdr:nvPicPr>
        <xdr:cNvPr id="9" name="UCA">
          <a:hlinkClick xmlns:r="http://schemas.openxmlformats.org/officeDocument/2006/relationships" r:id="rId1"/>
        </xdr:cNvPr>
        <xdr:cNvPicPr>
          <a:picLocks noChangeAspect="1"/>
        </xdr:cNvPicPr>
      </xdr:nvPicPr>
      <xdr:blipFill>
        <a:blip xmlns:r="http://schemas.openxmlformats.org/officeDocument/2006/relationships" r:embed="rId2" cstate="print">
          <a:extLst>
            <a:ext uri="{28A0092B-C50C-407E-A947-70E740481C1C}">
              <a14:useLocalDpi xmlns:a14="http://schemas.microsoft.com/office/drawing/2010/main" val="0"/>
            </a:ext>
          </a:extLst>
        </a:blip>
        <a:stretch>
          <a:fillRect/>
        </a:stretch>
      </xdr:blipFill>
      <xdr:spPr>
        <a:xfrm>
          <a:off x="0" y="0"/>
          <a:ext cx="830176" cy="321878"/>
        </a:xfrm>
        <a:prstGeom prst="rect">
          <a:avLst/>
        </a:prstGeom>
        <a:ln w="12700">
          <a:solidFill>
            <a:srgbClr val="E87B00"/>
          </a:solidFill>
        </a:ln>
      </xdr:spPr>
    </xdr:pic>
    <xdr:clientData/>
  </xdr:twoCellAnchor>
  <xdr:twoCellAnchor>
    <xdr:from>
      <xdr:col>6</xdr:col>
      <xdr:colOff>0</xdr:colOff>
      <xdr:row>0</xdr:row>
      <xdr:rowOff>0</xdr:rowOff>
    </xdr:from>
    <xdr:to>
      <xdr:col>6</xdr:col>
      <xdr:colOff>2974468</xdr:colOff>
      <xdr:row>1</xdr:row>
      <xdr:rowOff>66220</xdr:rowOff>
    </xdr:to>
    <xdr:grpSp>
      <xdr:nvGrpSpPr>
        <xdr:cNvPr id="23" name="G FTP_MOODLE"/>
        <xdr:cNvGrpSpPr/>
      </xdr:nvGrpSpPr>
      <xdr:grpSpPr>
        <a:xfrm>
          <a:off x="1666875" y="0"/>
          <a:ext cx="2974468" cy="569684"/>
          <a:chOff x="2844102" y="0"/>
          <a:chExt cx="2974468" cy="572030"/>
        </a:xfrm>
      </xdr:grpSpPr>
      <xdr:pic>
        <xdr:nvPicPr>
          <xdr:cNvPr id="24" name="FTP-MOODLE"/>
          <xdr:cNvPicPr>
            <a:picLocks noChangeAspect="1"/>
          </xdr:cNvPicPr>
        </xdr:nvPicPr>
        <xdr:blipFill rotWithShape="1">
          <a:blip xmlns:r="http://schemas.openxmlformats.org/officeDocument/2006/relationships" r:embed="rId3"/>
          <a:srcRect l="62747"/>
          <a:stretch/>
        </xdr:blipFill>
        <xdr:spPr>
          <a:xfrm>
            <a:off x="4838037" y="0"/>
            <a:ext cx="980533" cy="572030"/>
          </a:xfrm>
          <a:prstGeom prst="rect">
            <a:avLst/>
          </a:prstGeom>
        </xdr:spPr>
      </xdr:pic>
      <xdr:cxnSp macro="">
        <xdr:nvCxnSpPr>
          <xdr:cNvPr id="25" name="LINEA H"/>
          <xdr:cNvCxnSpPr/>
        </xdr:nvCxnSpPr>
        <xdr:spPr>
          <a:xfrm>
            <a:off x="2844102" y="261934"/>
            <a:ext cx="1836000"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xnSp macro="">
        <xdr:nvCxnSpPr>
          <xdr:cNvPr id="26" name="LINEA V"/>
          <xdr:cNvCxnSpPr/>
        </xdr:nvCxnSpPr>
        <xdr:spPr>
          <a:xfrm>
            <a:off x="4674733" y="1"/>
            <a:ext cx="0" cy="522170"/>
          </a:xfrm>
          <a:prstGeom prst="line">
            <a:avLst/>
          </a:prstGeom>
          <a:ln w="19050">
            <a:solidFill>
              <a:schemeClr val="bg1"/>
            </a:solidFill>
          </a:ln>
        </xdr:spPr>
        <xdr:style>
          <a:lnRef idx="1">
            <a:schemeClr val="accent1"/>
          </a:lnRef>
          <a:fillRef idx="0">
            <a:schemeClr val="accent1"/>
          </a:fillRef>
          <a:effectRef idx="0">
            <a:schemeClr val="accent1"/>
          </a:effectRef>
          <a:fontRef idx="minor">
            <a:schemeClr val="tx1"/>
          </a:fontRef>
        </xdr:style>
      </xdr:cxnSp>
    </xdr:grpSp>
    <xdr:clientData/>
  </xdr:twoCellAnchor>
  <xdr:twoCellAnchor>
    <xdr:from>
      <xdr:col>2</xdr:col>
      <xdr:colOff>0</xdr:colOff>
      <xdr:row>0</xdr:row>
      <xdr:rowOff>0</xdr:rowOff>
    </xdr:from>
    <xdr:to>
      <xdr:col>6</xdr:col>
      <xdr:colOff>99857</xdr:colOff>
      <xdr:row>0</xdr:row>
      <xdr:rowOff>496777</xdr:rowOff>
    </xdr:to>
    <xdr:grpSp>
      <xdr:nvGrpSpPr>
        <xdr:cNvPr id="11" name="Ir a"/>
        <xdr:cNvGrpSpPr/>
      </xdr:nvGrpSpPr>
      <xdr:grpSpPr>
        <a:xfrm>
          <a:off x="959304" y="0"/>
          <a:ext cx="807428" cy="496777"/>
          <a:chOff x="2090986" y="0"/>
          <a:chExt cx="802736" cy="496777"/>
        </a:xfrm>
      </xdr:grpSpPr>
      <xdr:cxnSp macro="">
        <xdr:nvCxnSpPr>
          <xdr:cNvPr id="17" name="LINEA"/>
          <xdr:cNvCxnSpPr/>
        </xdr:nvCxnSpPr>
        <xdr:spPr>
          <a:xfrm>
            <a:off x="2090986" y="319012"/>
            <a:ext cx="702000"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sp macro="[0]!IR_DATOS_GENERALES" textlink="">
        <xdr:nvSpPr>
          <xdr:cNvPr id="18" name="DATOS GENERALES"/>
          <xdr:cNvSpPr/>
        </xdr:nvSpPr>
        <xdr:spPr>
          <a:xfrm>
            <a:off x="2169091" y="0"/>
            <a:ext cx="724631" cy="321666"/>
          </a:xfrm>
          <a:prstGeom prst="rect">
            <a:avLst/>
          </a:prstGeom>
          <a:solidFill>
            <a:schemeClr val="bg1">
              <a:lumMod val="85000"/>
              <a:alpha val="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sp macro="[0]!IR_FORMULARIO" textlink="">
        <xdr:nvSpPr>
          <xdr:cNvPr id="19" name="FORMULARIO"/>
          <xdr:cNvSpPr/>
        </xdr:nvSpPr>
        <xdr:spPr>
          <a:xfrm>
            <a:off x="2175854" y="355886"/>
            <a:ext cx="716703" cy="140891"/>
          </a:xfrm>
          <a:prstGeom prst="rect">
            <a:avLst/>
          </a:prstGeom>
          <a:solidFill>
            <a:schemeClr val="bg1">
              <a:lumMod val="85000"/>
              <a:alpha val="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grpSp>
    <xdr:clientData/>
  </xdr:twoCellAnchor>
  <xdr:twoCellAnchor>
    <xdr:from>
      <xdr:col>6</xdr:col>
      <xdr:colOff>0</xdr:colOff>
      <xdr:row>0</xdr:row>
      <xdr:rowOff>0</xdr:rowOff>
    </xdr:from>
    <xdr:to>
      <xdr:col>6</xdr:col>
      <xdr:colOff>1930621</xdr:colOff>
      <xdr:row>0</xdr:row>
      <xdr:rowOff>472644</xdr:rowOff>
    </xdr:to>
    <xdr:grpSp>
      <xdr:nvGrpSpPr>
        <xdr:cNvPr id="20" name="PREGUNTA"/>
        <xdr:cNvGrpSpPr/>
      </xdr:nvGrpSpPr>
      <xdr:grpSpPr>
        <a:xfrm>
          <a:off x="1666875" y="0"/>
          <a:ext cx="1930621" cy="472644"/>
          <a:chOff x="2837089" y="19938"/>
          <a:chExt cx="1930621" cy="472644"/>
        </a:xfrm>
      </xdr:grpSpPr>
      <xdr:sp macro="[0]!INSERTAR_PREGUNTA" textlink="">
        <xdr:nvSpPr>
          <xdr:cNvPr id="21" name="INSERTAR"/>
          <xdr:cNvSpPr/>
        </xdr:nvSpPr>
        <xdr:spPr>
          <a:xfrm>
            <a:off x="2837089" y="19938"/>
            <a:ext cx="1914292" cy="204580"/>
          </a:xfrm>
          <a:prstGeom prst="rect">
            <a:avLst/>
          </a:prstGeom>
          <a:solidFill>
            <a:schemeClr val="bg1">
              <a:lumMod val="85000"/>
              <a:alpha val="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sp macro="[0]!BORRAR_PREGUNTA_DATOS" textlink="">
        <xdr:nvSpPr>
          <xdr:cNvPr id="22" name="BORRAR"/>
          <xdr:cNvSpPr/>
        </xdr:nvSpPr>
        <xdr:spPr>
          <a:xfrm>
            <a:off x="2853418" y="288002"/>
            <a:ext cx="1914292" cy="204580"/>
          </a:xfrm>
          <a:prstGeom prst="rect">
            <a:avLst/>
          </a:prstGeom>
          <a:solidFill>
            <a:schemeClr val="bg1">
              <a:lumMod val="85000"/>
              <a:alpha val="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grpSp>
    <xdr:clientData/>
  </xdr:twoCellAnchor>
  <xdr:twoCellAnchor editAs="oneCell">
    <xdr:from>
      <xdr:col>6</xdr:col>
      <xdr:colOff>3633108</xdr:colOff>
      <xdr:row>1</xdr:row>
      <xdr:rowOff>27215</xdr:rowOff>
    </xdr:from>
    <xdr:to>
      <xdr:col>6</xdr:col>
      <xdr:colOff>3928180</xdr:colOff>
      <xdr:row>1</xdr:row>
      <xdr:rowOff>280831</xdr:rowOff>
    </xdr:to>
    <xdr:pic macro="[0]!IR_INICIO">
      <xdr:nvPicPr>
        <xdr:cNvPr id="14" name="Casa_F_Naranja"/>
        <xdr:cNvPicPr>
          <a:picLocks noChangeAspect="1"/>
        </xdr:cNvPicPr>
      </xdr:nvPicPr>
      <xdr:blipFill>
        <a:blip xmlns:r="http://schemas.openxmlformats.org/officeDocument/2006/relationships" r:embed="rId4"/>
        <a:stretch>
          <a:fillRect/>
        </a:stretch>
      </xdr:blipFill>
      <xdr:spPr>
        <a:xfrm>
          <a:off x="5299983" y="530679"/>
          <a:ext cx="295072" cy="253616"/>
        </a:xfrm>
        <a:prstGeom prst="rect">
          <a:avLst/>
        </a:prstGeom>
      </xdr:spPr>
    </xdr:pic>
    <xdr:clientData/>
  </xdr:twoCellAnchor>
</xdr:wsDr>
</file>

<file path=xl/drawings/drawing12.xml><?xml version="1.0" encoding="utf-8"?>
<xdr:wsDr xmlns:xdr="http://schemas.openxmlformats.org/drawingml/2006/spreadsheetDrawing" xmlns:a="http://schemas.openxmlformats.org/drawingml/2006/main">
  <xdr:twoCellAnchor>
    <xdr:from>
      <xdr:col>1</xdr:col>
      <xdr:colOff>0</xdr:colOff>
      <xdr:row>11</xdr:row>
      <xdr:rowOff>0</xdr:rowOff>
    </xdr:from>
    <xdr:to>
      <xdr:col>22</xdr:col>
      <xdr:colOff>358134</xdr:colOff>
      <xdr:row>35</xdr:row>
      <xdr:rowOff>16568</xdr:rowOff>
    </xdr:to>
    <xdr:grpSp>
      <xdr:nvGrpSpPr>
        <xdr:cNvPr id="29" name="G IMAGENES"/>
        <xdr:cNvGrpSpPr/>
      </xdr:nvGrpSpPr>
      <xdr:grpSpPr>
        <a:xfrm>
          <a:off x="714375" y="1435554"/>
          <a:ext cx="8161830" cy="3302693"/>
          <a:chOff x="716113" y="1439179"/>
          <a:chExt cx="8186711" cy="3312079"/>
        </a:xfrm>
      </xdr:grpSpPr>
      <xdr:pic>
        <xdr:nvPicPr>
          <xdr:cNvPr id="2" name="MOODLE">
            <a:hlinkClick xmlns:r="http://schemas.openxmlformats.org/officeDocument/2006/relationships" r:id="rId1"/>
          </xdr:cNvPr>
          <xdr:cNvPicPr>
            <a:picLocks noChangeAspect="1"/>
          </xdr:cNvPicPr>
        </xdr:nvPicPr>
        <xdr:blipFill rotWithShape="1">
          <a:blip xmlns:r="http://schemas.openxmlformats.org/officeDocument/2006/relationships" r:embed="rId2"/>
          <a:srcRect l="-29988" t="2" r="-446380" b="5496"/>
          <a:stretch/>
        </xdr:blipFill>
        <xdr:spPr>
          <a:xfrm>
            <a:off x="716113" y="1439179"/>
            <a:ext cx="2084002" cy="349423"/>
          </a:xfrm>
          <a:prstGeom prst="rect">
            <a:avLst/>
          </a:prstGeom>
        </xdr:spPr>
      </xdr:pic>
      <xdr:pic macro="[0]!MENU_AYUDA">
        <xdr:nvPicPr>
          <xdr:cNvPr id="3" name="FTP"/>
          <xdr:cNvPicPr>
            <a:picLocks noChangeAspect="1"/>
          </xdr:cNvPicPr>
        </xdr:nvPicPr>
        <xdr:blipFill rotWithShape="1">
          <a:blip xmlns:r="http://schemas.openxmlformats.org/officeDocument/2006/relationships" r:embed="rId3"/>
          <a:srcRect l="8903" r="-34835" b="9685"/>
          <a:stretch/>
        </xdr:blipFill>
        <xdr:spPr>
          <a:xfrm>
            <a:off x="896880" y="4206296"/>
            <a:ext cx="722633" cy="526331"/>
          </a:xfrm>
          <a:prstGeom prst="rect">
            <a:avLst/>
          </a:prstGeom>
        </xdr:spPr>
      </xdr:pic>
      <xdr:pic>
        <xdr:nvPicPr>
          <xdr:cNvPr id="30" name="UCA">
            <a:hlinkClick xmlns:r="http://schemas.openxmlformats.org/officeDocument/2006/relationships" r:id="rId4"/>
          </xdr:cNvPr>
          <xdr:cNvPicPr>
            <a:picLocks noChangeAspect="1"/>
          </xdr:cNvPicPr>
        </xdr:nvPicPr>
        <xdr:blipFill>
          <a:blip xmlns:r="http://schemas.openxmlformats.org/officeDocument/2006/relationships" r:embed="rId5" cstate="print">
            <a:extLst>
              <a:ext uri="{28A0092B-C50C-407E-A947-70E740481C1C}">
                <a14:useLocalDpi xmlns:a14="http://schemas.microsoft.com/office/drawing/2010/main" val="0"/>
              </a:ext>
            </a:extLst>
          </a:blip>
          <a:stretch>
            <a:fillRect/>
          </a:stretch>
        </xdr:blipFill>
        <xdr:spPr>
          <a:xfrm>
            <a:off x="7015128" y="4004672"/>
            <a:ext cx="1887696" cy="746586"/>
          </a:xfrm>
          <a:prstGeom prst="rect">
            <a:avLst/>
          </a:prstGeom>
          <a:ln w="25400">
            <a:solidFill>
              <a:srgbClr val="E87B00"/>
            </a:solidFill>
          </a:ln>
        </xdr:spPr>
      </xdr:pic>
    </xdr:grpSp>
    <xdr:clientData/>
  </xdr:twoCellAnchor>
  <xdr:twoCellAnchor>
    <xdr:from>
      <xdr:col>0</xdr:col>
      <xdr:colOff>0</xdr:colOff>
      <xdr:row>0</xdr:row>
      <xdr:rowOff>0</xdr:rowOff>
    </xdr:from>
    <xdr:to>
      <xdr:col>1</xdr:col>
      <xdr:colOff>1713</xdr:colOff>
      <xdr:row>35</xdr:row>
      <xdr:rowOff>5147</xdr:rowOff>
    </xdr:to>
    <xdr:grpSp>
      <xdr:nvGrpSpPr>
        <xdr:cNvPr id="31" name="G Menu LATERAL"/>
        <xdr:cNvGrpSpPr/>
      </xdr:nvGrpSpPr>
      <xdr:grpSpPr>
        <a:xfrm>
          <a:off x="0" y="0"/>
          <a:ext cx="716088" cy="4726826"/>
          <a:chOff x="0" y="0"/>
          <a:chExt cx="717826" cy="4739837"/>
        </a:xfrm>
      </xdr:grpSpPr>
      <xdr:sp macro="[0]!Copia_CODIGOS_INFORMACION" textlink="">
        <xdr:nvSpPr>
          <xdr:cNvPr id="4" name="CODIGOS ESPECIALES"/>
          <xdr:cNvSpPr/>
        </xdr:nvSpPr>
        <xdr:spPr>
          <a:xfrm>
            <a:off x="0" y="0"/>
            <a:ext cx="716221" cy="344413"/>
          </a:xfrm>
          <a:prstGeom prst="rect">
            <a:avLst/>
          </a:prstGeom>
          <a:solidFill>
            <a:schemeClr val="bg1">
              <a:lumMod val="85000"/>
              <a:alpha val="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sp macro="[0]!Copia_Formula" textlink="">
        <xdr:nvSpPr>
          <xdr:cNvPr id="5" name="FORMULA"/>
          <xdr:cNvSpPr/>
        </xdr:nvSpPr>
        <xdr:spPr>
          <a:xfrm>
            <a:off x="0" y="444964"/>
            <a:ext cx="717826" cy="192865"/>
          </a:xfrm>
          <a:prstGeom prst="rect">
            <a:avLst/>
          </a:prstGeom>
          <a:solidFill>
            <a:schemeClr val="bg1">
              <a:lumMod val="85000"/>
              <a:alpha val="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sp macro="[0]!Copia_Superindice" textlink="">
        <xdr:nvSpPr>
          <xdr:cNvPr id="6" name="SUPERINDICE"/>
          <xdr:cNvSpPr/>
        </xdr:nvSpPr>
        <xdr:spPr>
          <a:xfrm>
            <a:off x="0" y="709161"/>
            <a:ext cx="717826" cy="192866"/>
          </a:xfrm>
          <a:prstGeom prst="rect">
            <a:avLst/>
          </a:prstGeom>
          <a:solidFill>
            <a:schemeClr val="bg1">
              <a:lumMod val="85000"/>
              <a:alpha val="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sp macro="[0]!Copia_Subindice" textlink="">
        <xdr:nvSpPr>
          <xdr:cNvPr id="7" name="SUBINDICE"/>
          <xdr:cNvSpPr/>
        </xdr:nvSpPr>
        <xdr:spPr>
          <a:xfrm>
            <a:off x="0" y="973358"/>
            <a:ext cx="717826" cy="192865"/>
          </a:xfrm>
          <a:prstGeom prst="rect">
            <a:avLst/>
          </a:prstGeom>
          <a:solidFill>
            <a:schemeClr val="bg1">
              <a:lumMod val="85000"/>
              <a:alpha val="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sp macro="[0]!Copia_Salto_Linea" textlink="">
        <xdr:nvSpPr>
          <xdr:cNvPr id="8" name="SALTO LINEA"/>
          <xdr:cNvSpPr/>
        </xdr:nvSpPr>
        <xdr:spPr>
          <a:xfrm>
            <a:off x="0" y="1237555"/>
            <a:ext cx="717826" cy="197017"/>
          </a:xfrm>
          <a:prstGeom prst="rect">
            <a:avLst/>
          </a:prstGeom>
          <a:solidFill>
            <a:schemeClr val="bg1">
              <a:lumMod val="85000"/>
              <a:alpha val="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sp macro="[0]!Copia_Concatenar" textlink="">
        <xdr:nvSpPr>
          <xdr:cNvPr id="9" name="CONCATENAR"/>
          <xdr:cNvSpPr/>
        </xdr:nvSpPr>
        <xdr:spPr>
          <a:xfrm>
            <a:off x="0" y="1515657"/>
            <a:ext cx="717826" cy="197017"/>
          </a:xfrm>
          <a:prstGeom prst="rect">
            <a:avLst/>
          </a:prstGeom>
          <a:solidFill>
            <a:schemeClr val="bg1">
              <a:lumMod val="85000"/>
              <a:alpha val="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sp macro="[0]!Copia_Negrita" textlink="">
        <xdr:nvSpPr>
          <xdr:cNvPr id="10" name="NEGRITA"/>
          <xdr:cNvSpPr/>
        </xdr:nvSpPr>
        <xdr:spPr>
          <a:xfrm>
            <a:off x="0" y="1793759"/>
            <a:ext cx="717826" cy="197017"/>
          </a:xfrm>
          <a:prstGeom prst="rect">
            <a:avLst/>
          </a:prstGeom>
          <a:solidFill>
            <a:schemeClr val="bg1">
              <a:lumMod val="85000"/>
              <a:alpha val="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sp macro="[0]!Copia_Espacios" textlink="">
        <xdr:nvSpPr>
          <xdr:cNvPr id="11" name="ESPACIOS"/>
          <xdr:cNvSpPr/>
        </xdr:nvSpPr>
        <xdr:spPr>
          <a:xfrm>
            <a:off x="0" y="2077713"/>
            <a:ext cx="717826" cy="193966"/>
          </a:xfrm>
          <a:prstGeom prst="rect">
            <a:avLst/>
          </a:prstGeom>
          <a:solidFill>
            <a:schemeClr val="bg1">
              <a:lumMod val="85000"/>
              <a:alpha val="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sp macro="[0]!Copia_Color_Texto_Rojo" textlink="">
        <xdr:nvSpPr>
          <xdr:cNvPr id="12" name="TEXTO ROJO"/>
          <xdr:cNvSpPr/>
        </xdr:nvSpPr>
        <xdr:spPr>
          <a:xfrm>
            <a:off x="0" y="2343011"/>
            <a:ext cx="717826" cy="197017"/>
          </a:xfrm>
          <a:prstGeom prst="rect">
            <a:avLst/>
          </a:prstGeom>
          <a:solidFill>
            <a:schemeClr val="bg1">
              <a:lumMod val="85000"/>
              <a:alpha val="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sp macro="[0]!Copia_Color_Texto_Azul" textlink="">
        <xdr:nvSpPr>
          <xdr:cNvPr id="13" name="TEXTO AZUL"/>
          <xdr:cNvSpPr/>
        </xdr:nvSpPr>
        <xdr:spPr>
          <a:xfrm>
            <a:off x="0" y="2620012"/>
            <a:ext cx="717826" cy="198118"/>
          </a:xfrm>
          <a:prstGeom prst="rect">
            <a:avLst/>
          </a:prstGeom>
          <a:solidFill>
            <a:schemeClr val="bg1">
              <a:lumMod val="85000"/>
              <a:alpha val="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sp macro="[0]!Copia_Color_Texto_Otro" textlink="">
        <xdr:nvSpPr>
          <xdr:cNvPr id="14" name="TEXTO OTRO"/>
          <xdr:cNvSpPr/>
        </xdr:nvSpPr>
        <xdr:spPr>
          <a:xfrm>
            <a:off x="0" y="2906168"/>
            <a:ext cx="717826" cy="197017"/>
          </a:xfrm>
          <a:prstGeom prst="rect">
            <a:avLst/>
          </a:prstGeom>
          <a:solidFill>
            <a:schemeClr val="bg1">
              <a:lumMod val="85000"/>
              <a:alpha val="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sp macro="[0]!Copia_Imagen" textlink="">
        <xdr:nvSpPr>
          <xdr:cNvPr id="15" name="INSERTAR IMAGENES"/>
          <xdr:cNvSpPr/>
        </xdr:nvSpPr>
        <xdr:spPr>
          <a:xfrm>
            <a:off x="0" y="3191223"/>
            <a:ext cx="717826" cy="422688"/>
          </a:xfrm>
          <a:prstGeom prst="rect">
            <a:avLst/>
          </a:prstGeom>
          <a:solidFill>
            <a:schemeClr val="bg1">
              <a:lumMod val="85000"/>
              <a:alpha val="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sp macro="[0]!Celdas_Formulas_INFORMACION" textlink="">
        <xdr:nvSpPr>
          <xdr:cNvPr id="16" name="USAR VARIABLES"/>
          <xdr:cNvSpPr/>
        </xdr:nvSpPr>
        <xdr:spPr>
          <a:xfrm>
            <a:off x="0" y="3719617"/>
            <a:ext cx="717826" cy="444636"/>
          </a:xfrm>
          <a:prstGeom prst="rect">
            <a:avLst/>
          </a:prstGeom>
          <a:solidFill>
            <a:schemeClr val="bg1">
              <a:lumMod val="85000"/>
              <a:alpha val="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sp macro="[0]!Celdas_Formulas_Activar" textlink="">
        <xdr:nvSpPr>
          <xdr:cNvPr id="17" name="ACTIVAR VARIABLES"/>
          <xdr:cNvSpPr/>
        </xdr:nvSpPr>
        <xdr:spPr>
          <a:xfrm>
            <a:off x="0" y="4282774"/>
            <a:ext cx="717826" cy="192866"/>
          </a:xfrm>
          <a:prstGeom prst="rect">
            <a:avLst/>
          </a:prstGeom>
          <a:solidFill>
            <a:schemeClr val="bg1">
              <a:lumMod val="85000"/>
              <a:alpha val="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sp macro="[0]!Celdas_Formulas_Desactivar" textlink="">
        <xdr:nvSpPr>
          <xdr:cNvPr id="18" name="DESACTIVAR VARIABLES"/>
          <xdr:cNvSpPr/>
        </xdr:nvSpPr>
        <xdr:spPr>
          <a:xfrm>
            <a:off x="0" y="4546971"/>
            <a:ext cx="717826" cy="192866"/>
          </a:xfrm>
          <a:prstGeom prst="rect">
            <a:avLst/>
          </a:prstGeom>
          <a:solidFill>
            <a:schemeClr val="bg1">
              <a:lumMod val="85000"/>
              <a:alpha val="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grpSp>
    <xdr:clientData/>
  </xdr:twoCellAnchor>
  <xdr:twoCellAnchor>
    <xdr:from>
      <xdr:col>26</xdr:col>
      <xdr:colOff>0</xdr:colOff>
      <xdr:row>1</xdr:row>
      <xdr:rowOff>0</xdr:rowOff>
    </xdr:from>
    <xdr:to>
      <xdr:col>27</xdr:col>
      <xdr:colOff>159</xdr:colOff>
      <xdr:row>3</xdr:row>
      <xdr:rowOff>1</xdr:rowOff>
    </xdr:to>
    <xdr:sp macro="[0]!Limpiar_Datos_Variables" textlink="">
      <xdr:nvSpPr>
        <xdr:cNvPr id="19" name="BORRAR VARIABLES" hidden="1"/>
        <xdr:cNvSpPr/>
      </xdr:nvSpPr>
      <xdr:spPr>
        <a:xfrm>
          <a:off x="9976556" y="28222"/>
          <a:ext cx="712770" cy="345723"/>
        </a:xfrm>
        <a:prstGeom prst="rect">
          <a:avLst/>
        </a:prstGeom>
        <a:solidFill>
          <a:schemeClr val="bg1">
            <a:lumMod val="85000"/>
            <a:alpha val="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clientData/>
  </xdr:twoCellAnchor>
  <xdr:twoCellAnchor>
    <xdr:from>
      <xdr:col>11</xdr:col>
      <xdr:colOff>0</xdr:colOff>
      <xdr:row>1</xdr:row>
      <xdr:rowOff>0</xdr:rowOff>
    </xdr:from>
    <xdr:to>
      <xdr:col>22</xdr:col>
      <xdr:colOff>331770</xdr:colOff>
      <xdr:row>3</xdr:row>
      <xdr:rowOff>1</xdr:rowOff>
    </xdr:to>
    <xdr:grpSp>
      <xdr:nvGrpSpPr>
        <xdr:cNvPr id="28" name="G Menu SUPERIOR"/>
        <xdr:cNvGrpSpPr/>
      </xdr:nvGrpSpPr>
      <xdr:grpSpPr>
        <a:xfrm>
          <a:off x="4327071" y="27214"/>
          <a:ext cx="4522770" cy="340180"/>
          <a:chOff x="4338394" y="27810"/>
          <a:chExt cx="4538066" cy="340676"/>
        </a:xfrm>
      </xdr:grpSpPr>
      <xdr:sp macro="[0]!IR_DATOS_GENERALES" textlink="">
        <xdr:nvSpPr>
          <xdr:cNvPr id="20" name="DATOS GENERALES"/>
          <xdr:cNvSpPr/>
        </xdr:nvSpPr>
        <xdr:spPr>
          <a:xfrm>
            <a:off x="4338394" y="27810"/>
            <a:ext cx="714161" cy="340676"/>
          </a:xfrm>
          <a:prstGeom prst="rect">
            <a:avLst/>
          </a:prstGeom>
          <a:solidFill>
            <a:schemeClr val="bg1">
              <a:lumMod val="85000"/>
              <a:alpha val="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sp macro="[0]!IR_BANCO_PREGUNTAS" textlink="">
        <xdr:nvSpPr>
          <xdr:cNvPr id="21" name="BANCO PREGUNTAS"/>
          <xdr:cNvSpPr/>
        </xdr:nvSpPr>
        <xdr:spPr>
          <a:xfrm>
            <a:off x="5103175" y="27810"/>
            <a:ext cx="714161" cy="340676"/>
          </a:xfrm>
          <a:prstGeom prst="rect">
            <a:avLst/>
          </a:prstGeom>
          <a:solidFill>
            <a:schemeClr val="bg1">
              <a:lumMod val="85000"/>
              <a:alpha val="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sp macro="[0]!Limpiar_Datos_Formulario" textlink="">
        <xdr:nvSpPr>
          <xdr:cNvPr id="22" name="LIMPIAR DATOS"/>
          <xdr:cNvSpPr/>
        </xdr:nvSpPr>
        <xdr:spPr>
          <a:xfrm>
            <a:off x="5867956" y="27810"/>
            <a:ext cx="714161" cy="340676"/>
          </a:xfrm>
          <a:prstGeom prst="rect">
            <a:avLst/>
          </a:prstGeom>
          <a:solidFill>
            <a:schemeClr val="bg1">
              <a:lumMod val="85000"/>
              <a:alpha val="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sp macro="[0]!Guardar_Pregunta" textlink="">
        <xdr:nvSpPr>
          <xdr:cNvPr id="23" name="GUARDAR PREGUNTAS"/>
          <xdr:cNvSpPr/>
        </xdr:nvSpPr>
        <xdr:spPr>
          <a:xfrm>
            <a:off x="6632737" y="27810"/>
            <a:ext cx="714161" cy="340676"/>
          </a:xfrm>
          <a:prstGeom prst="rect">
            <a:avLst/>
          </a:prstGeom>
          <a:solidFill>
            <a:schemeClr val="bg1">
              <a:lumMod val="85000"/>
              <a:alpha val="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sp macro="[0]!Borrar_Pregunta" textlink="">
        <xdr:nvSpPr>
          <xdr:cNvPr id="24" name="BORRAR PREGUNTAS"/>
          <xdr:cNvSpPr/>
        </xdr:nvSpPr>
        <xdr:spPr>
          <a:xfrm>
            <a:off x="7397518" y="27810"/>
            <a:ext cx="714161" cy="340676"/>
          </a:xfrm>
          <a:prstGeom prst="rect">
            <a:avLst/>
          </a:prstGeom>
          <a:solidFill>
            <a:schemeClr val="bg1">
              <a:lumMod val="85000"/>
              <a:alpha val="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sp macro="[0]!Formato_FORMULARIO" textlink="">
        <xdr:nvSpPr>
          <xdr:cNvPr id="25" name="DAR FORMATO"/>
          <xdr:cNvSpPr/>
        </xdr:nvSpPr>
        <xdr:spPr>
          <a:xfrm>
            <a:off x="8162299" y="27810"/>
            <a:ext cx="714161" cy="340676"/>
          </a:xfrm>
          <a:prstGeom prst="rect">
            <a:avLst/>
          </a:prstGeom>
          <a:solidFill>
            <a:schemeClr val="bg1">
              <a:lumMod val="85000"/>
              <a:alpha val="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grpSp>
    <xdr:clientData/>
  </xdr:twoCellAnchor>
  <xdr:oneCellAnchor>
    <xdr:from>
      <xdr:col>13</xdr:col>
      <xdr:colOff>0</xdr:colOff>
      <xdr:row>4</xdr:row>
      <xdr:rowOff>0</xdr:rowOff>
    </xdr:from>
    <xdr:ext cx="1520162" cy="170703"/>
    <xdr:pic macro="[0]!Almacenar_Formulas">
      <xdr:nvPicPr>
        <xdr:cNvPr id="42" name="ALMACENAR FORMULAS"/>
        <xdr:cNvPicPr>
          <a:picLocks noChangeAspect="1"/>
        </xdr:cNvPicPr>
      </xdr:nvPicPr>
      <xdr:blipFill>
        <a:blip xmlns:r="http://schemas.openxmlformats.org/officeDocument/2006/relationships" r:embed="rId6"/>
        <a:stretch>
          <a:fillRect/>
        </a:stretch>
      </xdr:blipFill>
      <xdr:spPr>
        <a:xfrm>
          <a:off x="5086350" y="447675"/>
          <a:ext cx="1520162" cy="170703"/>
        </a:xfrm>
        <a:prstGeom prst="rect">
          <a:avLst/>
        </a:prstGeom>
      </xdr:spPr>
    </xdr:pic>
    <xdr:clientData/>
  </xdr:oneCellAnchor>
  <xdr:twoCellAnchor>
    <xdr:from>
      <xdr:col>11</xdr:col>
      <xdr:colOff>0</xdr:colOff>
      <xdr:row>4</xdr:row>
      <xdr:rowOff>0</xdr:rowOff>
    </xdr:from>
    <xdr:to>
      <xdr:col>12</xdr:col>
      <xdr:colOff>314325</xdr:colOff>
      <xdr:row>5</xdr:row>
      <xdr:rowOff>19050</xdr:rowOff>
    </xdr:to>
    <xdr:grpSp>
      <xdr:nvGrpSpPr>
        <xdr:cNvPr id="26" name="G Pregunta"/>
        <xdr:cNvGrpSpPr/>
      </xdr:nvGrpSpPr>
      <xdr:grpSpPr>
        <a:xfrm>
          <a:off x="4327071" y="442232"/>
          <a:ext cx="695325" cy="209550"/>
          <a:chOff x="4330212" y="446942"/>
          <a:chExt cx="695316" cy="209552"/>
        </a:xfrm>
      </xdr:grpSpPr>
      <xdr:sp macro="[0]!Elegir_Pregunta" textlink="">
        <xdr:nvSpPr>
          <xdr:cNvPr id="32" name="Pregunta"/>
          <xdr:cNvSpPr/>
        </xdr:nvSpPr>
        <xdr:spPr>
          <a:xfrm>
            <a:off x="4330212" y="446942"/>
            <a:ext cx="346364" cy="180398"/>
          </a:xfrm>
          <a:prstGeom prst="rect">
            <a:avLst/>
          </a:prstGeom>
          <a:solidFill>
            <a:schemeClr val="bg1">
              <a:lumMod val="85000"/>
              <a:alpha val="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mc:AlternateContent xmlns:mc="http://schemas.openxmlformats.org/markup-compatibility/2006">
        <mc:Choice xmlns:a14="http://schemas.microsoft.com/office/drawing/2010/main" Requires="a14">
          <xdr:sp macro="" textlink="">
            <xdr:nvSpPr>
              <xdr:cNvPr id="18435" name="Contador 1" descr="Para consultar los datos de cada pregunta." hidden="1">
                <a:extLst>
                  <a:ext uri="{63B3BB69-23CF-44E3-9099-C40C66FF867C}">
                    <a14:compatExt spid="_x0000_s18435"/>
                  </a:ext>
                </a:extLst>
              </xdr:cNvPr>
              <xdr:cNvSpPr/>
            </xdr:nvSpPr>
            <xdr:spPr bwMode="auto">
              <a:xfrm>
                <a:off x="4701687" y="446944"/>
                <a:ext cx="85725" cy="209550"/>
              </a:xfrm>
              <a:prstGeom prst="rect">
                <a:avLst/>
              </a:prstGeom>
              <a:noFill/>
              <a:ln w="9525">
                <a:miter lim="800000"/>
                <a:headEnd/>
                <a:tailEnd/>
              </a:ln>
            </xdr:spPr>
          </xdr:sp>
        </mc:Choice>
        <mc:Fallback/>
      </mc:AlternateContent>
      <mc:AlternateContent xmlns:mc="http://schemas.openxmlformats.org/markup-compatibility/2006">
        <mc:Choice xmlns:a14="http://schemas.microsoft.com/office/drawing/2010/main" Requires="a14">
          <xdr:sp macro="" textlink="">
            <xdr:nvSpPr>
              <xdr:cNvPr id="18436" name="Box PREGUNTAS" hidden="1">
                <a:extLst>
                  <a:ext uri="{63B3BB69-23CF-44E3-9099-C40C66FF867C}">
                    <a14:compatExt spid="_x0000_s18436"/>
                  </a:ext>
                </a:extLst>
              </xdr:cNvPr>
              <xdr:cNvSpPr/>
            </xdr:nvSpPr>
            <xdr:spPr bwMode="auto">
              <a:xfrm>
                <a:off x="4787407" y="446942"/>
                <a:ext cx="238121" cy="19050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mc:Choice>
        <mc:Fallback/>
      </mc:AlternateContent>
    </xdr:grpSp>
    <xdr:clientData/>
  </xdr:twoCellAnchor>
  <xdr:twoCellAnchor>
    <xdr:from>
      <xdr:col>7</xdr:col>
      <xdr:colOff>0</xdr:colOff>
      <xdr:row>3</xdr:row>
      <xdr:rowOff>66675</xdr:rowOff>
    </xdr:from>
    <xdr:to>
      <xdr:col>8</xdr:col>
      <xdr:colOff>114300</xdr:colOff>
      <xdr:row>5</xdr:row>
      <xdr:rowOff>9525</xdr:rowOff>
    </xdr:to>
    <xdr:grpSp>
      <xdr:nvGrpSpPr>
        <xdr:cNvPr id="27" name="G Pregunta Inicial"/>
        <xdr:cNvGrpSpPr/>
      </xdr:nvGrpSpPr>
      <xdr:grpSpPr>
        <a:xfrm>
          <a:off x="2803071" y="434068"/>
          <a:ext cx="495300" cy="208189"/>
          <a:chOff x="2806212" y="440348"/>
          <a:chExt cx="495277" cy="206619"/>
        </a:xfrm>
      </xdr:grpSpPr>
      <xdr:sp macro="" textlink="">
        <xdr:nvSpPr>
          <xdr:cNvPr id="34" name="NADA"/>
          <xdr:cNvSpPr/>
        </xdr:nvSpPr>
        <xdr:spPr>
          <a:xfrm>
            <a:off x="2806212" y="446942"/>
            <a:ext cx="346364" cy="180398"/>
          </a:xfrm>
          <a:prstGeom prst="rect">
            <a:avLst/>
          </a:prstGeom>
          <a:solidFill>
            <a:schemeClr val="bg1">
              <a:lumMod val="85000"/>
              <a:alpha val="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mc:AlternateContent xmlns:mc="http://schemas.openxmlformats.org/markup-compatibility/2006">
        <mc:Choice xmlns:a14="http://schemas.microsoft.com/office/drawing/2010/main" Requires="a14">
          <xdr:sp macro="" textlink="">
            <xdr:nvSpPr>
              <xdr:cNvPr id="18433" name="Contador 10" descr="Para consultar los datos de cada pregunta." hidden="1">
                <a:extLst>
                  <a:ext uri="{63B3BB69-23CF-44E3-9099-C40C66FF867C}">
                    <a14:compatExt spid="_x0000_s18433"/>
                  </a:ext>
                </a:extLst>
              </xdr:cNvPr>
              <xdr:cNvSpPr/>
            </xdr:nvSpPr>
            <xdr:spPr bwMode="auto">
              <a:xfrm>
                <a:off x="3130062" y="440348"/>
                <a:ext cx="85725" cy="206619"/>
              </a:xfrm>
              <a:prstGeom prst="rect">
                <a:avLst/>
              </a:prstGeom>
              <a:noFill/>
              <a:ln w="9525">
                <a:miter lim="800000"/>
                <a:headEnd/>
                <a:tailEnd/>
              </a:ln>
            </xdr:spPr>
          </xdr:sp>
        </mc:Choice>
        <mc:Fallback/>
      </mc:AlternateContent>
      <mc:AlternateContent xmlns:mc="http://schemas.openxmlformats.org/markup-compatibility/2006">
        <mc:Choice xmlns:a14="http://schemas.microsoft.com/office/drawing/2010/main" Requires="a14">
          <xdr:sp macro="" textlink="">
            <xdr:nvSpPr>
              <xdr:cNvPr id="18434" name="Contador 100" descr="Para consultar los datos de cada pregunta." hidden="1">
                <a:extLst>
                  <a:ext uri="{63B3BB69-23CF-44E3-9099-C40C66FF867C}">
                    <a14:compatExt spid="_x0000_s18434"/>
                  </a:ext>
                </a:extLst>
              </xdr:cNvPr>
              <xdr:cNvSpPr/>
            </xdr:nvSpPr>
            <xdr:spPr bwMode="auto">
              <a:xfrm>
                <a:off x="3215764" y="440348"/>
                <a:ext cx="85725" cy="206619"/>
              </a:xfrm>
              <a:prstGeom prst="rect">
                <a:avLst/>
              </a:prstGeom>
              <a:noFill/>
              <a:ln w="9525">
                <a:miter lim="800000"/>
                <a:headEnd/>
                <a:tailEnd/>
              </a:ln>
            </xdr:spPr>
          </xdr:sp>
        </mc:Choice>
        <mc:Fallback/>
      </mc:AlternateContent>
    </xdr:grpSp>
    <xdr:clientData/>
  </xdr:twoCellAnchor>
  <xdr:twoCellAnchor editAs="oneCell">
    <xdr:from>
      <xdr:col>1</xdr:col>
      <xdr:colOff>153866</xdr:colOff>
      <xdr:row>7</xdr:row>
      <xdr:rowOff>29308</xdr:rowOff>
    </xdr:from>
    <xdr:to>
      <xdr:col>2</xdr:col>
      <xdr:colOff>264276</xdr:colOff>
      <xdr:row>9</xdr:row>
      <xdr:rowOff>24454</xdr:rowOff>
    </xdr:to>
    <xdr:pic macro="[0]!IR_INICIO">
      <xdr:nvPicPr>
        <xdr:cNvPr id="39" name="Casa_F_Gris"/>
        <xdr:cNvPicPr>
          <a:picLocks noChangeAspect="1"/>
        </xdr:cNvPicPr>
      </xdr:nvPicPr>
      <xdr:blipFill>
        <a:blip xmlns:r="http://schemas.openxmlformats.org/officeDocument/2006/relationships" r:embed="rId7"/>
        <a:stretch>
          <a:fillRect/>
        </a:stretch>
      </xdr:blipFill>
      <xdr:spPr>
        <a:xfrm>
          <a:off x="868241" y="934183"/>
          <a:ext cx="291385" cy="261846"/>
        </a:xfrm>
        <a:prstGeom prst="rect">
          <a:avLst/>
        </a:prstGeom>
      </xdr:spPr>
    </xdr:pic>
    <xdr:clientData/>
  </xdr:twoCellAnchor>
</xdr:wsDr>
</file>

<file path=xl/drawings/drawing13.xml><?xml version="1.0" encoding="utf-8"?>
<xdr:wsDr xmlns:xdr="http://schemas.openxmlformats.org/drawingml/2006/spreadsheetDrawing" xmlns:a="http://schemas.openxmlformats.org/drawingml/2006/main">
  <xdr:twoCellAnchor>
    <xdr:from>
      <xdr:col>0</xdr:col>
      <xdr:colOff>0</xdr:colOff>
      <xdr:row>0</xdr:row>
      <xdr:rowOff>0</xdr:rowOff>
    </xdr:from>
    <xdr:to>
      <xdr:col>1</xdr:col>
      <xdr:colOff>179848</xdr:colOff>
      <xdr:row>0</xdr:row>
      <xdr:rowOff>321878</xdr:rowOff>
    </xdr:to>
    <xdr:pic>
      <xdr:nvPicPr>
        <xdr:cNvPr id="8" name="UCA">
          <a:hlinkClick xmlns:r="http://schemas.openxmlformats.org/officeDocument/2006/relationships" r:id="rId1"/>
        </xdr:cNvPr>
        <xdr:cNvPicPr>
          <a:picLocks noChangeAspect="1"/>
        </xdr:cNvPicPr>
      </xdr:nvPicPr>
      <xdr:blipFill>
        <a:blip xmlns:r="http://schemas.openxmlformats.org/officeDocument/2006/relationships" r:embed="rId2" cstate="print">
          <a:extLst>
            <a:ext uri="{28A0092B-C50C-407E-A947-70E740481C1C}">
              <a14:useLocalDpi xmlns:a14="http://schemas.microsoft.com/office/drawing/2010/main" val="0"/>
            </a:ext>
          </a:extLst>
        </a:blip>
        <a:stretch>
          <a:fillRect/>
        </a:stretch>
      </xdr:blipFill>
      <xdr:spPr>
        <a:xfrm>
          <a:off x="0" y="0"/>
          <a:ext cx="830176" cy="321878"/>
        </a:xfrm>
        <a:prstGeom prst="rect">
          <a:avLst/>
        </a:prstGeom>
        <a:ln w="12700">
          <a:solidFill>
            <a:srgbClr val="E87B00"/>
          </a:solidFill>
        </a:ln>
      </xdr:spPr>
    </xdr:pic>
    <xdr:clientData/>
  </xdr:twoCellAnchor>
  <xdr:twoCellAnchor>
    <xdr:from>
      <xdr:col>6</xdr:col>
      <xdr:colOff>0</xdr:colOff>
      <xdr:row>0</xdr:row>
      <xdr:rowOff>0</xdr:rowOff>
    </xdr:from>
    <xdr:to>
      <xdr:col>6</xdr:col>
      <xdr:colOff>2974468</xdr:colOff>
      <xdr:row>1</xdr:row>
      <xdr:rowOff>66014</xdr:rowOff>
    </xdr:to>
    <xdr:grpSp>
      <xdr:nvGrpSpPr>
        <xdr:cNvPr id="23" name="G FTP_MOODLE"/>
        <xdr:cNvGrpSpPr/>
      </xdr:nvGrpSpPr>
      <xdr:grpSpPr>
        <a:xfrm>
          <a:off x="2034268" y="0"/>
          <a:ext cx="2974468" cy="569478"/>
          <a:chOff x="2844102" y="0"/>
          <a:chExt cx="2974468" cy="572030"/>
        </a:xfrm>
      </xdr:grpSpPr>
      <xdr:pic>
        <xdr:nvPicPr>
          <xdr:cNvPr id="24" name="FTP-MOODLE"/>
          <xdr:cNvPicPr>
            <a:picLocks noChangeAspect="1"/>
          </xdr:cNvPicPr>
        </xdr:nvPicPr>
        <xdr:blipFill rotWithShape="1">
          <a:blip xmlns:r="http://schemas.openxmlformats.org/officeDocument/2006/relationships" r:embed="rId3"/>
          <a:srcRect l="62747"/>
          <a:stretch/>
        </xdr:blipFill>
        <xdr:spPr>
          <a:xfrm>
            <a:off x="4838037" y="0"/>
            <a:ext cx="980533" cy="572030"/>
          </a:xfrm>
          <a:prstGeom prst="rect">
            <a:avLst/>
          </a:prstGeom>
        </xdr:spPr>
      </xdr:pic>
      <xdr:cxnSp macro="">
        <xdr:nvCxnSpPr>
          <xdr:cNvPr id="25" name="LINEA H"/>
          <xdr:cNvCxnSpPr/>
        </xdr:nvCxnSpPr>
        <xdr:spPr>
          <a:xfrm>
            <a:off x="2844102" y="261934"/>
            <a:ext cx="1836000"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xnSp macro="">
        <xdr:nvCxnSpPr>
          <xdr:cNvPr id="26" name="LINEA V"/>
          <xdr:cNvCxnSpPr/>
        </xdr:nvCxnSpPr>
        <xdr:spPr>
          <a:xfrm>
            <a:off x="4674733" y="1"/>
            <a:ext cx="0" cy="522170"/>
          </a:xfrm>
          <a:prstGeom prst="line">
            <a:avLst/>
          </a:prstGeom>
          <a:ln w="19050">
            <a:solidFill>
              <a:schemeClr val="bg1"/>
            </a:solidFill>
          </a:ln>
        </xdr:spPr>
        <xdr:style>
          <a:lnRef idx="1">
            <a:schemeClr val="accent1"/>
          </a:lnRef>
          <a:fillRef idx="0">
            <a:schemeClr val="accent1"/>
          </a:fillRef>
          <a:effectRef idx="0">
            <a:schemeClr val="accent1"/>
          </a:effectRef>
          <a:fontRef idx="minor">
            <a:schemeClr val="tx1"/>
          </a:fontRef>
        </xdr:style>
      </xdr:cxnSp>
    </xdr:grpSp>
    <xdr:clientData/>
  </xdr:twoCellAnchor>
  <xdr:twoCellAnchor>
    <xdr:from>
      <xdr:col>5</xdr:col>
      <xdr:colOff>0</xdr:colOff>
      <xdr:row>0</xdr:row>
      <xdr:rowOff>0</xdr:rowOff>
    </xdr:from>
    <xdr:to>
      <xdr:col>6</xdr:col>
      <xdr:colOff>118127</xdr:colOff>
      <xdr:row>0</xdr:row>
      <xdr:rowOff>496777</xdr:rowOff>
    </xdr:to>
    <xdr:grpSp>
      <xdr:nvGrpSpPr>
        <xdr:cNvPr id="10" name="Ir a"/>
        <xdr:cNvGrpSpPr/>
      </xdr:nvGrpSpPr>
      <xdr:grpSpPr>
        <a:xfrm>
          <a:off x="1347107" y="0"/>
          <a:ext cx="805288" cy="496777"/>
          <a:chOff x="2090986" y="0"/>
          <a:chExt cx="802736" cy="496777"/>
        </a:xfrm>
      </xdr:grpSpPr>
      <xdr:cxnSp macro="">
        <xdr:nvCxnSpPr>
          <xdr:cNvPr id="17" name="LINEA"/>
          <xdr:cNvCxnSpPr/>
        </xdr:nvCxnSpPr>
        <xdr:spPr>
          <a:xfrm>
            <a:off x="2090986" y="319012"/>
            <a:ext cx="684000"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sp macro="[0]!IR_DATOS_GENERALES" textlink="">
        <xdr:nvSpPr>
          <xdr:cNvPr id="18" name="DATOS GENERALES"/>
          <xdr:cNvSpPr/>
        </xdr:nvSpPr>
        <xdr:spPr>
          <a:xfrm>
            <a:off x="2169091" y="0"/>
            <a:ext cx="724631" cy="321666"/>
          </a:xfrm>
          <a:prstGeom prst="rect">
            <a:avLst/>
          </a:prstGeom>
          <a:solidFill>
            <a:schemeClr val="bg1">
              <a:lumMod val="85000"/>
              <a:alpha val="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sp macro="[0]!IR_FORMULARIO" textlink="">
        <xdr:nvSpPr>
          <xdr:cNvPr id="19" name="FORMULARIO"/>
          <xdr:cNvSpPr/>
        </xdr:nvSpPr>
        <xdr:spPr>
          <a:xfrm>
            <a:off x="2175854" y="355886"/>
            <a:ext cx="716703" cy="140891"/>
          </a:xfrm>
          <a:prstGeom prst="rect">
            <a:avLst/>
          </a:prstGeom>
          <a:solidFill>
            <a:schemeClr val="bg1">
              <a:lumMod val="85000"/>
              <a:alpha val="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grpSp>
    <xdr:clientData/>
  </xdr:twoCellAnchor>
  <xdr:twoCellAnchor>
    <xdr:from>
      <xdr:col>6</xdr:col>
      <xdr:colOff>0</xdr:colOff>
      <xdr:row>0</xdr:row>
      <xdr:rowOff>0</xdr:rowOff>
    </xdr:from>
    <xdr:to>
      <xdr:col>6</xdr:col>
      <xdr:colOff>1930621</xdr:colOff>
      <xdr:row>0</xdr:row>
      <xdr:rowOff>472644</xdr:rowOff>
    </xdr:to>
    <xdr:grpSp>
      <xdr:nvGrpSpPr>
        <xdr:cNvPr id="20" name="PREGUNTA"/>
        <xdr:cNvGrpSpPr/>
      </xdr:nvGrpSpPr>
      <xdr:grpSpPr>
        <a:xfrm>
          <a:off x="2034268" y="0"/>
          <a:ext cx="1930621" cy="472644"/>
          <a:chOff x="2837089" y="19938"/>
          <a:chExt cx="1930621" cy="472644"/>
        </a:xfrm>
      </xdr:grpSpPr>
      <xdr:sp macro="[0]!INSERTAR_PREGUNTA" textlink="">
        <xdr:nvSpPr>
          <xdr:cNvPr id="21" name="INSERTAR"/>
          <xdr:cNvSpPr/>
        </xdr:nvSpPr>
        <xdr:spPr>
          <a:xfrm>
            <a:off x="2837089" y="19938"/>
            <a:ext cx="1914292" cy="204580"/>
          </a:xfrm>
          <a:prstGeom prst="rect">
            <a:avLst/>
          </a:prstGeom>
          <a:solidFill>
            <a:schemeClr val="bg1">
              <a:lumMod val="85000"/>
              <a:alpha val="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sp macro="[0]!BORRAR_PREGUNTA_DATOS" textlink="">
        <xdr:nvSpPr>
          <xdr:cNvPr id="22" name="BORRAR"/>
          <xdr:cNvSpPr/>
        </xdr:nvSpPr>
        <xdr:spPr>
          <a:xfrm>
            <a:off x="2853418" y="288002"/>
            <a:ext cx="1914292" cy="204580"/>
          </a:xfrm>
          <a:prstGeom prst="rect">
            <a:avLst/>
          </a:prstGeom>
          <a:solidFill>
            <a:schemeClr val="bg1">
              <a:lumMod val="85000"/>
              <a:alpha val="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grpSp>
    <xdr:clientData/>
  </xdr:twoCellAnchor>
  <xdr:twoCellAnchor editAs="oneCell">
    <xdr:from>
      <xdr:col>6</xdr:col>
      <xdr:colOff>3326947</xdr:colOff>
      <xdr:row>1</xdr:row>
      <xdr:rowOff>34018</xdr:rowOff>
    </xdr:from>
    <xdr:to>
      <xdr:col>6</xdr:col>
      <xdr:colOff>3622019</xdr:colOff>
      <xdr:row>1</xdr:row>
      <xdr:rowOff>287634</xdr:rowOff>
    </xdr:to>
    <xdr:pic macro="[0]!IR_INICIO">
      <xdr:nvPicPr>
        <xdr:cNvPr id="14" name="Casa_F_Naranja"/>
        <xdr:cNvPicPr>
          <a:picLocks noChangeAspect="1"/>
        </xdr:cNvPicPr>
      </xdr:nvPicPr>
      <xdr:blipFill>
        <a:blip xmlns:r="http://schemas.openxmlformats.org/officeDocument/2006/relationships" r:embed="rId4"/>
        <a:stretch>
          <a:fillRect/>
        </a:stretch>
      </xdr:blipFill>
      <xdr:spPr>
        <a:xfrm>
          <a:off x="5361215" y="537482"/>
          <a:ext cx="295072" cy="253616"/>
        </a:xfrm>
        <a:prstGeom prst="rect">
          <a:avLst/>
        </a:prstGeom>
      </xdr:spPr>
    </xdr:pic>
    <xdr:clientData/>
  </xdr:twoCellAnchor>
</xdr:wsDr>
</file>

<file path=xl/drawings/drawing14.xml><?xml version="1.0" encoding="utf-8"?>
<xdr:wsDr xmlns:xdr="http://schemas.openxmlformats.org/drawingml/2006/spreadsheetDrawing" xmlns:a="http://schemas.openxmlformats.org/drawingml/2006/main">
  <xdr:twoCellAnchor>
    <xdr:from>
      <xdr:col>0</xdr:col>
      <xdr:colOff>718038</xdr:colOff>
      <xdr:row>11</xdr:row>
      <xdr:rowOff>0</xdr:rowOff>
    </xdr:from>
    <xdr:to>
      <xdr:col>22</xdr:col>
      <xdr:colOff>358134</xdr:colOff>
      <xdr:row>35</xdr:row>
      <xdr:rowOff>1484</xdr:rowOff>
    </xdr:to>
    <xdr:grpSp>
      <xdr:nvGrpSpPr>
        <xdr:cNvPr id="31" name="G IMAGENES"/>
        <xdr:cNvGrpSpPr/>
      </xdr:nvGrpSpPr>
      <xdr:grpSpPr>
        <a:xfrm>
          <a:off x="718038" y="1428750"/>
          <a:ext cx="8158167" cy="3219573"/>
          <a:chOff x="718038" y="1428750"/>
          <a:chExt cx="8161308" cy="3203349"/>
        </a:xfrm>
      </xdr:grpSpPr>
      <xdr:pic>
        <xdr:nvPicPr>
          <xdr:cNvPr id="2" name="MOODLE">
            <a:hlinkClick xmlns:r="http://schemas.openxmlformats.org/officeDocument/2006/relationships" r:id="rId1"/>
          </xdr:cNvPr>
          <xdr:cNvPicPr>
            <a:picLocks noChangeAspect="1"/>
          </xdr:cNvPicPr>
        </xdr:nvPicPr>
        <xdr:blipFill rotWithShape="1">
          <a:blip xmlns:r="http://schemas.openxmlformats.org/officeDocument/2006/relationships" r:embed="rId2"/>
          <a:srcRect l="-29988" t="2" r="-446380" b="5496"/>
          <a:stretch/>
        </xdr:blipFill>
        <xdr:spPr>
          <a:xfrm>
            <a:off x="718038" y="1428750"/>
            <a:ext cx="2080847" cy="341684"/>
          </a:xfrm>
          <a:prstGeom prst="rect">
            <a:avLst/>
          </a:prstGeom>
        </xdr:spPr>
      </xdr:pic>
      <xdr:pic macro="[0]!MENU_AYUDA">
        <xdr:nvPicPr>
          <xdr:cNvPr id="3" name="FTP"/>
          <xdr:cNvPicPr>
            <a:picLocks noChangeAspect="1"/>
          </xdr:cNvPicPr>
        </xdr:nvPicPr>
        <xdr:blipFill rotWithShape="1">
          <a:blip xmlns:r="http://schemas.openxmlformats.org/officeDocument/2006/relationships" r:embed="rId3"/>
          <a:srcRect l="8903" r="-34835" b="9685"/>
          <a:stretch/>
        </xdr:blipFill>
        <xdr:spPr>
          <a:xfrm>
            <a:off x="901212" y="4088423"/>
            <a:ext cx="721243" cy="523168"/>
          </a:xfrm>
          <a:prstGeom prst="rect">
            <a:avLst/>
          </a:prstGeom>
        </xdr:spPr>
      </xdr:pic>
      <xdr:pic>
        <xdr:nvPicPr>
          <xdr:cNvPr id="30" name="UCA">
            <a:hlinkClick xmlns:r="http://schemas.openxmlformats.org/officeDocument/2006/relationships" r:id="rId4"/>
          </xdr:cNvPr>
          <xdr:cNvPicPr>
            <a:picLocks noChangeAspect="1"/>
          </xdr:cNvPicPr>
        </xdr:nvPicPr>
        <xdr:blipFill>
          <a:blip xmlns:r="http://schemas.openxmlformats.org/officeDocument/2006/relationships" r:embed="rId5" cstate="print">
            <a:extLst>
              <a:ext uri="{28A0092B-C50C-407E-A947-70E740481C1C}">
                <a14:useLocalDpi xmlns:a14="http://schemas.microsoft.com/office/drawing/2010/main" val="0"/>
              </a:ext>
            </a:extLst>
          </a:blip>
          <a:stretch>
            <a:fillRect/>
          </a:stretch>
        </xdr:blipFill>
        <xdr:spPr>
          <a:xfrm>
            <a:off x="7001333" y="3890596"/>
            <a:ext cx="1878013" cy="741503"/>
          </a:xfrm>
          <a:prstGeom prst="rect">
            <a:avLst/>
          </a:prstGeom>
          <a:ln w="25400">
            <a:solidFill>
              <a:srgbClr val="E87B00"/>
            </a:solidFill>
          </a:ln>
        </xdr:spPr>
      </xdr:pic>
    </xdr:grpSp>
    <xdr:clientData/>
  </xdr:twoCellAnchor>
  <xdr:twoCellAnchor>
    <xdr:from>
      <xdr:col>0</xdr:col>
      <xdr:colOff>0</xdr:colOff>
      <xdr:row>0</xdr:row>
      <xdr:rowOff>0</xdr:rowOff>
    </xdr:from>
    <xdr:to>
      <xdr:col>1</xdr:col>
      <xdr:colOff>1713</xdr:colOff>
      <xdr:row>34</xdr:row>
      <xdr:rowOff>197017</xdr:rowOff>
    </xdr:to>
    <xdr:grpSp>
      <xdr:nvGrpSpPr>
        <xdr:cNvPr id="29" name="G Menu LATERAL"/>
        <xdr:cNvGrpSpPr/>
      </xdr:nvGrpSpPr>
      <xdr:grpSpPr>
        <a:xfrm>
          <a:off x="0" y="0"/>
          <a:ext cx="716088" cy="4646553"/>
          <a:chOff x="0" y="0"/>
          <a:chExt cx="719751" cy="4629805"/>
        </a:xfrm>
      </xdr:grpSpPr>
      <xdr:sp macro="[0]!Copia_CODIGOS_INFORMACION" textlink="">
        <xdr:nvSpPr>
          <xdr:cNvPr id="4" name="CODIGOS ESPECIALES"/>
          <xdr:cNvSpPr/>
        </xdr:nvSpPr>
        <xdr:spPr>
          <a:xfrm>
            <a:off x="0" y="0"/>
            <a:ext cx="718146" cy="348103"/>
          </a:xfrm>
          <a:prstGeom prst="rect">
            <a:avLst/>
          </a:prstGeom>
          <a:solidFill>
            <a:schemeClr val="bg1">
              <a:lumMod val="85000"/>
              <a:alpha val="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sp macro="[0]!Copia_Formula" textlink="">
        <xdr:nvSpPr>
          <xdr:cNvPr id="5" name="FORMULA"/>
          <xdr:cNvSpPr/>
        </xdr:nvSpPr>
        <xdr:spPr>
          <a:xfrm>
            <a:off x="0" y="446942"/>
            <a:ext cx="719751" cy="195647"/>
          </a:xfrm>
          <a:prstGeom prst="rect">
            <a:avLst/>
          </a:prstGeom>
          <a:solidFill>
            <a:schemeClr val="bg1">
              <a:lumMod val="85000"/>
              <a:alpha val="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sp macro="[0]!Copia_Superindice" textlink="">
        <xdr:nvSpPr>
          <xdr:cNvPr id="6" name="SUPERINDICE"/>
          <xdr:cNvSpPr/>
        </xdr:nvSpPr>
        <xdr:spPr>
          <a:xfrm>
            <a:off x="0" y="710712"/>
            <a:ext cx="719751" cy="195647"/>
          </a:xfrm>
          <a:prstGeom prst="rect">
            <a:avLst/>
          </a:prstGeom>
          <a:solidFill>
            <a:schemeClr val="bg1">
              <a:lumMod val="85000"/>
              <a:alpha val="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sp macro="[0]!Copia_Subindice" textlink="">
        <xdr:nvSpPr>
          <xdr:cNvPr id="7" name="SUBINDICE"/>
          <xdr:cNvSpPr/>
        </xdr:nvSpPr>
        <xdr:spPr>
          <a:xfrm>
            <a:off x="0" y="974481"/>
            <a:ext cx="719751" cy="195646"/>
          </a:xfrm>
          <a:prstGeom prst="rect">
            <a:avLst/>
          </a:prstGeom>
          <a:solidFill>
            <a:schemeClr val="bg1">
              <a:lumMod val="85000"/>
              <a:alpha val="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sp macro="[0]!Copia_Salto_Linea" textlink="">
        <xdr:nvSpPr>
          <xdr:cNvPr id="8" name="SALTO LINEA"/>
          <xdr:cNvSpPr/>
        </xdr:nvSpPr>
        <xdr:spPr>
          <a:xfrm>
            <a:off x="0" y="1238250"/>
            <a:ext cx="719751" cy="195646"/>
          </a:xfrm>
          <a:prstGeom prst="rect">
            <a:avLst/>
          </a:prstGeom>
          <a:solidFill>
            <a:schemeClr val="bg1">
              <a:lumMod val="85000"/>
              <a:alpha val="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sp macro="[0]!Copia_Concatenar" textlink="">
        <xdr:nvSpPr>
          <xdr:cNvPr id="9" name="CONCATENAR"/>
          <xdr:cNvSpPr/>
        </xdr:nvSpPr>
        <xdr:spPr>
          <a:xfrm>
            <a:off x="0" y="1504127"/>
            <a:ext cx="719751" cy="193538"/>
          </a:xfrm>
          <a:prstGeom prst="rect">
            <a:avLst/>
          </a:prstGeom>
          <a:solidFill>
            <a:schemeClr val="bg1">
              <a:lumMod val="85000"/>
              <a:alpha val="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sp macro="[0]!Copia_Negrita" textlink="">
        <xdr:nvSpPr>
          <xdr:cNvPr id="10" name="NEGRITA"/>
          <xdr:cNvSpPr/>
        </xdr:nvSpPr>
        <xdr:spPr>
          <a:xfrm>
            <a:off x="0" y="1765788"/>
            <a:ext cx="719751" cy="197017"/>
          </a:xfrm>
          <a:prstGeom prst="rect">
            <a:avLst/>
          </a:prstGeom>
          <a:solidFill>
            <a:schemeClr val="bg1">
              <a:lumMod val="85000"/>
              <a:alpha val="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sp macro="[0]!Copia_Espacios" textlink="">
        <xdr:nvSpPr>
          <xdr:cNvPr id="11" name="ESPACIOS"/>
          <xdr:cNvSpPr/>
        </xdr:nvSpPr>
        <xdr:spPr>
          <a:xfrm>
            <a:off x="0" y="2038992"/>
            <a:ext cx="719751" cy="193539"/>
          </a:xfrm>
          <a:prstGeom prst="rect">
            <a:avLst/>
          </a:prstGeom>
          <a:solidFill>
            <a:schemeClr val="bg1">
              <a:lumMod val="85000"/>
              <a:alpha val="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sp macro="[0]!Copia_Color_Texto_Rojo" textlink="">
        <xdr:nvSpPr>
          <xdr:cNvPr id="12" name="TEXTO ROJO"/>
          <xdr:cNvSpPr/>
        </xdr:nvSpPr>
        <xdr:spPr>
          <a:xfrm>
            <a:off x="0" y="2300654"/>
            <a:ext cx="719751" cy="197017"/>
          </a:xfrm>
          <a:prstGeom prst="rect">
            <a:avLst/>
          </a:prstGeom>
          <a:solidFill>
            <a:schemeClr val="bg1">
              <a:lumMod val="85000"/>
              <a:alpha val="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sp macro="[0]!Copia_Color_Texto_Azul" textlink="">
        <xdr:nvSpPr>
          <xdr:cNvPr id="13" name="TEXTO AZUL"/>
          <xdr:cNvSpPr/>
        </xdr:nvSpPr>
        <xdr:spPr>
          <a:xfrm>
            <a:off x="0" y="2571750"/>
            <a:ext cx="719751" cy="195646"/>
          </a:xfrm>
          <a:prstGeom prst="rect">
            <a:avLst/>
          </a:prstGeom>
          <a:solidFill>
            <a:schemeClr val="bg1">
              <a:lumMod val="85000"/>
              <a:alpha val="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sp macro="[0]!Copia_Color_Texto_Otro" textlink="">
        <xdr:nvSpPr>
          <xdr:cNvPr id="14" name="TEXTO OTRO"/>
          <xdr:cNvSpPr/>
        </xdr:nvSpPr>
        <xdr:spPr>
          <a:xfrm>
            <a:off x="0" y="2835519"/>
            <a:ext cx="719751" cy="195647"/>
          </a:xfrm>
          <a:prstGeom prst="rect">
            <a:avLst/>
          </a:prstGeom>
          <a:solidFill>
            <a:schemeClr val="bg1">
              <a:lumMod val="85000"/>
              <a:alpha val="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sp macro="[0]!Copia_Imagen" textlink="">
        <xdr:nvSpPr>
          <xdr:cNvPr id="15" name="INSERTAR IMAGENES"/>
          <xdr:cNvSpPr/>
        </xdr:nvSpPr>
        <xdr:spPr>
          <a:xfrm>
            <a:off x="0" y="3099288"/>
            <a:ext cx="719751" cy="422261"/>
          </a:xfrm>
          <a:prstGeom prst="rect">
            <a:avLst/>
          </a:prstGeom>
          <a:solidFill>
            <a:schemeClr val="bg1">
              <a:lumMod val="85000"/>
              <a:alpha val="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sp macro="[0]!Celdas_Formulas_INFORMACION" textlink="">
        <xdr:nvSpPr>
          <xdr:cNvPr id="16" name="USAR VARIABLES"/>
          <xdr:cNvSpPr/>
        </xdr:nvSpPr>
        <xdr:spPr>
          <a:xfrm>
            <a:off x="0" y="3626827"/>
            <a:ext cx="719751" cy="443908"/>
          </a:xfrm>
          <a:prstGeom prst="rect">
            <a:avLst/>
          </a:prstGeom>
          <a:solidFill>
            <a:schemeClr val="bg1">
              <a:lumMod val="85000"/>
              <a:alpha val="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sp macro="[0]!Celdas_Formulas_Activar" textlink="">
        <xdr:nvSpPr>
          <xdr:cNvPr id="17" name="ACTIVAR VARIABLES"/>
          <xdr:cNvSpPr/>
        </xdr:nvSpPr>
        <xdr:spPr>
          <a:xfrm>
            <a:off x="0" y="4161692"/>
            <a:ext cx="719751" cy="197017"/>
          </a:xfrm>
          <a:prstGeom prst="rect">
            <a:avLst/>
          </a:prstGeom>
          <a:solidFill>
            <a:schemeClr val="bg1">
              <a:lumMod val="85000"/>
              <a:alpha val="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sp macro="[0]!Celdas_Formulas_Desactivar" textlink="">
        <xdr:nvSpPr>
          <xdr:cNvPr id="18" name="DESACTIVAR VARIABLES"/>
          <xdr:cNvSpPr/>
        </xdr:nvSpPr>
        <xdr:spPr>
          <a:xfrm>
            <a:off x="0" y="4432788"/>
            <a:ext cx="719751" cy="197017"/>
          </a:xfrm>
          <a:prstGeom prst="rect">
            <a:avLst/>
          </a:prstGeom>
          <a:solidFill>
            <a:schemeClr val="bg1">
              <a:lumMod val="85000"/>
              <a:alpha val="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grpSp>
    <xdr:clientData/>
  </xdr:twoCellAnchor>
  <xdr:twoCellAnchor>
    <xdr:from>
      <xdr:col>26</xdr:col>
      <xdr:colOff>0</xdr:colOff>
      <xdr:row>1</xdr:row>
      <xdr:rowOff>0</xdr:rowOff>
    </xdr:from>
    <xdr:to>
      <xdr:col>27</xdr:col>
      <xdr:colOff>159</xdr:colOff>
      <xdr:row>3</xdr:row>
      <xdr:rowOff>1</xdr:rowOff>
    </xdr:to>
    <xdr:sp macro="[0]!Limpiar_Datos_Variables" textlink="">
      <xdr:nvSpPr>
        <xdr:cNvPr id="19" name="BORRAR VARIABLES" hidden="1"/>
        <xdr:cNvSpPr/>
      </xdr:nvSpPr>
      <xdr:spPr>
        <a:xfrm>
          <a:off x="9976556" y="28222"/>
          <a:ext cx="712770" cy="345723"/>
        </a:xfrm>
        <a:prstGeom prst="rect">
          <a:avLst/>
        </a:prstGeom>
        <a:solidFill>
          <a:schemeClr val="bg1">
            <a:lumMod val="85000"/>
            <a:alpha val="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clientData/>
  </xdr:twoCellAnchor>
  <xdr:twoCellAnchor>
    <xdr:from>
      <xdr:col>11</xdr:col>
      <xdr:colOff>0</xdr:colOff>
      <xdr:row>0</xdr:row>
      <xdr:rowOff>7869</xdr:rowOff>
    </xdr:from>
    <xdr:to>
      <xdr:col>22</xdr:col>
      <xdr:colOff>331770</xdr:colOff>
      <xdr:row>3</xdr:row>
      <xdr:rowOff>16981</xdr:rowOff>
    </xdr:to>
    <xdr:grpSp>
      <xdr:nvGrpSpPr>
        <xdr:cNvPr id="28" name="G Menu SUPERIOR"/>
        <xdr:cNvGrpSpPr/>
      </xdr:nvGrpSpPr>
      <xdr:grpSpPr>
        <a:xfrm>
          <a:off x="4327071" y="7869"/>
          <a:ext cx="4522770" cy="376505"/>
          <a:chOff x="4330212" y="7869"/>
          <a:chExt cx="4522770" cy="382785"/>
        </a:xfrm>
      </xdr:grpSpPr>
      <xdr:sp macro="[0]!IR_DATOS_GENERALES" textlink="">
        <xdr:nvSpPr>
          <xdr:cNvPr id="20" name="DATOS GENERALES"/>
          <xdr:cNvSpPr/>
        </xdr:nvSpPr>
        <xdr:spPr>
          <a:xfrm>
            <a:off x="4330212" y="7869"/>
            <a:ext cx="712770" cy="382785"/>
          </a:xfrm>
          <a:prstGeom prst="rect">
            <a:avLst/>
          </a:prstGeom>
          <a:solidFill>
            <a:schemeClr val="bg1">
              <a:lumMod val="85000"/>
              <a:alpha val="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sp macro="[0]!IR_BANCO_PREGUNTAS" textlink="">
        <xdr:nvSpPr>
          <xdr:cNvPr id="21" name="BANCO PREGUNTAS"/>
          <xdr:cNvSpPr/>
        </xdr:nvSpPr>
        <xdr:spPr>
          <a:xfrm>
            <a:off x="5092212" y="29308"/>
            <a:ext cx="712770" cy="348502"/>
          </a:xfrm>
          <a:prstGeom prst="rect">
            <a:avLst/>
          </a:prstGeom>
          <a:solidFill>
            <a:schemeClr val="bg1">
              <a:lumMod val="85000"/>
              <a:alpha val="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sp macro="[0]!Limpiar_Datos_Formulario" textlink="">
        <xdr:nvSpPr>
          <xdr:cNvPr id="22" name="LIMPIAR DATOS"/>
          <xdr:cNvSpPr/>
        </xdr:nvSpPr>
        <xdr:spPr>
          <a:xfrm>
            <a:off x="5854212" y="29308"/>
            <a:ext cx="712770" cy="348502"/>
          </a:xfrm>
          <a:prstGeom prst="rect">
            <a:avLst/>
          </a:prstGeom>
          <a:solidFill>
            <a:schemeClr val="bg1">
              <a:lumMod val="85000"/>
              <a:alpha val="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sp macro="[0]!Guardar_Pregunta" textlink="">
        <xdr:nvSpPr>
          <xdr:cNvPr id="23" name="GUARDAR PREGUNTAS"/>
          <xdr:cNvSpPr/>
        </xdr:nvSpPr>
        <xdr:spPr>
          <a:xfrm>
            <a:off x="6616212" y="29308"/>
            <a:ext cx="712770" cy="348502"/>
          </a:xfrm>
          <a:prstGeom prst="rect">
            <a:avLst/>
          </a:prstGeom>
          <a:solidFill>
            <a:schemeClr val="bg1">
              <a:lumMod val="85000"/>
              <a:alpha val="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sp macro="[0]!Borrar_Pregunta" textlink="">
        <xdr:nvSpPr>
          <xdr:cNvPr id="24" name="BORRAR PREGUNTAS"/>
          <xdr:cNvSpPr/>
        </xdr:nvSpPr>
        <xdr:spPr>
          <a:xfrm>
            <a:off x="7378212" y="29308"/>
            <a:ext cx="712770" cy="348502"/>
          </a:xfrm>
          <a:prstGeom prst="rect">
            <a:avLst/>
          </a:prstGeom>
          <a:solidFill>
            <a:schemeClr val="bg1">
              <a:lumMod val="85000"/>
              <a:alpha val="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sp macro="[0]!Formato_FORMULARIO" textlink="">
        <xdr:nvSpPr>
          <xdr:cNvPr id="25" name="DAR FORMATO"/>
          <xdr:cNvSpPr/>
        </xdr:nvSpPr>
        <xdr:spPr>
          <a:xfrm>
            <a:off x="8140212" y="29308"/>
            <a:ext cx="712770" cy="348502"/>
          </a:xfrm>
          <a:prstGeom prst="rect">
            <a:avLst/>
          </a:prstGeom>
          <a:solidFill>
            <a:schemeClr val="bg1">
              <a:lumMod val="85000"/>
              <a:alpha val="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grpSp>
    <xdr:clientData/>
  </xdr:twoCellAnchor>
  <xdr:oneCellAnchor>
    <xdr:from>
      <xdr:col>13</xdr:col>
      <xdr:colOff>0</xdr:colOff>
      <xdr:row>4</xdr:row>
      <xdr:rowOff>0</xdr:rowOff>
    </xdr:from>
    <xdr:ext cx="1520162" cy="170703"/>
    <xdr:pic macro="[0]!Almacenar_Formulas">
      <xdr:nvPicPr>
        <xdr:cNvPr id="37" name="ALMACENAR FORMULAS"/>
        <xdr:cNvPicPr>
          <a:picLocks noChangeAspect="1"/>
        </xdr:cNvPicPr>
      </xdr:nvPicPr>
      <xdr:blipFill>
        <a:blip xmlns:r="http://schemas.openxmlformats.org/officeDocument/2006/relationships" r:embed="rId6"/>
        <a:stretch>
          <a:fillRect/>
        </a:stretch>
      </xdr:blipFill>
      <xdr:spPr>
        <a:xfrm>
          <a:off x="5086350" y="447675"/>
          <a:ext cx="1520162" cy="170703"/>
        </a:xfrm>
        <a:prstGeom prst="rect">
          <a:avLst/>
        </a:prstGeom>
      </xdr:spPr>
    </xdr:pic>
    <xdr:clientData/>
  </xdr:oneCellAnchor>
  <xdr:twoCellAnchor>
    <xdr:from>
      <xdr:col>11</xdr:col>
      <xdr:colOff>0</xdr:colOff>
      <xdr:row>3</xdr:row>
      <xdr:rowOff>75595</xdr:rowOff>
    </xdr:from>
    <xdr:to>
      <xdr:col>12</xdr:col>
      <xdr:colOff>323850</xdr:colOff>
      <xdr:row>5</xdr:row>
      <xdr:rowOff>19050</xdr:rowOff>
    </xdr:to>
    <xdr:grpSp>
      <xdr:nvGrpSpPr>
        <xdr:cNvPr id="26" name="G Pregunta"/>
        <xdr:cNvGrpSpPr/>
      </xdr:nvGrpSpPr>
      <xdr:grpSpPr>
        <a:xfrm>
          <a:off x="4327071" y="442988"/>
          <a:ext cx="704850" cy="208794"/>
          <a:chOff x="4301369" y="453557"/>
          <a:chExt cx="701789" cy="208039"/>
        </a:xfrm>
      </xdr:grpSpPr>
      <xdr:sp macro="[0]!Elegir_Pregunta" textlink="">
        <xdr:nvSpPr>
          <xdr:cNvPr id="32" name="Pregunta"/>
          <xdr:cNvSpPr/>
        </xdr:nvSpPr>
        <xdr:spPr>
          <a:xfrm>
            <a:off x="4301369" y="453571"/>
            <a:ext cx="346364" cy="180398"/>
          </a:xfrm>
          <a:prstGeom prst="rect">
            <a:avLst/>
          </a:prstGeom>
          <a:solidFill>
            <a:schemeClr val="bg1">
              <a:lumMod val="85000"/>
              <a:alpha val="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mc:AlternateContent xmlns:mc="http://schemas.openxmlformats.org/markup-compatibility/2006">
        <mc:Choice xmlns:a14="http://schemas.microsoft.com/office/drawing/2010/main" Requires="a14">
          <xdr:sp macro="" textlink="">
            <xdr:nvSpPr>
              <xdr:cNvPr id="28675" name="Contador 1" descr="Para consultar los datos de cada pregunta." hidden="1">
                <a:extLst>
                  <a:ext uri="{63B3BB69-23CF-44E3-9099-C40C66FF867C}">
                    <a14:compatExt spid="_x0000_s28675"/>
                  </a:ext>
                </a:extLst>
              </xdr:cNvPr>
              <xdr:cNvSpPr/>
            </xdr:nvSpPr>
            <xdr:spPr bwMode="auto">
              <a:xfrm>
                <a:off x="4679345" y="453557"/>
                <a:ext cx="85725" cy="208039"/>
              </a:xfrm>
              <a:prstGeom prst="rect">
                <a:avLst/>
              </a:prstGeom>
              <a:noFill/>
              <a:ln w="9525">
                <a:miter lim="800000"/>
                <a:headEnd/>
                <a:tailEnd/>
              </a:ln>
            </xdr:spPr>
          </xdr:sp>
        </mc:Choice>
        <mc:Fallback/>
      </mc:AlternateContent>
      <mc:AlternateContent xmlns:mc="http://schemas.openxmlformats.org/markup-compatibility/2006">
        <mc:Choice xmlns:a14="http://schemas.microsoft.com/office/drawing/2010/main" Requires="a14">
          <xdr:sp macro="" textlink="">
            <xdr:nvSpPr>
              <xdr:cNvPr id="28676" name="Box PREGUNTAS" hidden="1">
                <a:extLst>
                  <a:ext uri="{63B3BB69-23CF-44E3-9099-C40C66FF867C}">
                    <a14:compatExt spid="_x0000_s28676"/>
                  </a:ext>
                </a:extLst>
              </xdr:cNvPr>
              <xdr:cNvSpPr/>
            </xdr:nvSpPr>
            <xdr:spPr bwMode="auto">
              <a:xfrm>
                <a:off x="4765039" y="453571"/>
                <a:ext cx="238119" cy="188989"/>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mc:Choice>
        <mc:Fallback/>
      </mc:AlternateContent>
    </xdr:grpSp>
    <xdr:clientData/>
  </xdr:twoCellAnchor>
  <xdr:twoCellAnchor>
    <xdr:from>
      <xdr:col>7</xdr:col>
      <xdr:colOff>0</xdr:colOff>
      <xdr:row>3</xdr:row>
      <xdr:rowOff>66675</xdr:rowOff>
    </xdr:from>
    <xdr:to>
      <xdr:col>8</xdr:col>
      <xdr:colOff>114300</xdr:colOff>
      <xdr:row>5</xdr:row>
      <xdr:rowOff>9525</xdr:rowOff>
    </xdr:to>
    <xdr:grpSp>
      <xdr:nvGrpSpPr>
        <xdr:cNvPr id="27" name="G Pregunta Inicial"/>
        <xdr:cNvGrpSpPr/>
      </xdr:nvGrpSpPr>
      <xdr:grpSpPr>
        <a:xfrm>
          <a:off x="2803071" y="434068"/>
          <a:ext cx="495300" cy="208189"/>
          <a:chOff x="2789464" y="444651"/>
          <a:chExt cx="492248" cy="207434"/>
        </a:xfrm>
      </xdr:grpSpPr>
      <xdr:sp macro="" textlink="">
        <xdr:nvSpPr>
          <xdr:cNvPr id="34" name="NADA"/>
          <xdr:cNvSpPr/>
        </xdr:nvSpPr>
        <xdr:spPr>
          <a:xfrm>
            <a:off x="2789464" y="453571"/>
            <a:ext cx="346364" cy="180398"/>
          </a:xfrm>
          <a:prstGeom prst="rect">
            <a:avLst/>
          </a:prstGeom>
          <a:solidFill>
            <a:schemeClr val="bg1">
              <a:lumMod val="85000"/>
              <a:alpha val="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mc:AlternateContent xmlns:mc="http://schemas.openxmlformats.org/markup-compatibility/2006">
        <mc:Choice xmlns:a14="http://schemas.microsoft.com/office/drawing/2010/main" Requires="a14">
          <xdr:sp macro="" textlink="">
            <xdr:nvSpPr>
              <xdr:cNvPr id="28673" name="Contador 10" descr="Para consultar los datos de cada pregunta." hidden="1">
                <a:extLst>
                  <a:ext uri="{63B3BB69-23CF-44E3-9099-C40C66FF867C}">
                    <a14:compatExt spid="_x0000_s28673"/>
                  </a:ext>
                </a:extLst>
              </xdr:cNvPr>
              <xdr:cNvSpPr/>
            </xdr:nvSpPr>
            <xdr:spPr bwMode="auto">
              <a:xfrm>
                <a:off x="3113314" y="444651"/>
                <a:ext cx="82701" cy="207434"/>
              </a:xfrm>
              <a:prstGeom prst="rect">
                <a:avLst/>
              </a:prstGeom>
              <a:noFill/>
              <a:ln w="9525">
                <a:miter lim="800000"/>
                <a:headEnd/>
                <a:tailEnd/>
              </a:ln>
            </xdr:spPr>
          </xdr:sp>
        </mc:Choice>
        <mc:Fallback/>
      </mc:AlternateContent>
      <mc:AlternateContent xmlns:mc="http://schemas.openxmlformats.org/markup-compatibility/2006">
        <mc:Choice xmlns:a14="http://schemas.microsoft.com/office/drawing/2010/main" Requires="a14">
          <xdr:sp macro="" textlink="">
            <xdr:nvSpPr>
              <xdr:cNvPr id="28674" name="Contador 100" descr="Para consultar los datos de cada pregunta." hidden="1">
                <a:extLst>
                  <a:ext uri="{63B3BB69-23CF-44E3-9099-C40C66FF867C}">
                    <a14:compatExt spid="_x0000_s28674"/>
                  </a:ext>
                </a:extLst>
              </xdr:cNvPr>
              <xdr:cNvSpPr/>
            </xdr:nvSpPr>
            <xdr:spPr bwMode="auto">
              <a:xfrm>
                <a:off x="3195993" y="444651"/>
                <a:ext cx="85719" cy="207434"/>
              </a:xfrm>
              <a:prstGeom prst="rect">
                <a:avLst/>
              </a:prstGeom>
              <a:noFill/>
              <a:ln w="9525">
                <a:miter lim="800000"/>
                <a:headEnd/>
                <a:tailEnd/>
              </a:ln>
            </xdr:spPr>
          </xdr:sp>
        </mc:Choice>
        <mc:Fallback/>
      </mc:AlternateContent>
    </xdr:grpSp>
    <xdr:clientData/>
  </xdr:twoCellAnchor>
  <xdr:twoCellAnchor editAs="oneCell">
    <xdr:from>
      <xdr:col>1</xdr:col>
      <xdr:colOff>153866</xdr:colOff>
      <xdr:row>7</xdr:row>
      <xdr:rowOff>29308</xdr:rowOff>
    </xdr:from>
    <xdr:to>
      <xdr:col>2</xdr:col>
      <xdr:colOff>264276</xdr:colOff>
      <xdr:row>9</xdr:row>
      <xdr:rowOff>24454</xdr:rowOff>
    </xdr:to>
    <xdr:pic macro="[0]!IR_INICIO">
      <xdr:nvPicPr>
        <xdr:cNvPr id="39" name="Casa_F_Gris"/>
        <xdr:cNvPicPr>
          <a:picLocks noChangeAspect="1"/>
        </xdr:cNvPicPr>
      </xdr:nvPicPr>
      <xdr:blipFill>
        <a:blip xmlns:r="http://schemas.openxmlformats.org/officeDocument/2006/relationships" r:embed="rId7"/>
        <a:stretch>
          <a:fillRect/>
        </a:stretch>
      </xdr:blipFill>
      <xdr:spPr>
        <a:xfrm>
          <a:off x="868241" y="934183"/>
          <a:ext cx="291385" cy="261846"/>
        </a:xfrm>
        <a:prstGeom prst="rect">
          <a:avLst/>
        </a:prstGeom>
      </xdr:spPr>
    </xdr:pic>
    <xdr:clientData/>
  </xdr:twoCellAnchor>
</xdr:wsDr>
</file>

<file path=xl/drawings/drawing15.xml><?xml version="1.0" encoding="utf-8"?>
<xdr:wsDr xmlns:xdr="http://schemas.openxmlformats.org/drawingml/2006/spreadsheetDrawing" xmlns:a="http://schemas.openxmlformats.org/drawingml/2006/main">
  <xdr:twoCellAnchor>
    <xdr:from>
      <xdr:col>0</xdr:col>
      <xdr:colOff>0</xdr:colOff>
      <xdr:row>0</xdr:row>
      <xdr:rowOff>0</xdr:rowOff>
    </xdr:from>
    <xdr:to>
      <xdr:col>1</xdr:col>
      <xdr:colOff>179848</xdr:colOff>
      <xdr:row>0</xdr:row>
      <xdr:rowOff>321878</xdr:rowOff>
    </xdr:to>
    <xdr:pic>
      <xdr:nvPicPr>
        <xdr:cNvPr id="8" name="UCA">
          <a:hlinkClick xmlns:r="http://schemas.openxmlformats.org/officeDocument/2006/relationships" r:id="rId1"/>
        </xdr:cNvPr>
        <xdr:cNvPicPr>
          <a:picLocks noChangeAspect="1"/>
        </xdr:cNvPicPr>
      </xdr:nvPicPr>
      <xdr:blipFill>
        <a:blip xmlns:r="http://schemas.openxmlformats.org/officeDocument/2006/relationships" r:embed="rId2" cstate="print">
          <a:extLst>
            <a:ext uri="{28A0092B-C50C-407E-A947-70E740481C1C}">
              <a14:useLocalDpi xmlns:a14="http://schemas.microsoft.com/office/drawing/2010/main" val="0"/>
            </a:ext>
          </a:extLst>
        </a:blip>
        <a:stretch>
          <a:fillRect/>
        </a:stretch>
      </xdr:blipFill>
      <xdr:spPr>
        <a:xfrm>
          <a:off x="0" y="0"/>
          <a:ext cx="830176" cy="321878"/>
        </a:xfrm>
        <a:prstGeom prst="rect">
          <a:avLst/>
        </a:prstGeom>
        <a:ln w="12700">
          <a:solidFill>
            <a:srgbClr val="E87B00"/>
          </a:solidFill>
        </a:ln>
      </xdr:spPr>
    </xdr:pic>
    <xdr:clientData/>
  </xdr:twoCellAnchor>
  <xdr:twoCellAnchor>
    <xdr:from>
      <xdr:col>6</xdr:col>
      <xdr:colOff>0</xdr:colOff>
      <xdr:row>0</xdr:row>
      <xdr:rowOff>0</xdr:rowOff>
    </xdr:from>
    <xdr:to>
      <xdr:col>6</xdr:col>
      <xdr:colOff>2974468</xdr:colOff>
      <xdr:row>1</xdr:row>
      <xdr:rowOff>66014</xdr:rowOff>
    </xdr:to>
    <xdr:grpSp>
      <xdr:nvGrpSpPr>
        <xdr:cNvPr id="23" name="G FTP_MOODLE"/>
        <xdr:cNvGrpSpPr/>
      </xdr:nvGrpSpPr>
      <xdr:grpSpPr>
        <a:xfrm>
          <a:off x="1680482" y="0"/>
          <a:ext cx="2974468" cy="569478"/>
          <a:chOff x="2844102" y="0"/>
          <a:chExt cx="2974468" cy="572030"/>
        </a:xfrm>
      </xdr:grpSpPr>
      <xdr:pic>
        <xdr:nvPicPr>
          <xdr:cNvPr id="24" name="FTP-MOODLE"/>
          <xdr:cNvPicPr>
            <a:picLocks noChangeAspect="1"/>
          </xdr:cNvPicPr>
        </xdr:nvPicPr>
        <xdr:blipFill rotWithShape="1">
          <a:blip xmlns:r="http://schemas.openxmlformats.org/officeDocument/2006/relationships" r:embed="rId3"/>
          <a:srcRect l="62747"/>
          <a:stretch/>
        </xdr:blipFill>
        <xdr:spPr>
          <a:xfrm>
            <a:off x="4838037" y="0"/>
            <a:ext cx="980533" cy="572030"/>
          </a:xfrm>
          <a:prstGeom prst="rect">
            <a:avLst/>
          </a:prstGeom>
        </xdr:spPr>
      </xdr:pic>
      <xdr:cxnSp macro="">
        <xdr:nvCxnSpPr>
          <xdr:cNvPr id="25" name="LINEA H"/>
          <xdr:cNvCxnSpPr/>
        </xdr:nvCxnSpPr>
        <xdr:spPr>
          <a:xfrm>
            <a:off x="2844102" y="261934"/>
            <a:ext cx="1836000"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xnSp macro="">
        <xdr:nvCxnSpPr>
          <xdr:cNvPr id="26" name="LINEA V"/>
          <xdr:cNvCxnSpPr/>
        </xdr:nvCxnSpPr>
        <xdr:spPr>
          <a:xfrm>
            <a:off x="4674733" y="1"/>
            <a:ext cx="0" cy="522170"/>
          </a:xfrm>
          <a:prstGeom prst="line">
            <a:avLst/>
          </a:prstGeom>
          <a:ln w="19050">
            <a:solidFill>
              <a:schemeClr val="bg1"/>
            </a:solidFill>
          </a:ln>
        </xdr:spPr>
        <xdr:style>
          <a:lnRef idx="1">
            <a:schemeClr val="accent1"/>
          </a:lnRef>
          <a:fillRef idx="0">
            <a:schemeClr val="accent1"/>
          </a:fillRef>
          <a:effectRef idx="0">
            <a:schemeClr val="accent1"/>
          </a:effectRef>
          <a:fontRef idx="minor">
            <a:schemeClr val="tx1"/>
          </a:fontRef>
        </xdr:style>
      </xdr:cxnSp>
    </xdr:grpSp>
    <xdr:clientData/>
  </xdr:twoCellAnchor>
  <xdr:twoCellAnchor>
    <xdr:from>
      <xdr:col>1</xdr:col>
      <xdr:colOff>321468</xdr:colOff>
      <xdr:row>0</xdr:row>
      <xdr:rowOff>0</xdr:rowOff>
    </xdr:from>
    <xdr:to>
      <xdr:col>6</xdr:col>
      <xdr:colOff>99857</xdr:colOff>
      <xdr:row>0</xdr:row>
      <xdr:rowOff>496777</xdr:rowOff>
    </xdr:to>
    <xdr:grpSp>
      <xdr:nvGrpSpPr>
        <xdr:cNvPr id="10" name="Ir a"/>
        <xdr:cNvGrpSpPr/>
      </xdr:nvGrpSpPr>
      <xdr:grpSpPr>
        <a:xfrm>
          <a:off x="967807" y="0"/>
          <a:ext cx="812532" cy="496777"/>
          <a:chOff x="2090986" y="0"/>
          <a:chExt cx="802736" cy="496777"/>
        </a:xfrm>
      </xdr:grpSpPr>
      <xdr:cxnSp macro="">
        <xdr:nvCxnSpPr>
          <xdr:cNvPr id="17" name="LINEA"/>
          <xdr:cNvCxnSpPr/>
        </xdr:nvCxnSpPr>
        <xdr:spPr>
          <a:xfrm>
            <a:off x="2090986" y="301153"/>
            <a:ext cx="720000"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sp macro="[0]!IR_DATOS_GENERALES" textlink="">
        <xdr:nvSpPr>
          <xdr:cNvPr id="18" name="DATOS GENERALES"/>
          <xdr:cNvSpPr/>
        </xdr:nvSpPr>
        <xdr:spPr>
          <a:xfrm>
            <a:off x="2169091" y="0"/>
            <a:ext cx="724631" cy="321666"/>
          </a:xfrm>
          <a:prstGeom prst="rect">
            <a:avLst/>
          </a:prstGeom>
          <a:solidFill>
            <a:schemeClr val="bg1">
              <a:lumMod val="85000"/>
              <a:alpha val="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sp macro="[0]!IR_FORMULARIO" textlink="">
        <xdr:nvSpPr>
          <xdr:cNvPr id="19" name="FORMULARIO"/>
          <xdr:cNvSpPr/>
        </xdr:nvSpPr>
        <xdr:spPr>
          <a:xfrm>
            <a:off x="2175854" y="355886"/>
            <a:ext cx="716703" cy="140891"/>
          </a:xfrm>
          <a:prstGeom prst="rect">
            <a:avLst/>
          </a:prstGeom>
          <a:solidFill>
            <a:schemeClr val="bg1">
              <a:lumMod val="85000"/>
              <a:alpha val="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grpSp>
    <xdr:clientData/>
  </xdr:twoCellAnchor>
  <xdr:twoCellAnchor>
    <xdr:from>
      <xdr:col>6</xdr:col>
      <xdr:colOff>0</xdr:colOff>
      <xdr:row>0</xdr:row>
      <xdr:rowOff>0</xdr:rowOff>
    </xdr:from>
    <xdr:to>
      <xdr:col>6</xdr:col>
      <xdr:colOff>1930621</xdr:colOff>
      <xdr:row>0</xdr:row>
      <xdr:rowOff>472644</xdr:rowOff>
    </xdr:to>
    <xdr:grpSp>
      <xdr:nvGrpSpPr>
        <xdr:cNvPr id="20" name="PREGUNTA"/>
        <xdr:cNvGrpSpPr/>
      </xdr:nvGrpSpPr>
      <xdr:grpSpPr>
        <a:xfrm>
          <a:off x="1680482" y="0"/>
          <a:ext cx="1930621" cy="472644"/>
          <a:chOff x="2837089" y="19938"/>
          <a:chExt cx="1930621" cy="472644"/>
        </a:xfrm>
      </xdr:grpSpPr>
      <xdr:sp macro="[0]!INSERTAR_PREGUNTA" textlink="">
        <xdr:nvSpPr>
          <xdr:cNvPr id="21" name="INSERTAR"/>
          <xdr:cNvSpPr/>
        </xdr:nvSpPr>
        <xdr:spPr>
          <a:xfrm>
            <a:off x="2837089" y="19938"/>
            <a:ext cx="1914292" cy="204580"/>
          </a:xfrm>
          <a:prstGeom prst="rect">
            <a:avLst/>
          </a:prstGeom>
          <a:solidFill>
            <a:schemeClr val="bg1">
              <a:lumMod val="85000"/>
              <a:alpha val="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sp macro="[0]!BORRAR_PREGUNTA_DATOS" textlink="">
        <xdr:nvSpPr>
          <xdr:cNvPr id="22" name="BORRAR"/>
          <xdr:cNvSpPr/>
        </xdr:nvSpPr>
        <xdr:spPr>
          <a:xfrm>
            <a:off x="2853418" y="288002"/>
            <a:ext cx="1914292" cy="204580"/>
          </a:xfrm>
          <a:prstGeom prst="rect">
            <a:avLst/>
          </a:prstGeom>
          <a:solidFill>
            <a:schemeClr val="bg1">
              <a:lumMod val="85000"/>
              <a:alpha val="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grpSp>
    <xdr:clientData/>
  </xdr:twoCellAnchor>
  <xdr:twoCellAnchor editAs="oneCell">
    <xdr:from>
      <xdr:col>6</xdr:col>
      <xdr:colOff>3837214</xdr:colOff>
      <xdr:row>1</xdr:row>
      <xdr:rowOff>27214</xdr:rowOff>
    </xdr:from>
    <xdr:to>
      <xdr:col>6</xdr:col>
      <xdr:colOff>4132286</xdr:colOff>
      <xdr:row>1</xdr:row>
      <xdr:rowOff>280830</xdr:rowOff>
    </xdr:to>
    <xdr:pic macro="[0]!IR_INICIO">
      <xdr:nvPicPr>
        <xdr:cNvPr id="14" name="Casa_F_Naranja"/>
        <xdr:cNvPicPr>
          <a:picLocks noChangeAspect="1"/>
        </xdr:cNvPicPr>
      </xdr:nvPicPr>
      <xdr:blipFill>
        <a:blip xmlns:r="http://schemas.openxmlformats.org/officeDocument/2006/relationships" r:embed="rId4"/>
        <a:stretch>
          <a:fillRect/>
        </a:stretch>
      </xdr:blipFill>
      <xdr:spPr>
        <a:xfrm>
          <a:off x="5517696" y="530678"/>
          <a:ext cx="295072" cy="253616"/>
        </a:xfrm>
        <a:prstGeom prst="rect">
          <a:avLst/>
        </a:prstGeom>
      </xdr:spPr>
    </xdr:pic>
    <xdr:clientData/>
  </xdr:twoCellAnchor>
</xdr:wsDr>
</file>

<file path=xl/drawings/drawing16.xml><?xml version="1.0" encoding="utf-8"?>
<xdr:wsDr xmlns:xdr="http://schemas.openxmlformats.org/drawingml/2006/spreadsheetDrawing" xmlns:a="http://schemas.openxmlformats.org/drawingml/2006/main">
  <xdr:twoCellAnchor>
    <xdr:from>
      <xdr:col>1</xdr:col>
      <xdr:colOff>0</xdr:colOff>
      <xdr:row>11</xdr:row>
      <xdr:rowOff>0</xdr:rowOff>
    </xdr:from>
    <xdr:to>
      <xdr:col>22</xdr:col>
      <xdr:colOff>358134</xdr:colOff>
      <xdr:row>35</xdr:row>
      <xdr:rowOff>16568</xdr:rowOff>
    </xdr:to>
    <xdr:grpSp>
      <xdr:nvGrpSpPr>
        <xdr:cNvPr id="31" name="G IMAGENES"/>
        <xdr:cNvGrpSpPr/>
      </xdr:nvGrpSpPr>
      <xdr:grpSpPr>
        <a:xfrm>
          <a:off x="714375" y="1435554"/>
          <a:ext cx="8161830" cy="3227853"/>
          <a:chOff x="712662" y="1445881"/>
          <a:chExt cx="8211119" cy="3250957"/>
        </a:xfrm>
      </xdr:grpSpPr>
      <xdr:pic>
        <xdr:nvPicPr>
          <xdr:cNvPr id="2" name="MOODLE">
            <a:hlinkClick xmlns:r="http://schemas.openxmlformats.org/officeDocument/2006/relationships" r:id="rId1"/>
          </xdr:cNvPr>
          <xdr:cNvPicPr>
            <a:picLocks noChangeAspect="1"/>
          </xdr:cNvPicPr>
        </xdr:nvPicPr>
        <xdr:blipFill rotWithShape="1">
          <a:blip xmlns:r="http://schemas.openxmlformats.org/officeDocument/2006/relationships" r:embed="rId2"/>
          <a:srcRect l="-29988" t="2" r="-446380" b="5496"/>
          <a:stretch/>
        </xdr:blipFill>
        <xdr:spPr>
          <a:xfrm>
            <a:off x="712662" y="1445881"/>
            <a:ext cx="2086802" cy="347272"/>
          </a:xfrm>
          <a:prstGeom prst="rect">
            <a:avLst/>
          </a:prstGeom>
        </xdr:spPr>
      </xdr:pic>
      <xdr:pic macro="[0]!MENU_AYUDA">
        <xdr:nvPicPr>
          <xdr:cNvPr id="3" name="FTP"/>
          <xdr:cNvPicPr>
            <a:picLocks noChangeAspect="1"/>
          </xdr:cNvPicPr>
        </xdr:nvPicPr>
        <xdr:blipFill rotWithShape="1">
          <a:blip xmlns:r="http://schemas.openxmlformats.org/officeDocument/2006/relationships" r:embed="rId3"/>
          <a:srcRect l="8903" r="-34835" b="9685"/>
          <a:stretch/>
        </xdr:blipFill>
        <xdr:spPr>
          <a:xfrm>
            <a:off x="890827" y="4145773"/>
            <a:ext cx="723984" cy="528282"/>
          </a:xfrm>
          <a:prstGeom prst="rect">
            <a:avLst/>
          </a:prstGeom>
        </xdr:spPr>
      </xdr:pic>
      <xdr:pic>
        <xdr:nvPicPr>
          <xdr:cNvPr id="30" name="UCA">
            <a:hlinkClick xmlns:r="http://schemas.openxmlformats.org/officeDocument/2006/relationships" r:id="rId4"/>
          </xdr:cNvPr>
          <xdr:cNvPicPr>
            <a:picLocks noChangeAspect="1"/>
          </xdr:cNvPicPr>
        </xdr:nvPicPr>
        <xdr:blipFill>
          <a:blip xmlns:r="http://schemas.openxmlformats.org/officeDocument/2006/relationships" r:embed="rId5" cstate="print">
            <a:extLst>
              <a:ext uri="{28A0092B-C50C-407E-A947-70E740481C1C}">
                <a14:useLocalDpi xmlns:a14="http://schemas.microsoft.com/office/drawing/2010/main" val="0"/>
              </a:ext>
            </a:extLst>
          </a:blip>
          <a:stretch>
            <a:fillRect/>
          </a:stretch>
        </xdr:blipFill>
        <xdr:spPr>
          <a:xfrm>
            <a:off x="7034804" y="3947050"/>
            <a:ext cx="1888977" cy="749788"/>
          </a:xfrm>
          <a:prstGeom prst="rect">
            <a:avLst/>
          </a:prstGeom>
          <a:ln w="25400">
            <a:solidFill>
              <a:srgbClr val="E87B00"/>
            </a:solidFill>
          </a:ln>
        </xdr:spPr>
      </xdr:pic>
    </xdr:grpSp>
    <xdr:clientData/>
  </xdr:twoCellAnchor>
  <xdr:twoCellAnchor>
    <xdr:from>
      <xdr:col>0</xdr:col>
      <xdr:colOff>0</xdr:colOff>
      <xdr:row>0</xdr:row>
      <xdr:rowOff>0</xdr:rowOff>
    </xdr:from>
    <xdr:to>
      <xdr:col>1</xdr:col>
      <xdr:colOff>1713</xdr:colOff>
      <xdr:row>35</xdr:row>
      <xdr:rowOff>5146</xdr:rowOff>
    </xdr:to>
    <xdr:grpSp>
      <xdr:nvGrpSpPr>
        <xdr:cNvPr id="29" name="G Menu LATERAL"/>
        <xdr:cNvGrpSpPr/>
      </xdr:nvGrpSpPr>
      <xdr:grpSpPr>
        <a:xfrm>
          <a:off x="0" y="0"/>
          <a:ext cx="716088" cy="4651985"/>
          <a:chOff x="0" y="0"/>
          <a:chExt cx="714375" cy="4685416"/>
        </a:xfrm>
      </xdr:grpSpPr>
      <xdr:sp macro="[0]!Copia_CODIGOS_INFORMACION" textlink="">
        <xdr:nvSpPr>
          <xdr:cNvPr id="4" name="CODIGOS ESPECIALES"/>
          <xdr:cNvSpPr/>
        </xdr:nvSpPr>
        <xdr:spPr>
          <a:xfrm>
            <a:off x="0" y="0"/>
            <a:ext cx="712770" cy="346364"/>
          </a:xfrm>
          <a:prstGeom prst="rect">
            <a:avLst/>
          </a:prstGeom>
          <a:solidFill>
            <a:schemeClr val="bg1">
              <a:lumMod val="85000"/>
              <a:alpha val="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sp macro="[0]!Copia_Formula" textlink="">
        <xdr:nvSpPr>
          <xdr:cNvPr id="5" name="FORMULA"/>
          <xdr:cNvSpPr/>
        </xdr:nvSpPr>
        <xdr:spPr>
          <a:xfrm>
            <a:off x="0" y="445414"/>
            <a:ext cx="714375" cy="197017"/>
          </a:xfrm>
          <a:prstGeom prst="rect">
            <a:avLst/>
          </a:prstGeom>
          <a:solidFill>
            <a:schemeClr val="bg1">
              <a:lumMod val="85000"/>
              <a:alpha val="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sp macro="[0]!Copia_Superindice" textlink="">
        <xdr:nvSpPr>
          <xdr:cNvPr id="6" name="SUPREINDICE"/>
          <xdr:cNvSpPr/>
        </xdr:nvSpPr>
        <xdr:spPr>
          <a:xfrm>
            <a:off x="0" y="712662"/>
            <a:ext cx="714375" cy="197017"/>
          </a:xfrm>
          <a:prstGeom prst="rect">
            <a:avLst/>
          </a:prstGeom>
          <a:solidFill>
            <a:schemeClr val="bg1">
              <a:lumMod val="85000"/>
              <a:alpha val="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sp macro="[0]!Copia_Subindice" textlink="">
        <xdr:nvSpPr>
          <xdr:cNvPr id="7" name="SUBINDICE"/>
          <xdr:cNvSpPr/>
        </xdr:nvSpPr>
        <xdr:spPr>
          <a:xfrm>
            <a:off x="0" y="979910"/>
            <a:ext cx="714375" cy="197017"/>
          </a:xfrm>
          <a:prstGeom prst="rect">
            <a:avLst/>
          </a:prstGeom>
          <a:solidFill>
            <a:schemeClr val="bg1">
              <a:lumMod val="85000"/>
              <a:alpha val="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sp macro="[0]!Copia_Salto_Linea" textlink="">
        <xdr:nvSpPr>
          <xdr:cNvPr id="8" name="SALTO LINEA"/>
          <xdr:cNvSpPr/>
        </xdr:nvSpPr>
        <xdr:spPr>
          <a:xfrm>
            <a:off x="0" y="1247158"/>
            <a:ext cx="714375" cy="197017"/>
          </a:xfrm>
          <a:prstGeom prst="rect">
            <a:avLst/>
          </a:prstGeom>
          <a:solidFill>
            <a:schemeClr val="bg1">
              <a:lumMod val="85000"/>
              <a:alpha val="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sp macro="[0]!Copia_Concatenar" textlink="">
        <xdr:nvSpPr>
          <xdr:cNvPr id="9" name="CONCATENAR"/>
          <xdr:cNvSpPr/>
        </xdr:nvSpPr>
        <xdr:spPr>
          <a:xfrm>
            <a:off x="0" y="1521259"/>
            <a:ext cx="714375" cy="197017"/>
          </a:xfrm>
          <a:prstGeom prst="rect">
            <a:avLst/>
          </a:prstGeom>
          <a:solidFill>
            <a:schemeClr val="bg1">
              <a:lumMod val="85000"/>
              <a:alpha val="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sp macro="[0]!Copia_Negrita" textlink="">
        <xdr:nvSpPr>
          <xdr:cNvPr id="10" name="NEGRITA"/>
          <xdr:cNvSpPr/>
        </xdr:nvSpPr>
        <xdr:spPr>
          <a:xfrm>
            <a:off x="0" y="1788507"/>
            <a:ext cx="714375" cy="197017"/>
          </a:xfrm>
          <a:prstGeom prst="rect">
            <a:avLst/>
          </a:prstGeom>
          <a:solidFill>
            <a:schemeClr val="bg1">
              <a:lumMod val="85000"/>
              <a:alpha val="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sp macro="[0]!Copia_Espacios" textlink="">
        <xdr:nvSpPr>
          <xdr:cNvPr id="11" name="ESPACIOS"/>
          <xdr:cNvSpPr/>
        </xdr:nvSpPr>
        <xdr:spPr>
          <a:xfrm>
            <a:off x="0" y="2062608"/>
            <a:ext cx="714375" cy="197017"/>
          </a:xfrm>
          <a:prstGeom prst="rect">
            <a:avLst/>
          </a:prstGeom>
          <a:solidFill>
            <a:schemeClr val="bg1">
              <a:lumMod val="85000"/>
              <a:alpha val="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sp macro="[0]!Copia_Color_Texto_Rojo" textlink="">
        <xdr:nvSpPr>
          <xdr:cNvPr id="12" name="TEXTO ROJO"/>
          <xdr:cNvSpPr/>
        </xdr:nvSpPr>
        <xdr:spPr>
          <a:xfrm>
            <a:off x="0" y="2329856"/>
            <a:ext cx="714375" cy="197017"/>
          </a:xfrm>
          <a:prstGeom prst="rect">
            <a:avLst/>
          </a:prstGeom>
          <a:solidFill>
            <a:schemeClr val="bg1">
              <a:lumMod val="85000"/>
              <a:alpha val="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sp macro="[0]!Copia_Color_Texto_Azul" textlink="">
        <xdr:nvSpPr>
          <xdr:cNvPr id="13" name="TEXTO AZUL"/>
          <xdr:cNvSpPr/>
        </xdr:nvSpPr>
        <xdr:spPr>
          <a:xfrm>
            <a:off x="0" y="2603957"/>
            <a:ext cx="714375" cy="197017"/>
          </a:xfrm>
          <a:prstGeom prst="rect">
            <a:avLst/>
          </a:prstGeom>
          <a:solidFill>
            <a:schemeClr val="bg1">
              <a:lumMod val="85000"/>
              <a:alpha val="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sp macro="[0]!Copia_Color_Texto_Otro" textlink="">
        <xdr:nvSpPr>
          <xdr:cNvPr id="14" name="TECTO OTRO"/>
          <xdr:cNvSpPr/>
        </xdr:nvSpPr>
        <xdr:spPr>
          <a:xfrm>
            <a:off x="0" y="2871205"/>
            <a:ext cx="714375" cy="197017"/>
          </a:xfrm>
          <a:prstGeom prst="rect">
            <a:avLst/>
          </a:prstGeom>
          <a:solidFill>
            <a:schemeClr val="bg1">
              <a:lumMod val="85000"/>
              <a:alpha val="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sp macro="[0]!Copia_Imagen" textlink="">
        <xdr:nvSpPr>
          <xdr:cNvPr id="15" name="INSERTAR IMAGENES"/>
          <xdr:cNvSpPr/>
        </xdr:nvSpPr>
        <xdr:spPr>
          <a:xfrm>
            <a:off x="0" y="3145306"/>
            <a:ext cx="714375" cy="425739"/>
          </a:xfrm>
          <a:prstGeom prst="rect">
            <a:avLst/>
          </a:prstGeom>
          <a:solidFill>
            <a:schemeClr val="bg1">
              <a:lumMod val="85000"/>
              <a:alpha val="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sp macro="[0]!Celdas_Formulas_INFORMACION" textlink="">
        <xdr:nvSpPr>
          <xdr:cNvPr id="16" name="USAR VARIABLES"/>
          <xdr:cNvSpPr/>
        </xdr:nvSpPr>
        <xdr:spPr>
          <a:xfrm>
            <a:off x="0" y="3679802"/>
            <a:ext cx="714375" cy="447387"/>
          </a:xfrm>
          <a:prstGeom prst="rect">
            <a:avLst/>
          </a:prstGeom>
          <a:solidFill>
            <a:schemeClr val="bg1">
              <a:lumMod val="85000"/>
              <a:alpha val="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sp macro="[0]!Celdas_Formulas_Activar" textlink="">
        <xdr:nvSpPr>
          <xdr:cNvPr id="17" name="ACTIVAR VARIABLES"/>
          <xdr:cNvSpPr/>
        </xdr:nvSpPr>
        <xdr:spPr>
          <a:xfrm>
            <a:off x="0" y="4221151"/>
            <a:ext cx="714375" cy="197017"/>
          </a:xfrm>
          <a:prstGeom prst="rect">
            <a:avLst/>
          </a:prstGeom>
          <a:solidFill>
            <a:schemeClr val="bg1">
              <a:lumMod val="85000"/>
              <a:alpha val="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sp macro="[0]!Celdas_Formulas_Desactivar" textlink="">
        <xdr:nvSpPr>
          <xdr:cNvPr id="18" name="DESACTIVAR VARIABLES"/>
          <xdr:cNvSpPr/>
        </xdr:nvSpPr>
        <xdr:spPr>
          <a:xfrm>
            <a:off x="0" y="4488399"/>
            <a:ext cx="714375" cy="197017"/>
          </a:xfrm>
          <a:prstGeom prst="rect">
            <a:avLst/>
          </a:prstGeom>
          <a:solidFill>
            <a:schemeClr val="bg1">
              <a:lumMod val="85000"/>
              <a:alpha val="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grpSp>
    <xdr:clientData/>
  </xdr:twoCellAnchor>
  <xdr:twoCellAnchor>
    <xdr:from>
      <xdr:col>26</xdr:col>
      <xdr:colOff>0</xdr:colOff>
      <xdr:row>1</xdr:row>
      <xdr:rowOff>0</xdr:rowOff>
    </xdr:from>
    <xdr:to>
      <xdr:col>27</xdr:col>
      <xdr:colOff>159</xdr:colOff>
      <xdr:row>3</xdr:row>
      <xdr:rowOff>1</xdr:rowOff>
    </xdr:to>
    <xdr:sp macro="[0]!Limpiar_Datos_Variables" textlink="">
      <xdr:nvSpPr>
        <xdr:cNvPr id="19" name="BORRAR VARIABLES" hidden="1"/>
        <xdr:cNvSpPr/>
      </xdr:nvSpPr>
      <xdr:spPr>
        <a:xfrm>
          <a:off x="9976556" y="28222"/>
          <a:ext cx="712770" cy="345723"/>
        </a:xfrm>
        <a:prstGeom prst="rect">
          <a:avLst/>
        </a:prstGeom>
        <a:solidFill>
          <a:schemeClr val="bg1">
            <a:lumMod val="85000"/>
            <a:alpha val="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clientData/>
  </xdr:twoCellAnchor>
  <xdr:twoCellAnchor>
    <xdr:from>
      <xdr:col>10</xdr:col>
      <xdr:colOff>383741</xdr:colOff>
      <xdr:row>1</xdr:row>
      <xdr:rowOff>0</xdr:rowOff>
    </xdr:from>
    <xdr:to>
      <xdr:col>22</xdr:col>
      <xdr:colOff>331770</xdr:colOff>
      <xdr:row>3</xdr:row>
      <xdr:rowOff>1</xdr:rowOff>
    </xdr:to>
    <xdr:grpSp>
      <xdr:nvGrpSpPr>
        <xdr:cNvPr id="28" name="G Menu SUPERIOR"/>
        <xdr:cNvGrpSpPr/>
      </xdr:nvGrpSpPr>
      <xdr:grpSpPr>
        <a:xfrm>
          <a:off x="4329812" y="27214"/>
          <a:ext cx="4520029" cy="340180"/>
          <a:chOff x="4344496" y="27410"/>
          <a:chExt cx="4552921" cy="342627"/>
        </a:xfrm>
      </xdr:grpSpPr>
      <xdr:sp macro="[0]!IR_DATOS_GENERALES" textlink="">
        <xdr:nvSpPr>
          <xdr:cNvPr id="20" name="DATOS GENERALES"/>
          <xdr:cNvSpPr/>
        </xdr:nvSpPr>
        <xdr:spPr>
          <a:xfrm>
            <a:off x="4344496" y="27410"/>
            <a:ext cx="715511" cy="342627"/>
          </a:xfrm>
          <a:prstGeom prst="rect">
            <a:avLst/>
          </a:prstGeom>
          <a:solidFill>
            <a:schemeClr val="bg1">
              <a:lumMod val="85000"/>
              <a:alpha val="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sp macro="[0]!IR_BANCO_PREGUNTAS" textlink="">
        <xdr:nvSpPr>
          <xdr:cNvPr id="21" name="BANCO PREGUNTAS"/>
          <xdr:cNvSpPr/>
        </xdr:nvSpPr>
        <xdr:spPr>
          <a:xfrm>
            <a:off x="5111978" y="27410"/>
            <a:ext cx="715511" cy="342627"/>
          </a:xfrm>
          <a:prstGeom prst="rect">
            <a:avLst/>
          </a:prstGeom>
          <a:solidFill>
            <a:schemeClr val="bg1">
              <a:lumMod val="85000"/>
              <a:alpha val="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sp macro="[0]!Limpiar_Datos_Formulario" textlink="">
        <xdr:nvSpPr>
          <xdr:cNvPr id="22" name="LIMPIAR DATOS"/>
          <xdr:cNvSpPr/>
        </xdr:nvSpPr>
        <xdr:spPr>
          <a:xfrm>
            <a:off x="5879460" y="27410"/>
            <a:ext cx="715511" cy="342627"/>
          </a:xfrm>
          <a:prstGeom prst="rect">
            <a:avLst/>
          </a:prstGeom>
          <a:solidFill>
            <a:schemeClr val="bg1">
              <a:lumMod val="85000"/>
              <a:alpha val="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sp macro="[0]!Guardar_Pregunta" textlink="">
        <xdr:nvSpPr>
          <xdr:cNvPr id="23" name="GUARDAR PREGUNTAS"/>
          <xdr:cNvSpPr/>
        </xdr:nvSpPr>
        <xdr:spPr>
          <a:xfrm>
            <a:off x="6646942" y="27410"/>
            <a:ext cx="715511" cy="342627"/>
          </a:xfrm>
          <a:prstGeom prst="rect">
            <a:avLst/>
          </a:prstGeom>
          <a:solidFill>
            <a:schemeClr val="bg1">
              <a:lumMod val="85000"/>
              <a:alpha val="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sp macro="[0]!Borrar_Pregunta" textlink="">
        <xdr:nvSpPr>
          <xdr:cNvPr id="24" name="BORRAR PREGUNTAS"/>
          <xdr:cNvSpPr/>
        </xdr:nvSpPr>
        <xdr:spPr>
          <a:xfrm>
            <a:off x="7414424" y="27410"/>
            <a:ext cx="715511" cy="342627"/>
          </a:xfrm>
          <a:prstGeom prst="rect">
            <a:avLst/>
          </a:prstGeom>
          <a:solidFill>
            <a:schemeClr val="bg1">
              <a:lumMod val="85000"/>
              <a:alpha val="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sp macro="[0]!Formato_FORMULARIO" textlink="">
        <xdr:nvSpPr>
          <xdr:cNvPr id="25" name="DAR FORMATO"/>
          <xdr:cNvSpPr/>
        </xdr:nvSpPr>
        <xdr:spPr>
          <a:xfrm>
            <a:off x="8181906" y="27410"/>
            <a:ext cx="715511" cy="342627"/>
          </a:xfrm>
          <a:prstGeom prst="rect">
            <a:avLst/>
          </a:prstGeom>
          <a:solidFill>
            <a:schemeClr val="bg1">
              <a:lumMod val="85000"/>
              <a:alpha val="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grpSp>
    <xdr:clientData/>
  </xdr:twoCellAnchor>
  <xdr:oneCellAnchor>
    <xdr:from>
      <xdr:col>13</xdr:col>
      <xdr:colOff>0</xdr:colOff>
      <xdr:row>4</xdr:row>
      <xdr:rowOff>0</xdr:rowOff>
    </xdr:from>
    <xdr:ext cx="1520162" cy="170703"/>
    <xdr:pic macro="[0]!Almacenar_Formulas">
      <xdr:nvPicPr>
        <xdr:cNvPr id="38" name="ALMACENAR FORMULAS"/>
        <xdr:cNvPicPr>
          <a:picLocks noChangeAspect="1"/>
        </xdr:cNvPicPr>
      </xdr:nvPicPr>
      <xdr:blipFill>
        <a:blip xmlns:r="http://schemas.openxmlformats.org/officeDocument/2006/relationships" r:embed="rId6"/>
        <a:stretch>
          <a:fillRect/>
        </a:stretch>
      </xdr:blipFill>
      <xdr:spPr>
        <a:xfrm>
          <a:off x="5086350" y="447675"/>
          <a:ext cx="1520162" cy="170703"/>
        </a:xfrm>
        <a:prstGeom prst="rect">
          <a:avLst/>
        </a:prstGeom>
      </xdr:spPr>
    </xdr:pic>
    <xdr:clientData/>
  </xdr:oneCellAnchor>
  <xdr:twoCellAnchor>
    <xdr:from>
      <xdr:col>11</xdr:col>
      <xdr:colOff>0</xdr:colOff>
      <xdr:row>4</xdr:row>
      <xdr:rowOff>0</xdr:rowOff>
    </xdr:from>
    <xdr:to>
      <xdr:col>12</xdr:col>
      <xdr:colOff>323850</xdr:colOff>
      <xdr:row>5</xdr:row>
      <xdr:rowOff>19050</xdr:rowOff>
    </xdr:to>
    <xdr:grpSp>
      <xdr:nvGrpSpPr>
        <xdr:cNvPr id="26" name="G Pregunta"/>
        <xdr:cNvGrpSpPr/>
      </xdr:nvGrpSpPr>
      <xdr:grpSpPr>
        <a:xfrm>
          <a:off x="4327071" y="442232"/>
          <a:ext cx="704850" cy="209550"/>
          <a:chOff x="4325056" y="451556"/>
          <a:chExt cx="704845" cy="209550"/>
        </a:xfrm>
      </xdr:grpSpPr>
      <xdr:sp macro="[0]!Elegir_Pregunta" textlink="">
        <xdr:nvSpPr>
          <xdr:cNvPr id="32" name="Pregunta"/>
          <xdr:cNvSpPr/>
        </xdr:nvSpPr>
        <xdr:spPr>
          <a:xfrm>
            <a:off x="4325056" y="451556"/>
            <a:ext cx="346364" cy="180398"/>
          </a:xfrm>
          <a:prstGeom prst="rect">
            <a:avLst/>
          </a:prstGeom>
          <a:solidFill>
            <a:schemeClr val="bg1">
              <a:lumMod val="85000"/>
              <a:alpha val="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mc:AlternateContent xmlns:mc="http://schemas.openxmlformats.org/markup-compatibility/2006">
        <mc:Choice xmlns:a14="http://schemas.microsoft.com/office/drawing/2010/main" Requires="a14">
          <xdr:sp macro="" textlink="">
            <xdr:nvSpPr>
              <xdr:cNvPr id="32771" name="Contador 1" descr="Para consultar los datos de cada pregunta." hidden="1">
                <a:extLst>
                  <a:ext uri="{63B3BB69-23CF-44E3-9099-C40C66FF867C}">
                    <a14:compatExt spid="_x0000_s32771"/>
                  </a:ext>
                </a:extLst>
              </xdr:cNvPr>
              <xdr:cNvSpPr/>
            </xdr:nvSpPr>
            <xdr:spPr bwMode="auto">
              <a:xfrm>
                <a:off x="4706056" y="451556"/>
                <a:ext cx="85725" cy="209550"/>
              </a:xfrm>
              <a:prstGeom prst="rect">
                <a:avLst/>
              </a:prstGeom>
              <a:noFill/>
              <a:ln w="9525">
                <a:miter lim="800000"/>
                <a:headEnd/>
                <a:tailEnd/>
              </a:ln>
            </xdr:spPr>
          </xdr:sp>
        </mc:Choice>
        <mc:Fallback/>
      </mc:AlternateContent>
      <mc:AlternateContent xmlns:mc="http://schemas.openxmlformats.org/markup-compatibility/2006">
        <mc:Choice xmlns:a14="http://schemas.microsoft.com/office/drawing/2010/main" Requires="a14">
          <xdr:sp macro="" textlink="">
            <xdr:nvSpPr>
              <xdr:cNvPr id="32772" name="Box PREGUNTAS" hidden="1">
                <a:extLst>
                  <a:ext uri="{63B3BB69-23CF-44E3-9099-C40C66FF867C}">
                    <a14:compatExt spid="_x0000_s32772"/>
                  </a:ext>
                </a:extLst>
              </xdr:cNvPr>
              <xdr:cNvSpPr/>
            </xdr:nvSpPr>
            <xdr:spPr bwMode="auto">
              <a:xfrm>
                <a:off x="4791778" y="461081"/>
                <a:ext cx="238123" cy="200025"/>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mc:Choice>
        <mc:Fallback/>
      </mc:AlternateContent>
    </xdr:grpSp>
    <xdr:clientData/>
  </xdr:twoCellAnchor>
  <xdr:twoCellAnchor>
    <xdr:from>
      <xdr:col>7</xdr:col>
      <xdr:colOff>0</xdr:colOff>
      <xdr:row>3</xdr:row>
      <xdr:rowOff>66675</xdr:rowOff>
    </xdr:from>
    <xdr:to>
      <xdr:col>8</xdr:col>
      <xdr:colOff>114300</xdr:colOff>
      <xdr:row>5</xdr:row>
      <xdr:rowOff>9525</xdr:rowOff>
    </xdr:to>
    <xdr:grpSp>
      <xdr:nvGrpSpPr>
        <xdr:cNvPr id="27" name="G Pregunta Inicial"/>
        <xdr:cNvGrpSpPr/>
      </xdr:nvGrpSpPr>
      <xdr:grpSpPr>
        <a:xfrm>
          <a:off x="2803071" y="434068"/>
          <a:ext cx="495300" cy="208189"/>
          <a:chOff x="2801056" y="440619"/>
          <a:chExt cx="495300" cy="210962"/>
        </a:xfrm>
      </xdr:grpSpPr>
      <xdr:sp macro="" textlink="">
        <xdr:nvSpPr>
          <xdr:cNvPr id="34" name="NADA"/>
          <xdr:cNvSpPr/>
        </xdr:nvSpPr>
        <xdr:spPr>
          <a:xfrm>
            <a:off x="2801056" y="451556"/>
            <a:ext cx="346364" cy="180398"/>
          </a:xfrm>
          <a:prstGeom prst="rect">
            <a:avLst/>
          </a:prstGeom>
          <a:solidFill>
            <a:schemeClr val="bg1">
              <a:lumMod val="85000"/>
              <a:alpha val="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mc:AlternateContent xmlns:mc="http://schemas.openxmlformats.org/markup-compatibility/2006">
        <mc:Choice xmlns:a14="http://schemas.microsoft.com/office/drawing/2010/main" Requires="a14">
          <xdr:sp macro="" textlink="">
            <xdr:nvSpPr>
              <xdr:cNvPr id="32769" name="Contador 10" descr="Para consultar los datos de cada pregunta." hidden="1">
                <a:extLst>
                  <a:ext uri="{63B3BB69-23CF-44E3-9099-C40C66FF867C}">
                    <a14:compatExt spid="_x0000_s32769"/>
                  </a:ext>
                </a:extLst>
              </xdr:cNvPr>
              <xdr:cNvSpPr/>
            </xdr:nvSpPr>
            <xdr:spPr bwMode="auto">
              <a:xfrm>
                <a:off x="3124906" y="440619"/>
                <a:ext cx="85725" cy="210962"/>
              </a:xfrm>
              <a:prstGeom prst="rect">
                <a:avLst/>
              </a:prstGeom>
              <a:noFill/>
              <a:ln w="9525">
                <a:miter lim="800000"/>
                <a:headEnd/>
                <a:tailEnd/>
              </a:ln>
            </xdr:spPr>
          </xdr:sp>
        </mc:Choice>
        <mc:Fallback/>
      </mc:AlternateContent>
      <mc:AlternateContent xmlns:mc="http://schemas.openxmlformats.org/markup-compatibility/2006">
        <mc:Choice xmlns:a14="http://schemas.microsoft.com/office/drawing/2010/main" Requires="a14">
          <xdr:sp macro="" textlink="">
            <xdr:nvSpPr>
              <xdr:cNvPr id="32770" name="Contador 100" descr="Para consultar los datos de cada pregunta." hidden="1">
                <a:extLst>
                  <a:ext uri="{63B3BB69-23CF-44E3-9099-C40C66FF867C}">
                    <a14:compatExt spid="_x0000_s32770"/>
                  </a:ext>
                </a:extLst>
              </xdr:cNvPr>
              <xdr:cNvSpPr/>
            </xdr:nvSpPr>
            <xdr:spPr bwMode="auto">
              <a:xfrm>
                <a:off x="3210629" y="440619"/>
                <a:ext cx="85727" cy="210962"/>
              </a:xfrm>
              <a:prstGeom prst="rect">
                <a:avLst/>
              </a:prstGeom>
              <a:noFill/>
              <a:ln w="9525">
                <a:miter lim="800000"/>
                <a:headEnd/>
                <a:tailEnd/>
              </a:ln>
            </xdr:spPr>
          </xdr:sp>
        </mc:Choice>
        <mc:Fallback/>
      </mc:AlternateContent>
    </xdr:grpSp>
    <xdr:clientData/>
  </xdr:twoCellAnchor>
  <xdr:twoCellAnchor editAs="oneCell">
    <xdr:from>
      <xdr:col>1</xdr:col>
      <xdr:colOff>153866</xdr:colOff>
      <xdr:row>7</xdr:row>
      <xdr:rowOff>29308</xdr:rowOff>
    </xdr:from>
    <xdr:to>
      <xdr:col>2</xdr:col>
      <xdr:colOff>264276</xdr:colOff>
      <xdr:row>9</xdr:row>
      <xdr:rowOff>24454</xdr:rowOff>
    </xdr:to>
    <xdr:pic macro="[0]!IR_INICIO">
      <xdr:nvPicPr>
        <xdr:cNvPr id="39" name="Casa_F_Gris"/>
        <xdr:cNvPicPr>
          <a:picLocks noChangeAspect="1"/>
        </xdr:cNvPicPr>
      </xdr:nvPicPr>
      <xdr:blipFill>
        <a:blip xmlns:r="http://schemas.openxmlformats.org/officeDocument/2006/relationships" r:embed="rId7"/>
        <a:stretch>
          <a:fillRect/>
        </a:stretch>
      </xdr:blipFill>
      <xdr:spPr>
        <a:xfrm>
          <a:off x="868241" y="934183"/>
          <a:ext cx="291385" cy="261846"/>
        </a:xfrm>
        <a:prstGeom prst="rect">
          <a:avLst/>
        </a:prstGeom>
      </xdr:spPr>
    </xdr:pic>
    <xdr:clientData/>
  </xdr:twoCellAnchor>
</xdr:wsDr>
</file>

<file path=xl/drawings/drawing17.xml><?xml version="1.0" encoding="utf-8"?>
<xdr:wsDr xmlns:xdr="http://schemas.openxmlformats.org/drawingml/2006/spreadsheetDrawing" xmlns:a="http://schemas.openxmlformats.org/drawingml/2006/main">
  <xdr:twoCellAnchor>
    <xdr:from>
      <xdr:col>0</xdr:col>
      <xdr:colOff>0</xdr:colOff>
      <xdr:row>0</xdr:row>
      <xdr:rowOff>0</xdr:rowOff>
    </xdr:from>
    <xdr:to>
      <xdr:col>0</xdr:col>
      <xdr:colOff>630621</xdr:colOff>
      <xdr:row>0</xdr:row>
      <xdr:rowOff>243336</xdr:rowOff>
    </xdr:to>
    <xdr:pic>
      <xdr:nvPicPr>
        <xdr:cNvPr id="9" name="UCA">
          <a:hlinkClick xmlns:r="http://schemas.openxmlformats.org/officeDocument/2006/relationships" r:id="rId1"/>
        </xdr:cNvPr>
        <xdr:cNvPicPr>
          <a:picLocks noChangeAspect="1"/>
        </xdr:cNvPicPr>
      </xdr:nvPicPr>
      <xdr:blipFill>
        <a:blip xmlns:r="http://schemas.openxmlformats.org/officeDocument/2006/relationships" r:embed="rId2" cstate="print">
          <a:extLst>
            <a:ext uri="{28A0092B-C50C-407E-A947-70E740481C1C}">
              <a14:useLocalDpi xmlns:a14="http://schemas.microsoft.com/office/drawing/2010/main" val="0"/>
            </a:ext>
          </a:extLst>
        </a:blip>
        <a:stretch>
          <a:fillRect/>
        </a:stretch>
      </xdr:blipFill>
      <xdr:spPr>
        <a:xfrm>
          <a:off x="0" y="0"/>
          <a:ext cx="630621" cy="243336"/>
        </a:xfrm>
        <a:prstGeom prst="rect">
          <a:avLst/>
        </a:prstGeom>
        <a:ln w="12700">
          <a:solidFill>
            <a:srgbClr val="E87B00"/>
          </a:solidFill>
        </a:ln>
      </xdr:spPr>
    </xdr:pic>
    <xdr:clientData/>
  </xdr:twoCellAnchor>
  <xdr:twoCellAnchor>
    <xdr:from>
      <xdr:col>6</xdr:col>
      <xdr:colOff>0</xdr:colOff>
      <xdr:row>0</xdr:row>
      <xdr:rowOff>0</xdr:rowOff>
    </xdr:from>
    <xdr:to>
      <xdr:col>6</xdr:col>
      <xdr:colOff>2974468</xdr:colOff>
      <xdr:row>1</xdr:row>
      <xdr:rowOff>66472</xdr:rowOff>
    </xdr:to>
    <xdr:grpSp>
      <xdr:nvGrpSpPr>
        <xdr:cNvPr id="23" name="G FTP_MOODLE"/>
        <xdr:cNvGrpSpPr/>
      </xdr:nvGrpSpPr>
      <xdr:grpSpPr>
        <a:xfrm>
          <a:off x="1401536" y="0"/>
          <a:ext cx="2974468" cy="569936"/>
          <a:chOff x="2844102" y="0"/>
          <a:chExt cx="2974468" cy="572030"/>
        </a:xfrm>
      </xdr:grpSpPr>
      <xdr:pic>
        <xdr:nvPicPr>
          <xdr:cNvPr id="24" name="FTP-MOODLE"/>
          <xdr:cNvPicPr>
            <a:picLocks noChangeAspect="1"/>
          </xdr:cNvPicPr>
        </xdr:nvPicPr>
        <xdr:blipFill rotWithShape="1">
          <a:blip xmlns:r="http://schemas.openxmlformats.org/officeDocument/2006/relationships" r:embed="rId3"/>
          <a:srcRect l="62747"/>
          <a:stretch/>
        </xdr:blipFill>
        <xdr:spPr>
          <a:xfrm>
            <a:off x="4838037" y="0"/>
            <a:ext cx="980533" cy="572030"/>
          </a:xfrm>
          <a:prstGeom prst="rect">
            <a:avLst/>
          </a:prstGeom>
        </xdr:spPr>
      </xdr:pic>
      <xdr:cxnSp macro="">
        <xdr:nvCxnSpPr>
          <xdr:cNvPr id="25" name="LINEA H"/>
          <xdr:cNvCxnSpPr/>
        </xdr:nvCxnSpPr>
        <xdr:spPr>
          <a:xfrm>
            <a:off x="2844102" y="261934"/>
            <a:ext cx="1836000"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xnSp macro="">
        <xdr:nvCxnSpPr>
          <xdr:cNvPr id="26" name="LINEA V"/>
          <xdr:cNvCxnSpPr/>
        </xdr:nvCxnSpPr>
        <xdr:spPr>
          <a:xfrm>
            <a:off x="4674733" y="1"/>
            <a:ext cx="0" cy="522170"/>
          </a:xfrm>
          <a:prstGeom prst="line">
            <a:avLst/>
          </a:prstGeom>
          <a:ln w="19050">
            <a:solidFill>
              <a:schemeClr val="bg1"/>
            </a:solidFill>
          </a:ln>
        </xdr:spPr>
        <xdr:style>
          <a:lnRef idx="1">
            <a:schemeClr val="accent1"/>
          </a:lnRef>
          <a:fillRef idx="0">
            <a:schemeClr val="accent1"/>
          </a:fillRef>
          <a:effectRef idx="0">
            <a:schemeClr val="accent1"/>
          </a:effectRef>
          <a:fontRef idx="minor">
            <a:schemeClr val="tx1"/>
          </a:fontRef>
        </xdr:style>
      </xdr:cxnSp>
    </xdr:grpSp>
    <xdr:clientData/>
  </xdr:twoCellAnchor>
  <xdr:twoCellAnchor>
    <xdr:from>
      <xdr:col>1</xdr:col>
      <xdr:colOff>0</xdr:colOff>
      <xdr:row>0</xdr:row>
      <xdr:rowOff>0</xdr:rowOff>
    </xdr:from>
    <xdr:to>
      <xdr:col>6</xdr:col>
      <xdr:colOff>48063</xdr:colOff>
      <xdr:row>0</xdr:row>
      <xdr:rowOff>496777</xdr:rowOff>
    </xdr:to>
    <xdr:grpSp>
      <xdr:nvGrpSpPr>
        <xdr:cNvPr id="11" name="Ir a"/>
        <xdr:cNvGrpSpPr/>
      </xdr:nvGrpSpPr>
      <xdr:grpSpPr>
        <a:xfrm>
          <a:off x="646339" y="0"/>
          <a:ext cx="803260" cy="496777"/>
          <a:chOff x="2090986" y="0"/>
          <a:chExt cx="802736" cy="496777"/>
        </a:xfrm>
      </xdr:grpSpPr>
      <xdr:cxnSp macro="">
        <xdr:nvCxnSpPr>
          <xdr:cNvPr id="17" name="LINEA"/>
          <xdr:cNvCxnSpPr/>
        </xdr:nvCxnSpPr>
        <xdr:spPr>
          <a:xfrm>
            <a:off x="2090986" y="319012"/>
            <a:ext cx="753631"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sp macro="[0]!IR_DATOS_GENERALES" textlink="">
        <xdr:nvSpPr>
          <xdr:cNvPr id="18" name="DATOS GENERALES"/>
          <xdr:cNvSpPr/>
        </xdr:nvSpPr>
        <xdr:spPr>
          <a:xfrm>
            <a:off x="2169091" y="0"/>
            <a:ext cx="724631" cy="321666"/>
          </a:xfrm>
          <a:prstGeom prst="rect">
            <a:avLst/>
          </a:prstGeom>
          <a:solidFill>
            <a:schemeClr val="bg1">
              <a:lumMod val="85000"/>
              <a:alpha val="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sp macro="[0]!IR_FORMULARIO" textlink="">
        <xdr:nvSpPr>
          <xdr:cNvPr id="19" name="FORMULARIO"/>
          <xdr:cNvSpPr/>
        </xdr:nvSpPr>
        <xdr:spPr>
          <a:xfrm>
            <a:off x="2175854" y="355886"/>
            <a:ext cx="716703" cy="140891"/>
          </a:xfrm>
          <a:prstGeom prst="rect">
            <a:avLst/>
          </a:prstGeom>
          <a:solidFill>
            <a:schemeClr val="bg1">
              <a:lumMod val="85000"/>
              <a:alpha val="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grpSp>
    <xdr:clientData/>
  </xdr:twoCellAnchor>
  <xdr:twoCellAnchor>
    <xdr:from>
      <xdr:col>6</xdr:col>
      <xdr:colOff>0</xdr:colOff>
      <xdr:row>0</xdr:row>
      <xdr:rowOff>0</xdr:rowOff>
    </xdr:from>
    <xdr:to>
      <xdr:col>6</xdr:col>
      <xdr:colOff>1930621</xdr:colOff>
      <xdr:row>0</xdr:row>
      <xdr:rowOff>472644</xdr:rowOff>
    </xdr:to>
    <xdr:grpSp>
      <xdr:nvGrpSpPr>
        <xdr:cNvPr id="20" name="PREGUNTA"/>
        <xdr:cNvGrpSpPr/>
      </xdr:nvGrpSpPr>
      <xdr:grpSpPr>
        <a:xfrm>
          <a:off x="1401536" y="0"/>
          <a:ext cx="1930621" cy="472644"/>
          <a:chOff x="2837089" y="19938"/>
          <a:chExt cx="1930621" cy="472644"/>
        </a:xfrm>
      </xdr:grpSpPr>
      <xdr:sp macro="[0]!INSERTAR_PREGUNTA" textlink="">
        <xdr:nvSpPr>
          <xdr:cNvPr id="21" name="INSERTAR"/>
          <xdr:cNvSpPr/>
        </xdr:nvSpPr>
        <xdr:spPr>
          <a:xfrm>
            <a:off x="2837089" y="19938"/>
            <a:ext cx="1914292" cy="204580"/>
          </a:xfrm>
          <a:prstGeom prst="rect">
            <a:avLst/>
          </a:prstGeom>
          <a:solidFill>
            <a:schemeClr val="bg1">
              <a:lumMod val="85000"/>
              <a:alpha val="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sp macro="[0]!BORRAR_PREGUNTA_DATOS" textlink="">
        <xdr:nvSpPr>
          <xdr:cNvPr id="22" name="BORRAR"/>
          <xdr:cNvSpPr/>
        </xdr:nvSpPr>
        <xdr:spPr>
          <a:xfrm>
            <a:off x="2853418" y="288002"/>
            <a:ext cx="1914292" cy="204580"/>
          </a:xfrm>
          <a:prstGeom prst="rect">
            <a:avLst/>
          </a:prstGeom>
          <a:solidFill>
            <a:schemeClr val="bg1">
              <a:lumMod val="85000"/>
              <a:alpha val="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grpSp>
    <xdr:clientData/>
  </xdr:twoCellAnchor>
  <xdr:twoCellAnchor editAs="oneCell">
    <xdr:from>
      <xdr:col>6</xdr:col>
      <xdr:colOff>3980089</xdr:colOff>
      <xdr:row>1</xdr:row>
      <xdr:rowOff>34018</xdr:rowOff>
    </xdr:from>
    <xdr:to>
      <xdr:col>6</xdr:col>
      <xdr:colOff>4275161</xdr:colOff>
      <xdr:row>1</xdr:row>
      <xdr:rowOff>287634</xdr:rowOff>
    </xdr:to>
    <xdr:pic macro="[0]!IR_INICIO">
      <xdr:nvPicPr>
        <xdr:cNvPr id="14" name="Casa_F_Naranja"/>
        <xdr:cNvPicPr>
          <a:picLocks noChangeAspect="1"/>
        </xdr:cNvPicPr>
      </xdr:nvPicPr>
      <xdr:blipFill>
        <a:blip xmlns:r="http://schemas.openxmlformats.org/officeDocument/2006/relationships" r:embed="rId4"/>
        <a:stretch>
          <a:fillRect/>
        </a:stretch>
      </xdr:blipFill>
      <xdr:spPr>
        <a:xfrm>
          <a:off x="5381625" y="537482"/>
          <a:ext cx="295072" cy="253616"/>
        </a:xfrm>
        <a:prstGeom prst="rect">
          <a:avLst/>
        </a:prstGeom>
      </xdr:spPr>
    </xdr:pic>
    <xdr:clientData/>
  </xdr:twoCellAnchor>
</xdr:wsDr>
</file>

<file path=xl/drawings/drawing18.xml><?xml version="1.0" encoding="utf-8"?>
<xdr:wsDr xmlns:xdr="http://schemas.openxmlformats.org/drawingml/2006/spreadsheetDrawing" xmlns:a="http://schemas.openxmlformats.org/drawingml/2006/main">
  <xdr:twoCellAnchor editAs="oneCell">
    <xdr:from>
      <xdr:col>1</xdr:col>
      <xdr:colOff>0</xdr:colOff>
      <xdr:row>11</xdr:row>
      <xdr:rowOff>0</xdr:rowOff>
    </xdr:from>
    <xdr:to>
      <xdr:col>6</xdr:col>
      <xdr:colOff>373673</xdr:colOff>
      <xdr:row>14</xdr:row>
      <xdr:rowOff>4646</xdr:rowOff>
    </xdr:to>
    <xdr:pic>
      <xdr:nvPicPr>
        <xdr:cNvPr id="2" name="MOODLE">
          <a:hlinkClick xmlns:r="http://schemas.openxmlformats.org/officeDocument/2006/relationships" r:id="rId1"/>
        </xdr:cNvPr>
        <xdr:cNvPicPr>
          <a:picLocks noChangeAspect="1"/>
        </xdr:cNvPicPr>
      </xdr:nvPicPr>
      <xdr:blipFill rotWithShape="1">
        <a:blip xmlns:r="http://schemas.openxmlformats.org/officeDocument/2006/relationships" r:embed="rId2"/>
        <a:srcRect l="-29988" t="2" r="-446380" b="5496"/>
        <a:stretch/>
      </xdr:blipFill>
      <xdr:spPr>
        <a:xfrm>
          <a:off x="714375" y="1438275"/>
          <a:ext cx="2078648" cy="347546"/>
        </a:xfrm>
        <a:prstGeom prst="rect">
          <a:avLst/>
        </a:prstGeom>
      </xdr:spPr>
    </xdr:pic>
    <xdr:clientData/>
  </xdr:twoCellAnchor>
  <xdr:twoCellAnchor editAs="oneCell">
    <xdr:from>
      <xdr:col>2</xdr:col>
      <xdr:colOff>0</xdr:colOff>
      <xdr:row>31</xdr:row>
      <xdr:rowOff>0</xdr:rowOff>
    </xdr:from>
    <xdr:to>
      <xdr:col>3</xdr:col>
      <xdr:colOff>340243</xdr:colOff>
      <xdr:row>34</xdr:row>
      <xdr:rowOff>185656</xdr:rowOff>
    </xdr:to>
    <xdr:pic macro="[0]!MENU_AYUDA">
      <xdr:nvPicPr>
        <xdr:cNvPr id="3" name="FTP"/>
        <xdr:cNvPicPr>
          <a:picLocks noChangeAspect="1"/>
        </xdr:cNvPicPr>
      </xdr:nvPicPr>
      <xdr:blipFill rotWithShape="1">
        <a:blip xmlns:r="http://schemas.openxmlformats.org/officeDocument/2006/relationships" r:embed="rId3"/>
        <a:srcRect l="8903" r="-34835" b="9685"/>
        <a:stretch/>
      </xdr:blipFill>
      <xdr:spPr>
        <a:xfrm>
          <a:off x="890827" y="4125216"/>
          <a:ext cx="723984" cy="528282"/>
        </a:xfrm>
        <a:prstGeom prst="rect">
          <a:avLst/>
        </a:prstGeom>
      </xdr:spPr>
    </xdr:pic>
    <xdr:clientData/>
  </xdr:twoCellAnchor>
  <xdr:twoCellAnchor editAs="absolute">
    <xdr:from>
      <xdr:col>18</xdr:col>
      <xdr:colOff>4121</xdr:colOff>
      <xdr:row>30</xdr:row>
      <xdr:rowOff>3376</xdr:rowOff>
    </xdr:from>
    <xdr:to>
      <xdr:col>22</xdr:col>
      <xdr:colOff>358134</xdr:colOff>
      <xdr:row>35</xdr:row>
      <xdr:rowOff>16569</xdr:rowOff>
    </xdr:to>
    <xdr:pic>
      <xdr:nvPicPr>
        <xdr:cNvPr id="30" name="UCA">
          <a:hlinkClick xmlns:r="http://schemas.openxmlformats.org/officeDocument/2006/relationships" r:id="rId4"/>
        </xdr:cNvPr>
        <xdr:cNvPicPr>
          <a:picLocks noChangeAspect="1"/>
        </xdr:cNvPicPr>
      </xdr:nvPicPr>
      <xdr:blipFill>
        <a:blip xmlns:r="http://schemas.openxmlformats.org/officeDocument/2006/relationships" r:embed="rId5" cstate="print">
          <a:extLst>
            <a:ext uri="{28A0092B-C50C-407E-A947-70E740481C1C}">
              <a14:useLocalDpi xmlns:a14="http://schemas.microsoft.com/office/drawing/2010/main" val="0"/>
            </a:ext>
          </a:extLst>
        </a:blip>
        <a:stretch>
          <a:fillRect/>
        </a:stretch>
      </xdr:blipFill>
      <xdr:spPr>
        <a:xfrm>
          <a:off x="6992056" y="3944056"/>
          <a:ext cx="1882134" cy="750346"/>
        </a:xfrm>
        <a:prstGeom prst="rect">
          <a:avLst/>
        </a:prstGeom>
        <a:ln w="25400">
          <a:solidFill>
            <a:srgbClr val="E87B00"/>
          </a:solidFill>
        </a:ln>
      </xdr:spPr>
    </xdr:pic>
    <xdr:clientData/>
  </xdr:twoCellAnchor>
  <xdr:twoCellAnchor>
    <xdr:from>
      <xdr:col>0</xdr:col>
      <xdr:colOff>0</xdr:colOff>
      <xdr:row>0</xdr:row>
      <xdr:rowOff>0</xdr:rowOff>
    </xdr:from>
    <xdr:to>
      <xdr:col>1</xdr:col>
      <xdr:colOff>1713</xdr:colOff>
      <xdr:row>35</xdr:row>
      <xdr:rowOff>5147</xdr:rowOff>
    </xdr:to>
    <xdr:grpSp>
      <xdr:nvGrpSpPr>
        <xdr:cNvPr id="28" name="G Menu LATERAL"/>
        <xdr:cNvGrpSpPr/>
      </xdr:nvGrpSpPr>
      <xdr:grpSpPr>
        <a:xfrm>
          <a:off x="0" y="0"/>
          <a:ext cx="716088" cy="4631576"/>
          <a:chOff x="0" y="0"/>
          <a:chExt cx="714375" cy="4664859"/>
        </a:xfrm>
      </xdr:grpSpPr>
      <xdr:sp macro="[0]!Copia_CODIGOS_INFORMACION" textlink="">
        <xdr:nvSpPr>
          <xdr:cNvPr id="4" name="CODIGOS ESPECIALES"/>
          <xdr:cNvSpPr/>
        </xdr:nvSpPr>
        <xdr:spPr>
          <a:xfrm>
            <a:off x="0" y="0"/>
            <a:ext cx="712770" cy="346364"/>
          </a:xfrm>
          <a:prstGeom prst="rect">
            <a:avLst/>
          </a:prstGeom>
          <a:solidFill>
            <a:schemeClr val="bg1">
              <a:lumMod val="85000"/>
              <a:alpha val="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sp macro="[0]!Copia_Formula" textlink="">
        <xdr:nvSpPr>
          <xdr:cNvPr id="5" name="FORMULA"/>
          <xdr:cNvSpPr/>
        </xdr:nvSpPr>
        <xdr:spPr>
          <a:xfrm>
            <a:off x="0" y="445414"/>
            <a:ext cx="714375" cy="197017"/>
          </a:xfrm>
          <a:prstGeom prst="rect">
            <a:avLst/>
          </a:prstGeom>
          <a:solidFill>
            <a:schemeClr val="bg1">
              <a:lumMod val="85000"/>
              <a:alpha val="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sp macro="[0]!Copia_Superindice" textlink="">
        <xdr:nvSpPr>
          <xdr:cNvPr id="6" name="SUPERINDICE"/>
          <xdr:cNvSpPr/>
        </xdr:nvSpPr>
        <xdr:spPr>
          <a:xfrm>
            <a:off x="0" y="712662"/>
            <a:ext cx="714375" cy="197017"/>
          </a:xfrm>
          <a:prstGeom prst="rect">
            <a:avLst/>
          </a:prstGeom>
          <a:solidFill>
            <a:schemeClr val="bg1">
              <a:lumMod val="85000"/>
              <a:alpha val="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sp macro="[0]!Copia_Subindice" textlink="">
        <xdr:nvSpPr>
          <xdr:cNvPr id="7" name="SUBINDICE"/>
          <xdr:cNvSpPr/>
        </xdr:nvSpPr>
        <xdr:spPr>
          <a:xfrm>
            <a:off x="0" y="979910"/>
            <a:ext cx="714375" cy="197017"/>
          </a:xfrm>
          <a:prstGeom prst="rect">
            <a:avLst/>
          </a:prstGeom>
          <a:solidFill>
            <a:schemeClr val="bg1">
              <a:lumMod val="85000"/>
              <a:alpha val="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sp macro="[0]!Copia_Salto_Linea" textlink="">
        <xdr:nvSpPr>
          <xdr:cNvPr id="8" name="SALTO LINEA"/>
          <xdr:cNvSpPr/>
        </xdr:nvSpPr>
        <xdr:spPr>
          <a:xfrm>
            <a:off x="0" y="1247158"/>
            <a:ext cx="714375" cy="197017"/>
          </a:xfrm>
          <a:prstGeom prst="rect">
            <a:avLst/>
          </a:prstGeom>
          <a:solidFill>
            <a:schemeClr val="bg1">
              <a:lumMod val="85000"/>
              <a:alpha val="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sp macro="[0]!Copia_Concatenar" textlink="">
        <xdr:nvSpPr>
          <xdr:cNvPr id="9" name="CONCATENAR"/>
          <xdr:cNvSpPr/>
        </xdr:nvSpPr>
        <xdr:spPr>
          <a:xfrm>
            <a:off x="0" y="1514406"/>
            <a:ext cx="714375" cy="197017"/>
          </a:xfrm>
          <a:prstGeom prst="rect">
            <a:avLst/>
          </a:prstGeom>
          <a:solidFill>
            <a:schemeClr val="bg1">
              <a:lumMod val="85000"/>
              <a:alpha val="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sp macro="[0]!Copia_Negrita" textlink="">
        <xdr:nvSpPr>
          <xdr:cNvPr id="10" name="NEGRITA"/>
          <xdr:cNvSpPr/>
        </xdr:nvSpPr>
        <xdr:spPr>
          <a:xfrm>
            <a:off x="0" y="1781655"/>
            <a:ext cx="714375" cy="197017"/>
          </a:xfrm>
          <a:prstGeom prst="rect">
            <a:avLst/>
          </a:prstGeom>
          <a:solidFill>
            <a:schemeClr val="bg1">
              <a:lumMod val="85000"/>
              <a:alpha val="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sp macro="[0]!Copia_Espacios" textlink="">
        <xdr:nvSpPr>
          <xdr:cNvPr id="11" name="ESPACIOS"/>
          <xdr:cNvSpPr/>
        </xdr:nvSpPr>
        <xdr:spPr>
          <a:xfrm>
            <a:off x="0" y="2048903"/>
            <a:ext cx="714375" cy="197017"/>
          </a:xfrm>
          <a:prstGeom prst="rect">
            <a:avLst/>
          </a:prstGeom>
          <a:solidFill>
            <a:schemeClr val="bg1">
              <a:lumMod val="85000"/>
              <a:alpha val="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sp macro="[0]!Copia_Color_Texto_Rojo" textlink="">
        <xdr:nvSpPr>
          <xdr:cNvPr id="12" name="TEXTO ROJO"/>
          <xdr:cNvSpPr/>
        </xdr:nvSpPr>
        <xdr:spPr>
          <a:xfrm>
            <a:off x="0" y="2316151"/>
            <a:ext cx="714375" cy="197017"/>
          </a:xfrm>
          <a:prstGeom prst="rect">
            <a:avLst/>
          </a:prstGeom>
          <a:solidFill>
            <a:schemeClr val="bg1">
              <a:lumMod val="85000"/>
              <a:alpha val="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sp macro="[0]!Copia_Color_Texto_Azul" textlink="">
        <xdr:nvSpPr>
          <xdr:cNvPr id="13" name="TEXTO AZUL"/>
          <xdr:cNvSpPr/>
        </xdr:nvSpPr>
        <xdr:spPr>
          <a:xfrm>
            <a:off x="0" y="2590252"/>
            <a:ext cx="714375" cy="197017"/>
          </a:xfrm>
          <a:prstGeom prst="rect">
            <a:avLst/>
          </a:prstGeom>
          <a:solidFill>
            <a:schemeClr val="bg1">
              <a:lumMod val="85000"/>
              <a:alpha val="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sp macro="[0]!Copia_Color_Texto_Otro" textlink="">
        <xdr:nvSpPr>
          <xdr:cNvPr id="14" name="TEXTO OTRO"/>
          <xdr:cNvSpPr/>
        </xdr:nvSpPr>
        <xdr:spPr>
          <a:xfrm>
            <a:off x="0" y="2857500"/>
            <a:ext cx="714375" cy="197017"/>
          </a:xfrm>
          <a:prstGeom prst="rect">
            <a:avLst/>
          </a:prstGeom>
          <a:solidFill>
            <a:schemeClr val="bg1">
              <a:lumMod val="85000"/>
              <a:alpha val="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sp macro="[0]!Copia_Imagen" textlink="">
        <xdr:nvSpPr>
          <xdr:cNvPr id="15" name="ISERTAR IMAGENES"/>
          <xdr:cNvSpPr/>
        </xdr:nvSpPr>
        <xdr:spPr>
          <a:xfrm>
            <a:off x="0" y="3124748"/>
            <a:ext cx="714375" cy="425739"/>
          </a:xfrm>
          <a:prstGeom prst="rect">
            <a:avLst/>
          </a:prstGeom>
          <a:solidFill>
            <a:schemeClr val="bg1">
              <a:lumMod val="85000"/>
              <a:alpha val="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sp macro="[0]!Celdas_Formulas_INFORMACION" textlink="">
        <xdr:nvSpPr>
          <xdr:cNvPr id="16" name="USAR VARIABLES"/>
          <xdr:cNvSpPr/>
        </xdr:nvSpPr>
        <xdr:spPr>
          <a:xfrm>
            <a:off x="0" y="3659245"/>
            <a:ext cx="714375" cy="447387"/>
          </a:xfrm>
          <a:prstGeom prst="rect">
            <a:avLst/>
          </a:prstGeom>
          <a:solidFill>
            <a:schemeClr val="bg1">
              <a:lumMod val="85000"/>
              <a:alpha val="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sp macro="[0]!Celdas_Formulas_Activar" textlink="">
        <xdr:nvSpPr>
          <xdr:cNvPr id="17" name="ACTIVAR VARIABLES"/>
          <xdr:cNvSpPr/>
        </xdr:nvSpPr>
        <xdr:spPr>
          <a:xfrm>
            <a:off x="0" y="4200594"/>
            <a:ext cx="714375" cy="197017"/>
          </a:xfrm>
          <a:prstGeom prst="rect">
            <a:avLst/>
          </a:prstGeom>
          <a:solidFill>
            <a:schemeClr val="bg1">
              <a:lumMod val="85000"/>
              <a:alpha val="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sp macro="[0]!Celdas_Formulas_Desactivar" textlink="">
        <xdr:nvSpPr>
          <xdr:cNvPr id="18" name="DESACTIVAR VARIABLES"/>
          <xdr:cNvSpPr/>
        </xdr:nvSpPr>
        <xdr:spPr>
          <a:xfrm>
            <a:off x="0" y="4467842"/>
            <a:ext cx="714375" cy="197017"/>
          </a:xfrm>
          <a:prstGeom prst="rect">
            <a:avLst/>
          </a:prstGeom>
          <a:solidFill>
            <a:schemeClr val="bg1">
              <a:lumMod val="85000"/>
              <a:alpha val="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grpSp>
    <xdr:clientData/>
  </xdr:twoCellAnchor>
  <xdr:twoCellAnchor>
    <xdr:from>
      <xdr:col>26</xdr:col>
      <xdr:colOff>0</xdr:colOff>
      <xdr:row>1</xdr:row>
      <xdr:rowOff>0</xdr:rowOff>
    </xdr:from>
    <xdr:to>
      <xdr:col>27</xdr:col>
      <xdr:colOff>159</xdr:colOff>
      <xdr:row>3</xdr:row>
      <xdr:rowOff>1</xdr:rowOff>
    </xdr:to>
    <xdr:sp macro="[0]!Limpiar_Datos_Variables" textlink="">
      <xdr:nvSpPr>
        <xdr:cNvPr id="19" name="BORRAR VARIABLES" hidden="1"/>
        <xdr:cNvSpPr/>
      </xdr:nvSpPr>
      <xdr:spPr>
        <a:xfrm>
          <a:off x="9976556" y="28222"/>
          <a:ext cx="712770" cy="345723"/>
        </a:xfrm>
        <a:prstGeom prst="rect">
          <a:avLst/>
        </a:prstGeom>
        <a:solidFill>
          <a:schemeClr val="bg1">
            <a:lumMod val="85000"/>
            <a:alpha val="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clientData/>
  </xdr:twoCellAnchor>
  <xdr:twoCellAnchor>
    <xdr:from>
      <xdr:col>10</xdr:col>
      <xdr:colOff>383741</xdr:colOff>
      <xdr:row>1</xdr:row>
      <xdr:rowOff>0</xdr:rowOff>
    </xdr:from>
    <xdr:to>
      <xdr:col>22</xdr:col>
      <xdr:colOff>331770</xdr:colOff>
      <xdr:row>3</xdr:row>
      <xdr:rowOff>1</xdr:rowOff>
    </xdr:to>
    <xdr:grpSp>
      <xdr:nvGrpSpPr>
        <xdr:cNvPr id="26" name="G Menu SUPERIOR"/>
        <xdr:cNvGrpSpPr/>
      </xdr:nvGrpSpPr>
      <xdr:grpSpPr>
        <a:xfrm>
          <a:off x="4329812" y="27214"/>
          <a:ext cx="4520029" cy="340180"/>
          <a:chOff x="4344496" y="27410"/>
          <a:chExt cx="4552921" cy="342627"/>
        </a:xfrm>
      </xdr:grpSpPr>
      <xdr:sp macro="[0]!IR_DATOS_GENERALES" textlink="">
        <xdr:nvSpPr>
          <xdr:cNvPr id="20" name="DATOS GENERALES"/>
          <xdr:cNvSpPr/>
        </xdr:nvSpPr>
        <xdr:spPr>
          <a:xfrm>
            <a:off x="4344496" y="27410"/>
            <a:ext cx="715511" cy="342627"/>
          </a:xfrm>
          <a:prstGeom prst="rect">
            <a:avLst/>
          </a:prstGeom>
          <a:solidFill>
            <a:schemeClr val="bg1">
              <a:lumMod val="85000"/>
              <a:alpha val="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sp macro="[0]!IR_BANCO_PREGUNTAS" textlink="">
        <xdr:nvSpPr>
          <xdr:cNvPr id="21" name="BANCO PREGUNTAS"/>
          <xdr:cNvSpPr/>
        </xdr:nvSpPr>
        <xdr:spPr>
          <a:xfrm>
            <a:off x="5111978" y="27410"/>
            <a:ext cx="715511" cy="342627"/>
          </a:xfrm>
          <a:prstGeom prst="rect">
            <a:avLst/>
          </a:prstGeom>
          <a:solidFill>
            <a:schemeClr val="bg1">
              <a:lumMod val="85000"/>
              <a:alpha val="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sp macro="[0]!Limpiar_Datos_Formulario" textlink="">
        <xdr:nvSpPr>
          <xdr:cNvPr id="22" name="LIMPIAR DATOS"/>
          <xdr:cNvSpPr/>
        </xdr:nvSpPr>
        <xdr:spPr>
          <a:xfrm>
            <a:off x="5879460" y="27410"/>
            <a:ext cx="715511" cy="342627"/>
          </a:xfrm>
          <a:prstGeom prst="rect">
            <a:avLst/>
          </a:prstGeom>
          <a:solidFill>
            <a:schemeClr val="bg1">
              <a:lumMod val="85000"/>
              <a:alpha val="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sp macro="[0]!Guardar_Pregunta" textlink="">
        <xdr:nvSpPr>
          <xdr:cNvPr id="23" name="GUARDAR PREGUNTAS"/>
          <xdr:cNvSpPr/>
        </xdr:nvSpPr>
        <xdr:spPr>
          <a:xfrm>
            <a:off x="6646942" y="27410"/>
            <a:ext cx="715511" cy="342627"/>
          </a:xfrm>
          <a:prstGeom prst="rect">
            <a:avLst/>
          </a:prstGeom>
          <a:solidFill>
            <a:schemeClr val="bg1">
              <a:lumMod val="85000"/>
              <a:alpha val="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sp macro="[0]!Borrar_Pregunta" textlink="">
        <xdr:nvSpPr>
          <xdr:cNvPr id="24" name="BORRAR PREGUNTAS"/>
          <xdr:cNvSpPr/>
        </xdr:nvSpPr>
        <xdr:spPr>
          <a:xfrm>
            <a:off x="7414424" y="27410"/>
            <a:ext cx="715511" cy="342627"/>
          </a:xfrm>
          <a:prstGeom prst="rect">
            <a:avLst/>
          </a:prstGeom>
          <a:solidFill>
            <a:schemeClr val="bg1">
              <a:lumMod val="85000"/>
              <a:alpha val="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sp macro="[0]!Formato_FORMULARIO" textlink="">
        <xdr:nvSpPr>
          <xdr:cNvPr id="25" name="DAR FORMATO"/>
          <xdr:cNvSpPr/>
        </xdr:nvSpPr>
        <xdr:spPr>
          <a:xfrm>
            <a:off x="8181906" y="27410"/>
            <a:ext cx="715511" cy="342627"/>
          </a:xfrm>
          <a:prstGeom prst="rect">
            <a:avLst/>
          </a:prstGeom>
          <a:solidFill>
            <a:schemeClr val="bg1">
              <a:lumMod val="85000"/>
              <a:alpha val="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grpSp>
    <xdr:clientData/>
  </xdr:twoCellAnchor>
  <xdr:oneCellAnchor>
    <xdr:from>
      <xdr:col>13</xdr:col>
      <xdr:colOff>0</xdr:colOff>
      <xdr:row>4</xdr:row>
      <xdr:rowOff>0</xdr:rowOff>
    </xdr:from>
    <xdr:ext cx="1520162" cy="170703"/>
    <xdr:pic macro="[0]!Almacenar_Formulas">
      <xdr:nvPicPr>
        <xdr:cNvPr id="46" name="ALMACENAR FORMULAS"/>
        <xdr:cNvPicPr>
          <a:picLocks noChangeAspect="1"/>
        </xdr:cNvPicPr>
      </xdr:nvPicPr>
      <xdr:blipFill>
        <a:blip xmlns:r="http://schemas.openxmlformats.org/officeDocument/2006/relationships" r:embed="rId6"/>
        <a:stretch>
          <a:fillRect/>
        </a:stretch>
      </xdr:blipFill>
      <xdr:spPr>
        <a:xfrm>
          <a:off x="5086350" y="447675"/>
          <a:ext cx="1520162" cy="170703"/>
        </a:xfrm>
        <a:prstGeom prst="rect">
          <a:avLst/>
        </a:prstGeom>
      </xdr:spPr>
    </xdr:pic>
    <xdr:clientData/>
  </xdr:oneCellAnchor>
  <xdr:twoCellAnchor>
    <xdr:from>
      <xdr:col>1</xdr:col>
      <xdr:colOff>183444</xdr:colOff>
      <xdr:row>16</xdr:row>
      <xdr:rowOff>0</xdr:rowOff>
    </xdr:from>
    <xdr:to>
      <xdr:col>6</xdr:col>
      <xdr:colOff>324554</xdr:colOff>
      <xdr:row>17</xdr:row>
      <xdr:rowOff>5147</xdr:rowOff>
    </xdr:to>
    <xdr:sp macro="[0]!Codigos_CLOZE" textlink="">
      <xdr:nvSpPr>
        <xdr:cNvPr id="40" name="INFO CLOZE"/>
        <xdr:cNvSpPr/>
      </xdr:nvSpPr>
      <xdr:spPr>
        <a:xfrm>
          <a:off x="896055" y="2060222"/>
          <a:ext cx="1848555" cy="195647"/>
        </a:xfrm>
        <a:prstGeom prst="rect">
          <a:avLst/>
        </a:prstGeom>
        <a:solidFill>
          <a:schemeClr val="bg1">
            <a:lumMod val="85000"/>
            <a:alpha val="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clientData/>
  </xdr:twoCellAnchor>
  <xdr:twoCellAnchor>
    <xdr:from>
      <xdr:col>4</xdr:col>
      <xdr:colOff>0</xdr:colOff>
      <xdr:row>18</xdr:row>
      <xdr:rowOff>0</xdr:rowOff>
    </xdr:from>
    <xdr:to>
      <xdr:col>5</xdr:col>
      <xdr:colOff>366887</xdr:colOff>
      <xdr:row>20</xdr:row>
      <xdr:rowOff>162278</xdr:rowOff>
    </xdr:to>
    <xdr:sp macro="[0]!Copia_Cod_OM" textlink="">
      <xdr:nvSpPr>
        <xdr:cNvPr id="39" name="INFO OP"/>
        <xdr:cNvSpPr/>
      </xdr:nvSpPr>
      <xdr:spPr>
        <a:xfrm>
          <a:off x="1658056" y="2328333"/>
          <a:ext cx="747887" cy="437445"/>
        </a:xfrm>
        <a:prstGeom prst="rect">
          <a:avLst/>
        </a:prstGeom>
        <a:solidFill>
          <a:schemeClr val="bg1">
            <a:lumMod val="85000"/>
            <a:alpha val="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clientData/>
  </xdr:twoCellAnchor>
  <xdr:twoCellAnchor>
    <xdr:from>
      <xdr:col>4</xdr:col>
      <xdr:colOff>0</xdr:colOff>
      <xdr:row>22</xdr:row>
      <xdr:rowOff>0</xdr:rowOff>
    </xdr:from>
    <xdr:to>
      <xdr:col>5</xdr:col>
      <xdr:colOff>366887</xdr:colOff>
      <xdr:row>24</xdr:row>
      <xdr:rowOff>169334</xdr:rowOff>
    </xdr:to>
    <xdr:sp macro="[0]!Copia_Cod_RC" textlink="">
      <xdr:nvSpPr>
        <xdr:cNvPr id="41" name="INFO RC"/>
        <xdr:cNvSpPr/>
      </xdr:nvSpPr>
      <xdr:spPr>
        <a:xfrm>
          <a:off x="1658056" y="2871611"/>
          <a:ext cx="747887" cy="437445"/>
        </a:xfrm>
        <a:prstGeom prst="rect">
          <a:avLst/>
        </a:prstGeom>
        <a:solidFill>
          <a:schemeClr val="bg1">
            <a:lumMod val="85000"/>
            <a:alpha val="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clientData/>
  </xdr:twoCellAnchor>
  <xdr:twoCellAnchor>
    <xdr:from>
      <xdr:col>4</xdr:col>
      <xdr:colOff>0</xdr:colOff>
      <xdr:row>26</xdr:row>
      <xdr:rowOff>0</xdr:rowOff>
    </xdr:from>
    <xdr:to>
      <xdr:col>5</xdr:col>
      <xdr:colOff>366887</xdr:colOff>
      <xdr:row>28</xdr:row>
      <xdr:rowOff>169334</xdr:rowOff>
    </xdr:to>
    <xdr:sp macro="[0]!Copia_Cod_NUM" textlink="">
      <xdr:nvSpPr>
        <xdr:cNvPr id="42" name="INFO NUM"/>
        <xdr:cNvSpPr/>
      </xdr:nvSpPr>
      <xdr:spPr>
        <a:xfrm>
          <a:off x="1658056" y="3407833"/>
          <a:ext cx="747887" cy="437445"/>
        </a:xfrm>
        <a:prstGeom prst="rect">
          <a:avLst/>
        </a:prstGeom>
        <a:solidFill>
          <a:schemeClr val="bg1">
            <a:lumMod val="85000"/>
            <a:alpha val="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clientData/>
  </xdr:twoCellAnchor>
  <xdr:twoCellAnchor>
    <xdr:from>
      <xdr:col>11</xdr:col>
      <xdr:colOff>0</xdr:colOff>
      <xdr:row>4</xdr:row>
      <xdr:rowOff>0</xdr:rowOff>
    </xdr:from>
    <xdr:to>
      <xdr:col>12</xdr:col>
      <xdr:colOff>323850</xdr:colOff>
      <xdr:row>5</xdr:row>
      <xdr:rowOff>19050</xdr:rowOff>
    </xdr:to>
    <xdr:grpSp>
      <xdr:nvGrpSpPr>
        <xdr:cNvPr id="38" name="G Pregunta"/>
        <xdr:cNvGrpSpPr/>
      </xdr:nvGrpSpPr>
      <xdr:grpSpPr>
        <a:xfrm>
          <a:off x="4327071" y="442232"/>
          <a:ext cx="704850" cy="209550"/>
          <a:chOff x="4330212" y="446882"/>
          <a:chExt cx="704794" cy="209549"/>
        </a:xfrm>
      </xdr:grpSpPr>
      <xdr:sp macro="[0]!Elegir_Pregunta" textlink="">
        <xdr:nvSpPr>
          <xdr:cNvPr id="43" name="Pregunta"/>
          <xdr:cNvSpPr/>
        </xdr:nvSpPr>
        <xdr:spPr>
          <a:xfrm>
            <a:off x="4330212" y="446942"/>
            <a:ext cx="346364" cy="180398"/>
          </a:xfrm>
          <a:prstGeom prst="rect">
            <a:avLst/>
          </a:prstGeom>
          <a:solidFill>
            <a:schemeClr val="bg1">
              <a:lumMod val="85000"/>
              <a:alpha val="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mc:AlternateContent xmlns:mc="http://schemas.openxmlformats.org/markup-compatibility/2006">
        <mc:Choice xmlns:a14="http://schemas.microsoft.com/office/drawing/2010/main" Requires="a14">
          <xdr:sp macro="" textlink="">
            <xdr:nvSpPr>
              <xdr:cNvPr id="65542" name="Contador 1" descr="Para consultar los datos de cada pregunta." hidden="1">
                <a:extLst>
                  <a:ext uri="{63B3BB69-23CF-44E3-9099-C40C66FF867C}">
                    <a14:compatExt spid="_x0000_s65542"/>
                  </a:ext>
                </a:extLst>
              </xdr:cNvPr>
              <xdr:cNvSpPr/>
            </xdr:nvSpPr>
            <xdr:spPr bwMode="auto">
              <a:xfrm>
                <a:off x="4711212" y="446882"/>
                <a:ext cx="85725" cy="209549"/>
              </a:xfrm>
              <a:prstGeom prst="rect">
                <a:avLst/>
              </a:prstGeom>
              <a:noFill/>
              <a:ln w="9525">
                <a:miter lim="800000"/>
                <a:headEnd/>
                <a:tailEnd/>
              </a:ln>
            </xdr:spPr>
          </xdr:sp>
        </mc:Choice>
        <mc:Fallback/>
      </mc:AlternateContent>
      <mc:AlternateContent xmlns:mc="http://schemas.openxmlformats.org/markup-compatibility/2006">
        <mc:Choice xmlns:a14="http://schemas.microsoft.com/office/drawing/2010/main" Requires="a14">
          <xdr:sp macro="" textlink="">
            <xdr:nvSpPr>
              <xdr:cNvPr id="65543" name="Box PREGUNTAS" hidden="1">
                <a:extLst>
                  <a:ext uri="{63B3BB69-23CF-44E3-9099-C40C66FF867C}">
                    <a14:compatExt spid="_x0000_s65543"/>
                  </a:ext>
                </a:extLst>
              </xdr:cNvPr>
              <xdr:cNvSpPr/>
            </xdr:nvSpPr>
            <xdr:spPr bwMode="auto">
              <a:xfrm>
                <a:off x="4796887" y="456467"/>
                <a:ext cx="238119" cy="19050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mc:Choice>
        <mc:Fallback/>
      </mc:AlternateContent>
    </xdr:grpSp>
    <xdr:clientData/>
  </xdr:twoCellAnchor>
  <xdr:twoCellAnchor>
    <xdr:from>
      <xdr:col>7</xdr:col>
      <xdr:colOff>0</xdr:colOff>
      <xdr:row>3</xdr:row>
      <xdr:rowOff>66675</xdr:rowOff>
    </xdr:from>
    <xdr:to>
      <xdr:col>8</xdr:col>
      <xdr:colOff>114300</xdr:colOff>
      <xdr:row>5</xdr:row>
      <xdr:rowOff>9525</xdr:rowOff>
    </xdr:to>
    <xdr:grpSp>
      <xdr:nvGrpSpPr>
        <xdr:cNvPr id="27" name="G Pregunta Inicial"/>
        <xdr:cNvGrpSpPr/>
      </xdr:nvGrpSpPr>
      <xdr:grpSpPr>
        <a:xfrm>
          <a:off x="2803071" y="434068"/>
          <a:ext cx="495300" cy="208189"/>
          <a:chOff x="2806212" y="440348"/>
          <a:chExt cx="495242" cy="206619"/>
        </a:xfrm>
      </xdr:grpSpPr>
      <xdr:sp macro="" textlink="">
        <xdr:nvSpPr>
          <xdr:cNvPr id="44" name="NADA"/>
          <xdr:cNvSpPr/>
        </xdr:nvSpPr>
        <xdr:spPr>
          <a:xfrm>
            <a:off x="2806212" y="446942"/>
            <a:ext cx="346364" cy="180398"/>
          </a:xfrm>
          <a:prstGeom prst="rect">
            <a:avLst/>
          </a:prstGeom>
          <a:solidFill>
            <a:schemeClr val="bg1">
              <a:lumMod val="85000"/>
              <a:alpha val="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mc:AlternateContent xmlns:mc="http://schemas.openxmlformats.org/markup-compatibility/2006">
        <mc:Choice xmlns:a14="http://schemas.microsoft.com/office/drawing/2010/main" Requires="a14">
          <xdr:sp macro="" textlink="">
            <xdr:nvSpPr>
              <xdr:cNvPr id="65537" name="Contador 10" descr="Para consultar los datos de cada pregunta." hidden="1">
                <a:extLst>
                  <a:ext uri="{63B3BB69-23CF-44E3-9099-C40C66FF867C}">
                    <a14:compatExt spid="_x0000_s65537"/>
                  </a:ext>
                </a:extLst>
              </xdr:cNvPr>
              <xdr:cNvSpPr/>
            </xdr:nvSpPr>
            <xdr:spPr bwMode="auto">
              <a:xfrm>
                <a:off x="3130062" y="440348"/>
                <a:ext cx="85725" cy="206619"/>
              </a:xfrm>
              <a:prstGeom prst="rect">
                <a:avLst/>
              </a:prstGeom>
              <a:noFill/>
              <a:ln w="9525">
                <a:miter lim="800000"/>
                <a:headEnd/>
                <a:tailEnd/>
              </a:ln>
            </xdr:spPr>
          </xdr:sp>
        </mc:Choice>
        <mc:Fallback/>
      </mc:AlternateContent>
      <mc:AlternateContent xmlns:mc="http://schemas.openxmlformats.org/markup-compatibility/2006">
        <mc:Choice xmlns:a14="http://schemas.microsoft.com/office/drawing/2010/main" Requires="a14">
          <xdr:sp macro="" textlink="">
            <xdr:nvSpPr>
              <xdr:cNvPr id="65538" name="Contador 100" descr="Para consultar los datos de cada pregunta." hidden="1">
                <a:extLst>
                  <a:ext uri="{63B3BB69-23CF-44E3-9099-C40C66FF867C}">
                    <a14:compatExt spid="_x0000_s65538"/>
                  </a:ext>
                </a:extLst>
              </xdr:cNvPr>
              <xdr:cNvSpPr/>
            </xdr:nvSpPr>
            <xdr:spPr bwMode="auto">
              <a:xfrm>
                <a:off x="3215731" y="440348"/>
                <a:ext cx="85723" cy="206619"/>
              </a:xfrm>
              <a:prstGeom prst="rect">
                <a:avLst/>
              </a:prstGeom>
              <a:noFill/>
              <a:ln w="9525">
                <a:miter lim="800000"/>
                <a:headEnd/>
                <a:tailEnd/>
              </a:ln>
            </xdr:spPr>
          </xdr:sp>
        </mc:Choice>
        <mc:Fallback/>
      </mc:AlternateContent>
    </xdr:grpSp>
    <xdr:clientData/>
  </xdr:twoCellAnchor>
  <xdr:twoCellAnchor editAs="oneCell">
    <xdr:from>
      <xdr:col>1</xdr:col>
      <xdr:colOff>153866</xdr:colOff>
      <xdr:row>7</xdr:row>
      <xdr:rowOff>29308</xdr:rowOff>
    </xdr:from>
    <xdr:to>
      <xdr:col>2</xdr:col>
      <xdr:colOff>264276</xdr:colOff>
      <xdr:row>9</xdr:row>
      <xdr:rowOff>24454</xdr:rowOff>
    </xdr:to>
    <xdr:pic macro="[0]!IR_INICIO">
      <xdr:nvPicPr>
        <xdr:cNvPr id="45" name="Casa_F_Gris"/>
        <xdr:cNvPicPr>
          <a:picLocks noChangeAspect="1"/>
        </xdr:cNvPicPr>
      </xdr:nvPicPr>
      <xdr:blipFill>
        <a:blip xmlns:r="http://schemas.openxmlformats.org/officeDocument/2006/relationships" r:embed="rId7"/>
        <a:stretch>
          <a:fillRect/>
        </a:stretch>
      </xdr:blipFill>
      <xdr:spPr>
        <a:xfrm>
          <a:off x="868241" y="934183"/>
          <a:ext cx="291385" cy="261846"/>
        </a:xfrm>
        <a:prstGeom prst="rect">
          <a:avLst/>
        </a:prstGeom>
      </xdr:spPr>
    </xdr:pic>
    <xdr:clientData/>
  </xdr:twoCellAnchor>
</xdr:wsDr>
</file>

<file path=xl/drawings/drawing19.xml><?xml version="1.0" encoding="utf-8"?>
<xdr:wsDr xmlns:xdr="http://schemas.openxmlformats.org/drawingml/2006/spreadsheetDrawing" xmlns:a="http://schemas.openxmlformats.org/drawingml/2006/main">
  <xdr:twoCellAnchor>
    <xdr:from>
      <xdr:col>0</xdr:col>
      <xdr:colOff>0</xdr:colOff>
      <xdr:row>0</xdr:row>
      <xdr:rowOff>0</xdr:rowOff>
    </xdr:from>
    <xdr:to>
      <xdr:col>0</xdr:col>
      <xdr:colOff>630621</xdr:colOff>
      <xdr:row>0</xdr:row>
      <xdr:rowOff>243336</xdr:rowOff>
    </xdr:to>
    <xdr:pic>
      <xdr:nvPicPr>
        <xdr:cNvPr id="8" name="UCA">
          <a:hlinkClick xmlns:r="http://schemas.openxmlformats.org/officeDocument/2006/relationships" r:id="rId1"/>
        </xdr:cNvPr>
        <xdr:cNvPicPr>
          <a:picLocks noChangeAspect="1"/>
        </xdr:cNvPicPr>
      </xdr:nvPicPr>
      <xdr:blipFill>
        <a:blip xmlns:r="http://schemas.openxmlformats.org/officeDocument/2006/relationships" r:embed="rId2" cstate="print">
          <a:extLst>
            <a:ext uri="{28A0092B-C50C-407E-A947-70E740481C1C}">
              <a14:useLocalDpi xmlns:a14="http://schemas.microsoft.com/office/drawing/2010/main" val="0"/>
            </a:ext>
          </a:extLst>
        </a:blip>
        <a:stretch>
          <a:fillRect/>
        </a:stretch>
      </xdr:blipFill>
      <xdr:spPr>
        <a:xfrm>
          <a:off x="0" y="0"/>
          <a:ext cx="630621" cy="243336"/>
        </a:xfrm>
        <a:prstGeom prst="rect">
          <a:avLst/>
        </a:prstGeom>
        <a:ln w="12700">
          <a:solidFill>
            <a:srgbClr val="E87B00"/>
          </a:solidFill>
        </a:ln>
      </xdr:spPr>
    </xdr:pic>
    <xdr:clientData/>
  </xdr:twoCellAnchor>
  <xdr:twoCellAnchor>
    <xdr:from>
      <xdr:col>6</xdr:col>
      <xdr:colOff>0</xdr:colOff>
      <xdr:row>0</xdr:row>
      <xdr:rowOff>0</xdr:rowOff>
    </xdr:from>
    <xdr:to>
      <xdr:col>6</xdr:col>
      <xdr:colOff>2974468</xdr:colOff>
      <xdr:row>1</xdr:row>
      <xdr:rowOff>65381</xdr:rowOff>
    </xdr:to>
    <xdr:grpSp>
      <xdr:nvGrpSpPr>
        <xdr:cNvPr id="23" name="G FTP_MOODLE"/>
        <xdr:cNvGrpSpPr/>
      </xdr:nvGrpSpPr>
      <xdr:grpSpPr>
        <a:xfrm>
          <a:off x="1319893" y="0"/>
          <a:ext cx="2974468" cy="568845"/>
          <a:chOff x="2844102" y="0"/>
          <a:chExt cx="2974468" cy="572030"/>
        </a:xfrm>
      </xdr:grpSpPr>
      <xdr:pic>
        <xdr:nvPicPr>
          <xdr:cNvPr id="24" name="FTP-MOODLE"/>
          <xdr:cNvPicPr>
            <a:picLocks noChangeAspect="1"/>
          </xdr:cNvPicPr>
        </xdr:nvPicPr>
        <xdr:blipFill rotWithShape="1">
          <a:blip xmlns:r="http://schemas.openxmlformats.org/officeDocument/2006/relationships" r:embed="rId3"/>
          <a:srcRect l="62747"/>
          <a:stretch/>
        </xdr:blipFill>
        <xdr:spPr>
          <a:xfrm>
            <a:off x="4838037" y="0"/>
            <a:ext cx="980533" cy="572030"/>
          </a:xfrm>
          <a:prstGeom prst="rect">
            <a:avLst/>
          </a:prstGeom>
        </xdr:spPr>
      </xdr:pic>
      <xdr:cxnSp macro="">
        <xdr:nvCxnSpPr>
          <xdr:cNvPr id="25" name="LINEA H"/>
          <xdr:cNvCxnSpPr/>
        </xdr:nvCxnSpPr>
        <xdr:spPr>
          <a:xfrm>
            <a:off x="2844102" y="261934"/>
            <a:ext cx="1836000"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xnSp macro="">
        <xdr:nvCxnSpPr>
          <xdr:cNvPr id="26" name="LINEA V"/>
          <xdr:cNvCxnSpPr/>
        </xdr:nvCxnSpPr>
        <xdr:spPr>
          <a:xfrm>
            <a:off x="4674733" y="1"/>
            <a:ext cx="0" cy="522170"/>
          </a:xfrm>
          <a:prstGeom prst="line">
            <a:avLst/>
          </a:prstGeom>
          <a:ln w="19050">
            <a:solidFill>
              <a:schemeClr val="bg1"/>
            </a:solidFill>
          </a:ln>
        </xdr:spPr>
        <xdr:style>
          <a:lnRef idx="1">
            <a:schemeClr val="accent1"/>
          </a:lnRef>
          <a:fillRef idx="0">
            <a:schemeClr val="accent1"/>
          </a:fillRef>
          <a:effectRef idx="0">
            <a:schemeClr val="accent1"/>
          </a:effectRef>
          <a:fontRef idx="minor">
            <a:schemeClr val="tx1"/>
          </a:fontRef>
        </xdr:style>
      </xdr:cxnSp>
    </xdr:grpSp>
    <xdr:clientData/>
  </xdr:twoCellAnchor>
  <xdr:twoCellAnchor>
    <xdr:from>
      <xdr:col>1</xdr:col>
      <xdr:colOff>0</xdr:colOff>
      <xdr:row>0</xdr:row>
      <xdr:rowOff>0</xdr:rowOff>
    </xdr:from>
    <xdr:to>
      <xdr:col>6</xdr:col>
      <xdr:colOff>142789</xdr:colOff>
      <xdr:row>0</xdr:row>
      <xdr:rowOff>496777</xdr:rowOff>
    </xdr:to>
    <xdr:grpSp>
      <xdr:nvGrpSpPr>
        <xdr:cNvPr id="10" name="Ir a"/>
        <xdr:cNvGrpSpPr/>
      </xdr:nvGrpSpPr>
      <xdr:grpSpPr>
        <a:xfrm>
          <a:off x="659946" y="0"/>
          <a:ext cx="802736" cy="496777"/>
          <a:chOff x="2090986" y="0"/>
          <a:chExt cx="802736" cy="496777"/>
        </a:xfrm>
      </xdr:grpSpPr>
      <xdr:cxnSp macro="">
        <xdr:nvCxnSpPr>
          <xdr:cNvPr id="17" name="LINEA"/>
          <xdr:cNvCxnSpPr/>
        </xdr:nvCxnSpPr>
        <xdr:spPr>
          <a:xfrm>
            <a:off x="2090986" y="319012"/>
            <a:ext cx="668774"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sp macro="[0]!IR_DATOS_GENERALES" textlink="">
        <xdr:nvSpPr>
          <xdr:cNvPr id="18" name="DATOS GENERALES"/>
          <xdr:cNvSpPr/>
        </xdr:nvSpPr>
        <xdr:spPr>
          <a:xfrm>
            <a:off x="2169091" y="0"/>
            <a:ext cx="724631" cy="321666"/>
          </a:xfrm>
          <a:prstGeom prst="rect">
            <a:avLst/>
          </a:prstGeom>
          <a:solidFill>
            <a:schemeClr val="bg1">
              <a:lumMod val="85000"/>
              <a:alpha val="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sp macro="[0]!IR_FORMULARIO" textlink="">
        <xdr:nvSpPr>
          <xdr:cNvPr id="19" name="FORMULARIO"/>
          <xdr:cNvSpPr/>
        </xdr:nvSpPr>
        <xdr:spPr>
          <a:xfrm>
            <a:off x="2175854" y="355886"/>
            <a:ext cx="716703" cy="140891"/>
          </a:xfrm>
          <a:prstGeom prst="rect">
            <a:avLst/>
          </a:prstGeom>
          <a:solidFill>
            <a:schemeClr val="bg1">
              <a:lumMod val="85000"/>
              <a:alpha val="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grpSp>
    <xdr:clientData/>
  </xdr:twoCellAnchor>
  <xdr:twoCellAnchor>
    <xdr:from>
      <xdr:col>6</xdr:col>
      <xdr:colOff>0</xdr:colOff>
      <xdr:row>0</xdr:row>
      <xdr:rowOff>0</xdr:rowOff>
    </xdr:from>
    <xdr:to>
      <xdr:col>6</xdr:col>
      <xdr:colOff>1930621</xdr:colOff>
      <xdr:row>0</xdr:row>
      <xdr:rowOff>472644</xdr:rowOff>
    </xdr:to>
    <xdr:grpSp>
      <xdr:nvGrpSpPr>
        <xdr:cNvPr id="20" name="PREGUNTA"/>
        <xdr:cNvGrpSpPr/>
      </xdr:nvGrpSpPr>
      <xdr:grpSpPr>
        <a:xfrm>
          <a:off x="1319893" y="0"/>
          <a:ext cx="1930621" cy="472644"/>
          <a:chOff x="2837089" y="19938"/>
          <a:chExt cx="1930621" cy="472644"/>
        </a:xfrm>
      </xdr:grpSpPr>
      <xdr:sp macro="[0]!INSERTAR_PREGUNTA" textlink="">
        <xdr:nvSpPr>
          <xdr:cNvPr id="21" name="INSERTAR"/>
          <xdr:cNvSpPr/>
        </xdr:nvSpPr>
        <xdr:spPr>
          <a:xfrm>
            <a:off x="2837089" y="19938"/>
            <a:ext cx="1914292" cy="204580"/>
          </a:xfrm>
          <a:prstGeom prst="rect">
            <a:avLst/>
          </a:prstGeom>
          <a:solidFill>
            <a:schemeClr val="bg1">
              <a:lumMod val="85000"/>
              <a:alpha val="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sp macro="[0]!BORRAR_PREGUNTA_DATOS" textlink="">
        <xdr:nvSpPr>
          <xdr:cNvPr id="22" name="BORRAR"/>
          <xdr:cNvSpPr/>
        </xdr:nvSpPr>
        <xdr:spPr>
          <a:xfrm>
            <a:off x="2853418" y="288002"/>
            <a:ext cx="1914292" cy="204580"/>
          </a:xfrm>
          <a:prstGeom prst="rect">
            <a:avLst/>
          </a:prstGeom>
          <a:solidFill>
            <a:schemeClr val="bg1">
              <a:lumMod val="85000"/>
              <a:alpha val="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grpSp>
    <xdr:clientData/>
  </xdr:twoCellAnchor>
  <xdr:twoCellAnchor editAs="oneCell">
    <xdr:from>
      <xdr:col>6</xdr:col>
      <xdr:colOff>7334249</xdr:colOff>
      <xdr:row>1</xdr:row>
      <xdr:rowOff>27215</xdr:rowOff>
    </xdr:from>
    <xdr:to>
      <xdr:col>6</xdr:col>
      <xdr:colOff>7629321</xdr:colOff>
      <xdr:row>1</xdr:row>
      <xdr:rowOff>280831</xdr:rowOff>
    </xdr:to>
    <xdr:pic macro="[0]!IR_INICIO">
      <xdr:nvPicPr>
        <xdr:cNvPr id="14" name="Casa_F_Naranja"/>
        <xdr:cNvPicPr>
          <a:picLocks noChangeAspect="1"/>
        </xdr:cNvPicPr>
      </xdr:nvPicPr>
      <xdr:blipFill>
        <a:blip xmlns:r="http://schemas.openxmlformats.org/officeDocument/2006/relationships" r:embed="rId4"/>
        <a:stretch>
          <a:fillRect/>
        </a:stretch>
      </xdr:blipFill>
      <xdr:spPr>
        <a:xfrm>
          <a:off x="8654142" y="530679"/>
          <a:ext cx="295072" cy="253616"/>
        </a:xfrm>
        <a:prstGeom prst="rect">
          <a:avLst/>
        </a:prstGeom>
      </xdr:spPr>
    </xdr:pic>
    <xdr:clientData/>
  </xdr:twoCellAnchor>
</xdr:wsDr>
</file>

<file path=xl/tables/table1.xml><?xml version="1.0" encoding="utf-8"?>
<table xmlns="http://schemas.openxmlformats.org/spreadsheetml/2006/main" id="13" name="Tabla13" displayName="Tabla13" ref="A38:B45" totalsRowShown="0" headerRowDxfId="673" dataDxfId="672" tableBorderDxfId="671">
  <autoFilter ref="A38:B45">
    <filterColumn colId="0" hiddenButton="1"/>
    <filterColumn colId="1" hiddenButton="1"/>
  </autoFilter>
  <tableColumns count="2">
    <tableColumn id="1" name="NOMBRE" dataDxfId="670"/>
    <tableColumn id="2" name="SIGLA" dataDxfId="669"/>
  </tableColumns>
  <tableStyleInfo name="Estilo de tabla 2" showFirstColumn="0" showLastColumn="0" showRowStripes="1" showColumnStripes="0"/>
</table>
</file>

<file path=xl/tables/table2.xml><?xml version="1.0" encoding="utf-8"?>
<table xmlns="http://schemas.openxmlformats.org/spreadsheetml/2006/main" id="2" name="Tabla_OM" displayName="Tabla_OM" ref="A5:AJ6" totalsRowShown="0">
  <autoFilter ref="A5:AJ6">
    <filterColumn colId="0" hiddenButton="1"/>
    <filterColumn colId="1" hiddenButton="1"/>
    <filterColumn colId="2" hiddenButton="1"/>
    <filterColumn colId="3" hiddenButton="1"/>
    <filterColumn colId="4" hiddenButton="1"/>
    <filterColumn colId="5" hiddenButton="1"/>
    <filterColumn colId="6" hiddenButton="1"/>
    <filterColumn colId="7" hiddenButton="1"/>
    <filterColumn colId="8" hiddenButton="1"/>
    <filterColumn colId="9" hiddenButton="1"/>
    <filterColumn colId="10" hiddenButton="1"/>
    <filterColumn colId="11" hiddenButton="1"/>
    <filterColumn colId="12" hiddenButton="1"/>
    <filterColumn colId="13" hiddenButton="1"/>
    <filterColumn colId="14" hiddenButton="1"/>
    <filterColumn colId="15" hiddenButton="1"/>
    <filterColumn colId="16" hiddenButton="1"/>
    <filterColumn colId="17" hiddenButton="1"/>
    <filterColumn colId="18" hiddenButton="1"/>
    <filterColumn colId="19" hiddenButton="1"/>
    <filterColumn colId="20" hiddenButton="1"/>
    <filterColumn colId="21" hiddenButton="1"/>
    <filterColumn colId="22" hiddenButton="1"/>
    <filterColumn colId="23" hiddenButton="1"/>
    <filterColumn colId="24" hiddenButton="1"/>
    <filterColumn colId="25" hiddenButton="1"/>
    <filterColumn colId="26" hiddenButton="1"/>
    <filterColumn colId="27" hiddenButton="1"/>
    <filterColumn colId="28" hiddenButton="1"/>
    <filterColumn colId="29" hiddenButton="1"/>
    <filterColumn colId="30" hiddenButton="1"/>
    <filterColumn colId="31" hiddenButton="1"/>
    <filterColumn colId="32" hiddenButton="1"/>
    <filterColumn colId="33" hiddenButton="1"/>
    <filterColumn colId="34" hiddenButton="1"/>
    <filterColumn colId="35" hiddenButton="1"/>
  </autoFilter>
  <tableColumns count="36">
    <tableColumn id="1" name="Nombre" dataDxfId="603">
      <calculatedColumnFormula>IFERROR(IF(Tabla_OM[[#This Row],[Enunciado]]="","",PREF_PREGUNTA&amp;IF(PREF_PREGUNTA="",""," - ")&amp;
IF(n_preg_ON_OM=TRUE,IF((N_I_OM+ROW()-N_I_Tabla)&gt;99,
IF((N_I_OM+ROW()-N_I_Tabla)&lt;100,"0",""),"")&amp;
IF((N_I_OM+ROW()-N_I_Tabla)&lt;10,"0","")&amp;(N_I_OM+ROW()-N_I_Tabla),""))&amp;
IF(Tabla_OM[[#This Row],[Descripcion]]&lt;&gt;""," "&amp;Tabla_OM[[#This Row],[Descripcion]],""),"")</calculatedColumnFormula>
    </tableColumn>
    <tableColumn id="2" name="NRC" dataDxfId="602">
      <calculatedColumnFormula>IF(COUNTIF(Tabla_OM[[#This Row],[Puntos 1]:[Puntos 6]],"&gt;0")=0,"",COUNTIF(Tabla_OM[[#This Row],[Puntos 1]:[Puntos 6]],"&gt;0"))</calculatedColumnFormula>
    </tableColumn>
    <tableColumn id="3" name="NRI" dataDxfId="601">
      <calculatedColumnFormula>IFERROR(MAX(COUNTA(Tabla_OM[[#This Row],[Respuesta 1]:[Respuesta 6]])-Tabla_OM[[#This Row],[NRC]],0),"")</calculatedColumnFormula>
    </tableColumn>
    <tableColumn id="4" name="PRC" dataDxfId="600">
      <calculatedColumnFormula>IF(SUMIF(Tabla_OM[[#This Row],[Puntos 1]:[Puntos 6]],"&gt;0")=0,"",SUMIF(Tabla_OM[[#This Row],[Puntos 1]:[Puntos 6]],"&gt;0"))</calculatedColumnFormula>
    </tableColumn>
    <tableColumn id="5" name="PRI" dataDxfId="599">
      <calculatedColumnFormula>IF(SUMIF(Tabla_OM[[#This Row],[Puntos 1]:[Puntos 6]],"&lt;0")=0,"",SUMIF(Tabla_OM[[#This Row],[Puntos 1]:[Puntos 6]],"&lt;0"))</calculatedColumnFormula>
    </tableColumn>
    <tableColumn id="6" name="Descripcion" dataDxfId="598"/>
    <tableColumn id="7" name="Enunciado" dataDxfId="597"/>
    <tableColumn id="8" name="Respuesta 1" dataDxfId="596"/>
    <tableColumn id="9" name="Respuesta 2" dataDxfId="595"/>
    <tableColumn id="10" name="Respuesta 3" dataDxfId="594"/>
    <tableColumn id="11" name="Respuesta 4" dataDxfId="593"/>
    <tableColumn id="12" name="Respuesta 5" dataDxfId="592"/>
    <tableColumn id="13" name="Respuesta 6" dataDxfId="591"/>
    <tableColumn id="14" name="Retroalim. 1" dataDxfId="590"/>
    <tableColumn id="15" name="Retroalim. 2" dataDxfId="589"/>
    <tableColumn id="16" name="Retroalim. 3" dataDxfId="588"/>
    <tableColumn id="17" name="Retroalim. 4" dataDxfId="587"/>
    <tableColumn id="18" name="Retroalim. 5" dataDxfId="586"/>
    <tableColumn id="19" name="Retroalim. 6" dataDxfId="585"/>
    <tableColumn id="20" name="Puntos 1" dataDxfId="584"/>
    <tableColumn id="21" name="Puntos 2" dataDxfId="583"/>
    <tableColumn id="22" name="Puntos 3" dataDxfId="582"/>
    <tableColumn id="23" name="Puntos 4" dataDxfId="581"/>
    <tableColumn id="24" name="Puntos 5" dataDxfId="580"/>
    <tableColumn id="25" name="Puntos 6" dataDxfId="579"/>
    <tableColumn id="26" name="Puntos 7" dataDxfId="578"/>
    <tableColumn id="27" name="Puntos 8" dataDxfId="577"/>
    <tableColumn id="28" name="Puntos 9" dataDxfId="576"/>
    <tableColumn id="29" name="Puntos 10" dataDxfId="575"/>
    <tableColumn id="30" name="Puntos 11" dataDxfId="574"/>
    <tableColumn id="31" name="Puntos 12" dataDxfId="573"/>
    <tableColumn id="32" name="PISTA: 1" dataDxfId="572"/>
    <tableColumn id="33" name="PISTA: 2" dataDxfId="571"/>
    <tableColumn id="34" name="PISTA: 3" dataDxfId="570"/>
    <tableColumn id="35" name="PISTA: 4" dataDxfId="569"/>
    <tableColumn id="36" name="Imagen" dataDxfId="568"/>
  </tableColumns>
  <tableStyleInfo name="Tabla_UCA" showFirstColumn="0" showLastColumn="0" showRowStripes="1" showColumnStripes="0"/>
</table>
</file>

<file path=xl/tables/table3.xml><?xml version="1.0" encoding="utf-8"?>
<table xmlns="http://schemas.openxmlformats.org/spreadsheetml/2006/main" id="1" name="Tabla_O2" displayName="Tabla_O2" ref="A5:AJ6" totalsRowShown="0">
  <autoFilter ref="A5:AJ6">
    <filterColumn colId="0" hiddenButton="1"/>
    <filterColumn colId="1" hiddenButton="1"/>
    <filterColumn colId="2" hiddenButton="1"/>
    <filterColumn colId="3" hiddenButton="1"/>
    <filterColumn colId="4" hiddenButton="1"/>
    <filterColumn colId="5" hiddenButton="1"/>
    <filterColumn colId="6" hiddenButton="1"/>
    <filterColumn colId="7" hiddenButton="1"/>
    <filterColumn colId="8" hiddenButton="1"/>
    <filterColumn colId="9" hiddenButton="1"/>
    <filterColumn colId="10" hiddenButton="1"/>
    <filterColumn colId="11" hiddenButton="1"/>
    <filterColumn colId="12" hiddenButton="1"/>
    <filterColumn colId="13" hiddenButton="1"/>
    <filterColumn colId="14" hiddenButton="1"/>
    <filterColumn colId="15" hiddenButton="1"/>
    <filterColumn colId="16" hiddenButton="1"/>
    <filterColumn colId="17" hiddenButton="1"/>
    <filterColumn colId="18" hiddenButton="1"/>
    <filterColumn colId="19" hiddenButton="1"/>
    <filterColumn colId="20" hiddenButton="1"/>
    <filterColumn colId="21" hiddenButton="1"/>
    <filterColumn colId="22" hiddenButton="1"/>
    <filterColumn colId="23" hiddenButton="1"/>
    <filterColumn colId="24" hiddenButton="1"/>
    <filterColumn colId="25" hiddenButton="1"/>
    <filterColumn colId="26" hiddenButton="1"/>
    <filterColumn colId="27" hiddenButton="1"/>
    <filterColumn colId="28" hiddenButton="1"/>
    <filterColumn colId="29" hiddenButton="1"/>
    <filterColumn colId="30" hiddenButton="1"/>
    <filterColumn colId="31" hiddenButton="1"/>
    <filterColumn colId="32" hiddenButton="1"/>
    <filterColumn colId="33" hiddenButton="1"/>
    <filterColumn colId="34" hiddenButton="1"/>
    <filterColumn colId="35" hiddenButton="1"/>
  </autoFilter>
  <tableColumns count="36">
    <tableColumn id="1" name="Nombre" dataDxfId="549">
      <calculatedColumnFormula>IFERROR(IF(Tabla_O2[[#This Row],[Enunciado]]="","",PREF_PREGUNTA&amp;IF(PREF_PREGUNTA="",""," - ")&amp;
IF(n_preg_ON_O2=TRUE,IF((N_I_O2+ROW()-N_I_Tabla)&gt;99,
IF((N_I_O2+ROW()-N_I_Tabla)&lt;100,"0",""),"")&amp;
IF((N_I_O2+ROW()-N_I_Tabla)&lt;10,"0","")&amp;(N_I_O2+ROW()-N_I_Tabla),""))&amp;
IF(Tabla_O2[[#This Row],[Descripcion]]&lt;&gt;""," "&amp;Tabla_O2[[#This Row],[Descripcion]],""),"")</calculatedColumnFormula>
    </tableColumn>
    <tableColumn id="2" name="NRC" dataDxfId="548">
      <calculatedColumnFormula>IF(COUNTIF(Tabla_O2[[#This Row],[Puntos 1]:[Puntos 6]],"&gt;0")=0,"",COUNTIF(Tabla_O2[[#This Row],[Puntos 1]:[Puntos 6]],"&gt;0"))</calculatedColumnFormula>
    </tableColumn>
    <tableColumn id="3" name="NRI" dataDxfId="547">
      <calculatedColumnFormula>IFERROR(MAX(COUNTA(Tabla_O2[[#This Row],[Respuesta 1]:[Respuesta 6]])-Tabla_O2[[#This Row],[NRC]],0),"")</calculatedColumnFormula>
    </tableColumn>
    <tableColumn id="4" name="PRC" dataDxfId="546">
      <calculatedColumnFormula>IF(SUMIF(Tabla_O2[[#This Row],[Puntos 1]:[Puntos 6]],"&gt;0")=0,"",SUMIF(Tabla_O2[[#This Row],[Puntos 1]:[Puntos 6]],"&gt;0"))</calculatedColumnFormula>
    </tableColumn>
    <tableColumn id="5" name="PRI" dataDxfId="545">
      <calculatedColumnFormula>IF(SUMIF(Tabla_O2[[#This Row],[Puntos 1]:[Puntos 6]],"&lt;0")=0,"",SUMIF(Tabla_O2[[#This Row],[Puntos 1]:[Puntos 6]],"&lt;0"))</calculatedColumnFormula>
    </tableColumn>
    <tableColumn id="6" name="Descripcion" dataDxfId="544"/>
    <tableColumn id="7" name="Enunciado" dataDxfId="543"/>
    <tableColumn id="8" name="Respuesta 1" dataDxfId="542"/>
    <tableColumn id="9" name="Respuesta 2" dataDxfId="541"/>
    <tableColumn id="10" name="Respuesta 3" dataDxfId="540"/>
    <tableColumn id="11" name="Respuesta 4" dataDxfId="539"/>
    <tableColumn id="12" name="Respuesta 5" dataDxfId="538"/>
    <tableColumn id="13" name="Respuesta 6" dataDxfId="537"/>
    <tableColumn id="14" name="Retroalim. 1" dataDxfId="536"/>
    <tableColumn id="15" name="Retroalim. 2" dataDxfId="535"/>
    <tableColumn id="16" name="Retroalim. 3" dataDxfId="534"/>
    <tableColumn id="17" name="Retroalim. 4" dataDxfId="533"/>
    <tableColumn id="18" name="Retroalim. 5" dataDxfId="532"/>
    <tableColumn id="19" name="Retroalim. 6" dataDxfId="531"/>
    <tableColumn id="20" name="Puntos 1" dataDxfId="530"/>
    <tableColumn id="21" name="Puntos 2" dataDxfId="529"/>
    <tableColumn id="22" name="Puntos 3" dataDxfId="528"/>
    <tableColumn id="23" name="Puntos 4" dataDxfId="527"/>
    <tableColumn id="24" name="Puntos 5" dataDxfId="526"/>
    <tableColumn id="25" name="Puntos 6" dataDxfId="525"/>
    <tableColumn id="26" name="Puntos 7" dataDxfId="524"/>
    <tableColumn id="27" name="Puntos 8" dataDxfId="523"/>
    <tableColumn id="28" name="Puntos 9" dataDxfId="522"/>
    <tableColumn id="29" name="Puntos 10" dataDxfId="521"/>
    <tableColumn id="30" name="Puntos 11" dataDxfId="520"/>
    <tableColumn id="31" name="Puntos 12" dataDxfId="519"/>
    <tableColumn id="32" name="PISTA: 1" dataDxfId="518"/>
    <tableColumn id="33" name="PISTA: 2" dataDxfId="517"/>
    <tableColumn id="34" name="PISTA: 3" dataDxfId="516"/>
    <tableColumn id="35" name="PISTA: 4" dataDxfId="515"/>
    <tableColumn id="36" name="Imagen" dataDxfId="514"/>
  </tableColumns>
  <tableStyleInfo name="Tabla_UCA" showFirstColumn="0" showLastColumn="0" showRowStripes="1" showColumnStripes="0"/>
</table>
</file>

<file path=xl/tables/table4.xml><?xml version="1.0" encoding="utf-8"?>
<table xmlns="http://schemas.openxmlformats.org/spreadsheetml/2006/main" id="3" name="Tabla_VF" displayName="Tabla_VF" ref="A5:AJ6" totalsRowShown="0">
  <autoFilter ref="A5:AJ6">
    <filterColumn colId="0" hiddenButton="1"/>
    <filterColumn colId="1" hiddenButton="1"/>
    <filterColumn colId="2" hiddenButton="1"/>
    <filterColumn colId="3" hiddenButton="1"/>
    <filterColumn colId="4" hiddenButton="1"/>
    <filterColumn colId="5" hiddenButton="1"/>
    <filterColumn colId="6" hiddenButton="1"/>
    <filterColumn colId="7" hiddenButton="1"/>
    <filterColumn colId="8" hiddenButton="1"/>
    <filterColumn colId="9" hiddenButton="1"/>
    <filterColumn colId="10" hiddenButton="1"/>
    <filterColumn colId="11" hiddenButton="1"/>
    <filterColumn colId="12" hiddenButton="1"/>
    <filterColumn colId="13" hiddenButton="1"/>
    <filterColumn colId="14" hiddenButton="1"/>
    <filterColumn colId="15" hiddenButton="1"/>
    <filterColumn colId="16" hiddenButton="1"/>
    <filterColumn colId="17" hiddenButton="1"/>
    <filterColumn colId="18" hiddenButton="1"/>
    <filterColumn colId="19" hiddenButton="1"/>
    <filterColumn colId="20" hiddenButton="1"/>
    <filterColumn colId="21" hiddenButton="1"/>
    <filterColumn colId="22" hiddenButton="1"/>
    <filterColumn colId="23" hiddenButton="1"/>
    <filterColumn colId="24" hiddenButton="1"/>
    <filterColumn colId="25" hiddenButton="1"/>
    <filterColumn colId="26" hiddenButton="1"/>
    <filterColumn colId="27" hiddenButton="1"/>
    <filterColumn colId="28" hiddenButton="1"/>
    <filterColumn colId="29" hiddenButton="1"/>
    <filterColumn colId="30" hiddenButton="1"/>
    <filterColumn colId="31" hiddenButton="1"/>
    <filterColumn colId="32" hiddenButton="1"/>
    <filterColumn colId="33" hiddenButton="1"/>
    <filterColumn colId="34" hiddenButton="1"/>
    <filterColumn colId="35" hiddenButton="1"/>
  </autoFilter>
  <tableColumns count="36">
    <tableColumn id="1" name="Nombre" dataDxfId="506">
      <calculatedColumnFormula>IFERROR(IF(Tabla_VF[[#This Row],[Enunciado]]="","",PREF_PREGUNTA&amp;IF(PREF_PREGUNTA="",""," - ")&amp;
IF(n_preg_ON_VF=TRUE,IF((N_I_VF+ROW()-N_I_Tabla)&gt;99,
IF((N_I_VF+ROW()-N_I_Tabla)&lt;100,"0",""),"")&amp;
IF((N_I_VF+ROW()-N_I_Tabla)&lt;10,"0","")&amp;(N_I_VF+ROW()-N_I_Tabla),""))&amp;
IF(Tabla_VF[[#This Row],[Descripcion]]&lt;&gt;""," "&amp;Tabla_VF[[#This Row],[Descripcion]],""),"")</calculatedColumnFormula>
    </tableColumn>
    <tableColumn id="2" name="C2" dataDxfId="505"/>
    <tableColumn id="3" name="C3" dataDxfId="504"/>
    <tableColumn id="4" name="C4" dataDxfId="503"/>
    <tableColumn id="5" name="C5" dataDxfId="502"/>
    <tableColumn id="6" name="Descripcion" dataDxfId="501"/>
    <tableColumn id="7" name="Enunciado" dataDxfId="500"/>
    <tableColumn id="8" name="a" dataDxfId="499"/>
    <tableColumn id="9" name="Retroalim." dataDxfId="498"/>
    <tableColumn id="10" name="Retroalim. Respuesta Incorrecta" dataDxfId="497"/>
    <tableColumn id="11" name="Columna6" dataDxfId="496"/>
    <tableColumn id="12" name="Columna62" dataDxfId="495"/>
    <tableColumn id="13" name="Columna63" dataDxfId="494"/>
    <tableColumn id="14" name="Columna64" dataDxfId="493"/>
    <tableColumn id="15" name="Columna65" dataDxfId="492"/>
    <tableColumn id="16" name="Columna66" dataDxfId="491"/>
    <tableColumn id="17" name="Columna67" dataDxfId="490"/>
    <tableColumn id="18" name="Columna68" dataDxfId="489"/>
    <tableColumn id="19" name="Columna69" dataDxfId="488"/>
    <tableColumn id="20" name="Columna70" dataDxfId="487"/>
    <tableColumn id="21" name="Columna71" dataDxfId="486"/>
    <tableColumn id="22" name="Columna72" dataDxfId="485"/>
    <tableColumn id="23" name="Columna73" dataDxfId="484"/>
    <tableColumn id="24" name="Columna74" dataDxfId="483"/>
    <tableColumn id="25" name="Columna75" dataDxfId="482"/>
    <tableColumn id="26" name="Columna76" dataDxfId="481"/>
    <tableColumn id="27" name="Columna77" dataDxfId="480"/>
    <tableColumn id="28" name="Columna78" dataDxfId="479"/>
    <tableColumn id="29" name="Columna79" dataDxfId="478"/>
    <tableColumn id="30" name="Columna80" dataDxfId="477"/>
    <tableColumn id="31" name="Columna81" dataDxfId="476"/>
    <tableColumn id="32" name="PISTA: 1" dataDxfId="475"/>
    <tableColumn id="33" name="PISTA: 2" dataDxfId="474"/>
    <tableColumn id="34" name="PISTA: 3" dataDxfId="473"/>
    <tableColumn id="35" name="PISTA: 4" dataDxfId="472"/>
    <tableColumn id="36" name="Imagen" dataDxfId="471"/>
  </tableColumns>
  <tableStyleInfo name="Tabla_UCA" showFirstColumn="0" showLastColumn="0" showRowStripes="1" showColumnStripes="0"/>
</table>
</file>

<file path=xl/tables/table5.xml><?xml version="1.0" encoding="utf-8"?>
<table xmlns="http://schemas.openxmlformats.org/spreadsheetml/2006/main" id="11" name="Tabla_EM" displayName="Tabla_EM" ref="A5:AJ6" totalsRowShown="0" tableBorderDxfId="454">
  <autoFilter ref="A5:AJ6">
    <filterColumn colId="0" hiddenButton="1"/>
    <filterColumn colId="1" hiddenButton="1"/>
    <filterColumn colId="2" hiddenButton="1"/>
    <filterColumn colId="3" hiddenButton="1"/>
    <filterColumn colId="4" hiddenButton="1"/>
    <filterColumn colId="5" hiddenButton="1"/>
    <filterColumn colId="6" hiddenButton="1"/>
    <filterColumn colId="7" hiddenButton="1"/>
    <filterColumn colId="8" hiddenButton="1"/>
    <filterColumn colId="9" hiddenButton="1"/>
    <filterColumn colId="10" hiddenButton="1"/>
    <filterColumn colId="11" hiddenButton="1"/>
    <filterColumn colId="12" hiddenButton="1"/>
    <filterColumn colId="13" hiddenButton="1"/>
    <filterColumn colId="14" hiddenButton="1"/>
    <filterColumn colId="15" hiddenButton="1"/>
    <filterColumn colId="16" hiddenButton="1"/>
    <filterColumn colId="17" hiddenButton="1"/>
    <filterColumn colId="18" hiddenButton="1"/>
    <filterColumn colId="19" hiddenButton="1"/>
    <filterColumn colId="20" hiddenButton="1"/>
    <filterColumn colId="21" hiddenButton="1"/>
    <filterColumn colId="22" hiddenButton="1"/>
    <filterColumn colId="23" hiddenButton="1"/>
    <filterColumn colId="24" hiddenButton="1"/>
    <filterColumn colId="25" hiddenButton="1"/>
    <filterColumn colId="26" hiddenButton="1"/>
    <filterColumn colId="27" hiddenButton="1"/>
    <filterColumn colId="28" hiddenButton="1"/>
    <filterColumn colId="29" hiddenButton="1"/>
    <filterColumn colId="30" hiddenButton="1"/>
    <filterColumn colId="31" hiddenButton="1"/>
    <filterColumn colId="32" hiddenButton="1"/>
    <filterColumn colId="33" hiddenButton="1"/>
    <filterColumn colId="34" hiddenButton="1"/>
    <filterColumn colId="35" hiddenButton="1"/>
  </autoFilter>
  <tableColumns count="36">
    <tableColumn id="1" name="Nombre" dataDxfId="453">
      <calculatedColumnFormula>IFERROR(IF(Tabla_EM[[#This Row],[Enunciado]]="","",PREF_PREGUNTA&amp;IF(PREF_PREGUNTA="",""," - ")&amp;
IF(n_preg_ON_EM=TRUE,IF((N_I_EM+ROW()-N_I_Tabla)&gt;99,
IF((N_I_EM+ROW()-N_I_Tabla)&lt;100,"0",""),"")&amp;
IF((N_I_EM+ROW()-N_I_Tabla)&lt;10,"0","")&amp;(N_I_EM+ROW()-N_I_Tabla),""))&amp;
IF(Tabla_EM[[#This Row],[Descripcion]]&lt;&gt;""," "&amp;Tabla_EM[[#This Row],[Descripcion]],""),"")</calculatedColumnFormula>
    </tableColumn>
    <tableColumn id="2" name="NP" dataDxfId="452">
      <calculatedColumnFormula>IFERROR(IF(COUNTA(Tabla_EM[[#This Row],[Pareja 01.1]:[Pareja 12.2]])=0,"",COUNTA(Tabla_EM[[#This Row],[Pareja 01.1]:[Pareja 12.2]])/2),"")</calculatedColumnFormula>
    </tableColumn>
    <tableColumn id="3" name="C3" dataDxfId="451"/>
    <tableColumn id="4" name="C4" dataDxfId="450"/>
    <tableColumn id="5" name="C5" dataDxfId="449"/>
    <tableColumn id="6" name="Descripcion" dataDxfId="448"/>
    <tableColumn id="7" name="Enunciado" dataDxfId="447"/>
    <tableColumn id="8" name="Pareja 01.1" dataDxfId="446"/>
    <tableColumn id="9" name="Pareja 01.2" dataDxfId="445"/>
    <tableColumn id="10" name="Pareja 02.1" dataDxfId="444"/>
    <tableColumn id="11" name="Pareja 02.2" dataDxfId="443"/>
    <tableColumn id="12" name="Pareja 03.1" dataDxfId="442"/>
    <tableColumn id="13" name="Pareja 03.2" dataDxfId="441"/>
    <tableColumn id="14" name="Pareja 04.1" dataDxfId="440"/>
    <tableColumn id="15" name="Pareja 04.2" dataDxfId="439"/>
    <tableColumn id="16" name="Pareja 05.1" dataDxfId="438"/>
    <tableColumn id="17" name="Pareja 05.2" dataDxfId="437"/>
    <tableColumn id="18" name="Pareja 06.1" dataDxfId="436"/>
    <tableColumn id="19" name="Pareja 06.2" dataDxfId="435"/>
    <tableColumn id="20" name="Pareja 07.1" dataDxfId="434"/>
    <tableColumn id="21" name="Pareja 07.2" dataDxfId="433"/>
    <tableColumn id="22" name="Pareja 08.1" dataDxfId="432"/>
    <tableColumn id="23" name="Pareja 08.2" dataDxfId="431"/>
    <tableColumn id="24" name="Pareja 09.1" dataDxfId="430"/>
    <tableColumn id="25" name="Pareja 09.2" dataDxfId="429"/>
    <tableColumn id="26" name="Pareja 10.1" dataDxfId="428"/>
    <tableColumn id="27" name="Pareja 10.2" dataDxfId="427"/>
    <tableColumn id="28" name="Pareja 11.1" dataDxfId="426"/>
    <tableColumn id="29" name="Pareja 11.2" dataDxfId="425"/>
    <tableColumn id="30" name="Pareja 12.1" dataDxfId="424"/>
    <tableColumn id="31" name="Pareja 12.2" dataDxfId="423"/>
    <tableColumn id="32" name="PISTA: 1" dataDxfId="422"/>
    <tableColumn id="33" name="PISTA: 2" dataDxfId="421"/>
    <tableColumn id="34" name="PISTA: 3" dataDxfId="420"/>
    <tableColumn id="35" name="PISTA: 4" dataDxfId="419"/>
    <tableColumn id="36" name="Imagen" dataDxfId="418"/>
  </tableColumns>
  <tableStyleInfo name="Tabla_UCA" showFirstColumn="0" showLastColumn="0" showRowStripes="1" showColumnStripes="0"/>
</table>
</file>

<file path=xl/tables/table6.xml><?xml version="1.0" encoding="utf-8"?>
<table xmlns="http://schemas.openxmlformats.org/spreadsheetml/2006/main" id="17" name="Tabla_RC" displayName="Tabla_RC" ref="A5:AJ6" totalsRowShown="0" tableBorderDxfId="405">
  <autoFilter ref="A5:AJ6">
    <filterColumn colId="0" hiddenButton="1"/>
    <filterColumn colId="1" hiddenButton="1"/>
    <filterColumn colId="2" hiddenButton="1"/>
    <filterColumn colId="3" hiddenButton="1"/>
    <filterColumn colId="4" hiddenButton="1"/>
    <filterColumn colId="5" hiddenButton="1"/>
    <filterColumn colId="6" hiddenButton="1"/>
    <filterColumn colId="7" hiddenButton="1"/>
    <filterColumn colId="8" hiddenButton="1"/>
    <filterColumn colId="9" hiddenButton="1"/>
    <filterColumn colId="10" hiddenButton="1"/>
    <filterColumn colId="11" hiddenButton="1"/>
    <filterColumn colId="12" hiddenButton="1"/>
    <filterColumn colId="13" hiddenButton="1"/>
    <filterColumn colId="14" hiddenButton="1"/>
    <filterColumn colId="15" hiddenButton="1"/>
    <filterColumn colId="16" hiddenButton="1"/>
    <filterColumn colId="17" hiddenButton="1"/>
    <filterColumn colId="18" hiddenButton="1"/>
    <filterColumn colId="19" hiddenButton="1"/>
    <filterColumn colId="20" hiddenButton="1"/>
    <filterColumn colId="21" hiddenButton="1"/>
    <filterColumn colId="22" hiddenButton="1"/>
    <filterColumn colId="23" hiddenButton="1"/>
    <filterColumn colId="24" hiddenButton="1"/>
    <filterColumn colId="25" hiddenButton="1"/>
    <filterColumn colId="26" hiddenButton="1"/>
    <filterColumn colId="27" hiddenButton="1"/>
    <filterColumn colId="28" hiddenButton="1"/>
    <filterColumn colId="29" hiddenButton="1"/>
    <filterColumn colId="30" hiddenButton="1"/>
    <filterColumn colId="31" hiddenButton="1"/>
    <filterColumn colId="32" hiddenButton="1"/>
    <filterColumn colId="33" hiddenButton="1"/>
    <filterColumn colId="34" hiddenButton="1"/>
    <filterColumn colId="35" hiddenButton="1"/>
  </autoFilter>
  <tableColumns count="36">
    <tableColumn id="1" name="Nombre" dataDxfId="404">
      <calculatedColumnFormula>IFERROR(IF(Tabla_RC[[#This Row],[Enunciado]]="","",PREF_PREGUNTA&amp;IF(PREF_PREGUNTA="",""," - ")&amp;
IF(n_preg_ON_RC=TRUE,IF((N_I_RC+ROW()-N_I_Tabla)&gt;99,
IF((N_I_RC+ROW()-N_I_Tabla)&lt;100,"0",""),"")&amp;
IF((N_I_RC+ROW()-N_I_Tabla)&lt;10,"0","")&amp;(N_I_RC+ROW()-N_I_Tabla),""))&amp;
IF(Tabla_RC[[#This Row],[Descripcion]]&lt;&gt;""," "&amp;Tabla_RC[[#This Row],[Descripcion]],""),"")</calculatedColumnFormula>
    </tableColumn>
    <tableColumn id="2" name="NR" dataDxfId="403">
      <calculatedColumnFormula>IFERROR(IF(COUNTA(Tabla_RC[[#This Row],[Respuesta 01]],Tabla_RC[[#This Row],[Respuesta 02]],Tabla_RC[[#This Row],[Respuesta 03]],Tabla_RC[[#This Row],[Respuesta 04]],Tabla_RC[[#This Row],[Respuesta 05]],Tabla_RC[[#This Row],[Respuesta 06]],Tabla_RC[[#This Row],[Respuesta 07]],Tabla_RC[[#This Row],[Respuesta 08]])=0,"",
                            COUNTA(Tabla_RC[[#This Row],[Respuesta 01]],Tabla_RC[[#This Row],[Respuesta 02]],Tabla_RC[[#This Row],[Respuesta 03]],Tabla_RC[[#This Row],[Respuesta 04]],Tabla_RC[[#This Row],[Respuesta 05]],Tabla_RC[[#This Row],[Respuesta 06]],Tabla_RC[[#This Row],[Respuesta 07]],Tabla_RC[[#This Row],[Respuesta 08]])),"")</calculatedColumnFormula>
    </tableColumn>
    <tableColumn id="3" name="CONCATENA" dataDxfId="402">
      <calculatedColumnFormula>Tabla_RC[[#This Row],[Respuesta 01]]&amp;" "&amp;Tabla_RC[[#This Row],[Respuesta 02]]&amp;" "&amp;Tabla_RC[[#This Row],[Respuesta 03]]&amp;" "&amp;Tabla_RC[[#This Row],[Respuesta 04]]&amp;" "&amp;Tabla_RC[[#This Row],[Respuesta 05]]&amp;" "&amp;Tabla_RC[[#This Row],[Respuesta 06]]&amp;" "&amp;Tabla_RC[[#This Row],[Respuesta 07]]&amp;" "&amp;Tabla_RC[[#This Row],[Respuesta 08]]</calculatedColumnFormula>
    </tableColumn>
    <tableColumn id="4" name="C4" dataDxfId="401"/>
    <tableColumn id="5" name="May" dataDxfId="400"/>
    <tableColumn id="6" name="Descripcion" dataDxfId="399"/>
    <tableColumn id="7" name="Enunciado" dataDxfId="398"/>
    <tableColumn id="8" name="Respuesta 01" dataDxfId="397"/>
    <tableColumn id="9" name="Puntos 01" dataDxfId="396"/>
    <tableColumn id="10" name="Retroalim. 01" dataDxfId="395"/>
    <tableColumn id="11" name="Respuesta 02" dataDxfId="394"/>
    <tableColumn id="12" name="Puntos 02" dataDxfId="393"/>
    <tableColumn id="13" name="Retroalim. 02" dataDxfId="392"/>
    <tableColumn id="14" name="Respuesta 03" dataDxfId="391"/>
    <tableColumn id="15" name="Puntos 03" dataDxfId="390"/>
    <tableColumn id="16" name="Retroalim. 03" dataDxfId="389"/>
    <tableColumn id="17" name="Respuesta 04" dataDxfId="388"/>
    <tableColumn id="18" name="Puntos 04" dataDxfId="387"/>
    <tableColumn id="19" name="Retroalim. 04" dataDxfId="386"/>
    <tableColumn id="20" name="Respuesta 05" dataDxfId="385"/>
    <tableColumn id="21" name="Puntos 05" dataDxfId="384"/>
    <tableColumn id="22" name="Retroalim. 042" dataDxfId="383"/>
    <tableColumn id="23" name="Respuesta 06" dataDxfId="382"/>
    <tableColumn id="24" name="Puntos 06" dataDxfId="381"/>
    <tableColumn id="25" name="Retroalim. 06" dataDxfId="380"/>
    <tableColumn id="26" name="Respuesta 07" dataDxfId="379"/>
    <tableColumn id="27" name="Puntos 07" dataDxfId="378"/>
    <tableColumn id="28" name="Retroalim. 07" dataDxfId="377"/>
    <tableColumn id="29" name="Respuesta 08" dataDxfId="376"/>
    <tableColumn id="30" name="Puntos 08" dataDxfId="375"/>
    <tableColumn id="31" name="Retroalim. 08" dataDxfId="374"/>
    <tableColumn id="32" name="PISTA: 1" dataDxfId="373"/>
    <tableColumn id="33" name="PISTA: 2" dataDxfId="372"/>
    <tableColumn id="34" name="PISTA: 3" dataDxfId="371"/>
    <tableColumn id="35" name="PISTA: 4" dataDxfId="370"/>
    <tableColumn id="36" name="Imagen" dataDxfId="369"/>
  </tableColumns>
  <tableStyleInfo name="Tabla_UCA" showFirstColumn="0" showLastColumn="0" showRowStripes="1" showColumnStripes="0"/>
</table>
</file>

<file path=xl/tables/table7.xml><?xml version="1.0" encoding="utf-8"?>
<table xmlns="http://schemas.openxmlformats.org/spreadsheetml/2006/main" id="18" name="Tabla_PP" displayName="Tabla_PP" ref="A5:AJ6" totalsRowShown="0" tableBorderDxfId="357">
  <autoFilter ref="A5:AJ6">
    <filterColumn colId="0" hiddenButton="1"/>
    <filterColumn colId="1" hiddenButton="1"/>
    <filterColumn colId="2" hiddenButton="1"/>
    <filterColumn colId="3" hiddenButton="1"/>
    <filterColumn colId="4" hiddenButton="1"/>
    <filterColumn colId="5" hiddenButton="1"/>
    <filterColumn colId="6" hiddenButton="1"/>
    <filterColumn colId="7" hiddenButton="1"/>
    <filterColumn colId="8" hiddenButton="1"/>
    <filterColumn colId="9" hiddenButton="1"/>
    <filterColumn colId="10" hiddenButton="1"/>
    <filterColumn colId="11" hiddenButton="1"/>
    <filterColumn colId="12" hiddenButton="1"/>
    <filterColumn colId="13" hiddenButton="1"/>
    <filterColumn colId="14" hiddenButton="1"/>
    <filterColumn colId="15" hiddenButton="1"/>
    <filterColumn colId="16" hiddenButton="1"/>
    <filterColumn colId="17" hiddenButton="1"/>
    <filterColumn colId="18" hiddenButton="1"/>
    <filterColumn colId="19" hiddenButton="1"/>
    <filterColumn colId="20" hiddenButton="1"/>
    <filterColumn colId="21" hiddenButton="1"/>
    <filterColumn colId="22" hiddenButton="1"/>
    <filterColumn colId="23" hiddenButton="1"/>
    <filterColumn colId="24" hiddenButton="1"/>
    <filterColumn colId="25" hiddenButton="1"/>
    <filterColumn colId="26" hiddenButton="1"/>
    <filterColumn colId="27" hiddenButton="1"/>
    <filterColumn colId="28" hiddenButton="1"/>
    <filterColumn colId="29" hiddenButton="1"/>
    <filterColumn colId="30" hiddenButton="1"/>
    <filterColumn colId="31" hiddenButton="1"/>
    <filterColumn colId="32" hiddenButton="1"/>
    <filterColumn colId="33" hiddenButton="1"/>
    <filterColumn colId="34" hiddenButton="1"/>
    <filterColumn colId="35" hiddenButton="1"/>
  </autoFilter>
  <tableColumns count="36">
    <tableColumn id="1" name="Nombre" dataDxfId="356">
      <calculatedColumnFormula>IFERROR(IF(Tabla_PP[[#This Row],[Enunciado]]="","",PREF_PREGUNTA&amp;IF(PREF_PREGUNTA="",""," - ")&amp;
IF(n_preg_ON_PP=TRUE,IF((N_I_PP+ROW()-N_I_Tabla)&gt;99,
IF((N_I_PP+ROW()-N_I_Tabla)&lt;100,"0",""),"")&amp;
IF((N_I_PP+ROW()-N_I_Tabla)&lt;10,"0","")&amp;(N_I_PP+ROW()-N_I_Tabla),""))&amp;
IF(Tabla_PP[[#This Row],[Descripcion]]&lt;&gt;""," "&amp;Tabla_PP[[#This Row],[Descripcion]],""),"")</calculatedColumnFormula>
    </tableColumn>
    <tableColumn id="2" name="NP" dataDxfId="355">
      <calculatedColumnFormula>IFERROR(IF(COUNTA(Tabla_PP[[#This Row],[Palabra  01]:[Palabra  12]])=0,"",COUNTA(Tabla_PP[[#This Row],[Palabra  01]:[Palabra  12]]))/2,"")</calculatedColumnFormula>
    </tableColumn>
    <tableColumn id="3" name="C3" dataDxfId="354"/>
    <tableColumn id="4" name="C4" dataDxfId="353"/>
    <tableColumn id="5" name="C5" dataDxfId="352"/>
    <tableColumn id="6" name="Descripcion" dataDxfId="351"/>
    <tableColumn id="7" name="Enunciado" dataDxfId="350"/>
    <tableColumn id="8" name="Grupo _x000a_Palabra  01" dataDxfId="349"/>
    <tableColumn id="9" name="Palabra  01" dataDxfId="348"/>
    <tableColumn id="10" name="Grupo _x000a_Palabra  02" dataDxfId="347"/>
    <tableColumn id="11" name="Palabra  02" dataDxfId="346"/>
    <tableColumn id="12" name="Grupo _x000a_Palabra  03" dataDxfId="345"/>
    <tableColumn id="13" name="Palabra  03" dataDxfId="344"/>
    <tableColumn id="14" name="Grupo _x000a_Palabra  04" dataDxfId="343"/>
    <tableColumn id="15" name="Palabra  04" dataDxfId="342"/>
    <tableColumn id="16" name="Grupo _x000a_Palabra  05" dataDxfId="341"/>
    <tableColumn id="17" name="Palabra  05" dataDxfId="340"/>
    <tableColumn id="18" name="Grupo _x000a_Palabra  06" dataDxfId="339"/>
    <tableColumn id="19" name="Palabra  06" dataDxfId="338"/>
    <tableColumn id="20" name="Grupo _x000a_Palabra  07" dataDxfId="337"/>
    <tableColumn id="21" name="Palabra  07" dataDxfId="336"/>
    <tableColumn id="22" name="Grupo _x000a_Palabra  08" dataDxfId="335"/>
    <tableColumn id="23" name="Palabra  08" dataDxfId="334"/>
    <tableColumn id="24" name="Grupo _x000a_Palabra  09" dataDxfId="333"/>
    <tableColumn id="25" name="Palabra  09" dataDxfId="332"/>
    <tableColumn id="26" name="Grupo _x000a_Palabra  10" dataDxfId="331"/>
    <tableColumn id="27" name="Palabra  10" dataDxfId="330"/>
    <tableColumn id="28" name="Grupo _x000a_Palabra  11" dataDxfId="329"/>
    <tableColumn id="29" name="Palabra  11" dataDxfId="328"/>
    <tableColumn id="30" name="Grupo _x000a_Palabra  12" dataDxfId="327"/>
    <tableColumn id="31" name="Palabra  12" dataDxfId="326"/>
    <tableColumn id="32" name="PISTA: 1" dataDxfId="325"/>
    <tableColumn id="33" name="PISTA: 2" dataDxfId="324"/>
    <tableColumn id="34" name="PISTA: 3" dataDxfId="323"/>
    <tableColumn id="35" name="PISTA: 4" dataDxfId="322"/>
    <tableColumn id="36" name="Imagen" dataDxfId="321"/>
  </tableColumns>
  <tableStyleInfo name="Tabla_UCA" showFirstColumn="0" showLastColumn="0" showRowStripes="1" showColumnStripes="0"/>
</table>
</file>

<file path=xl/tables/table8.xml><?xml version="1.0" encoding="utf-8"?>
<table xmlns="http://schemas.openxmlformats.org/spreadsheetml/2006/main" id="7" name="Tabla_EN" displayName="Tabla_EN" ref="A5:AJ6" totalsRowShown="0" tableBorderDxfId="300">
  <autoFilter ref="A5:AJ6">
    <filterColumn colId="0" hiddenButton="1"/>
    <filterColumn colId="1" hiddenButton="1"/>
    <filterColumn colId="2" hiddenButton="1"/>
    <filterColumn colId="3" hiddenButton="1"/>
    <filterColumn colId="4" hiddenButton="1"/>
    <filterColumn colId="5" hiddenButton="1"/>
    <filterColumn colId="6" hiddenButton="1"/>
    <filterColumn colId="7" hiddenButton="1"/>
    <filterColumn colId="8" hiddenButton="1"/>
    <filterColumn colId="9" hiddenButton="1"/>
    <filterColumn colId="10" hiddenButton="1"/>
    <filterColumn colId="11" hiddenButton="1"/>
    <filterColumn colId="12" hiddenButton="1"/>
    <filterColumn colId="13" hiddenButton="1"/>
    <filterColumn colId="14" hiddenButton="1"/>
    <filterColumn colId="15" hiddenButton="1"/>
    <filterColumn colId="16" hiddenButton="1"/>
    <filterColumn colId="17" hiddenButton="1"/>
    <filterColumn colId="18" hiddenButton="1"/>
    <filterColumn colId="19" hiddenButton="1"/>
    <filterColumn colId="20" hiddenButton="1"/>
    <filterColumn colId="21" hiddenButton="1"/>
    <filterColumn colId="22" hiddenButton="1"/>
    <filterColumn colId="23" hiddenButton="1"/>
    <filterColumn colId="24" hiddenButton="1"/>
    <filterColumn colId="25" hiddenButton="1"/>
    <filterColumn colId="26" hiddenButton="1"/>
    <filterColumn colId="27" hiddenButton="1"/>
    <filterColumn colId="28" hiddenButton="1"/>
    <filterColumn colId="29" hiddenButton="1"/>
    <filterColumn colId="30" hiddenButton="1"/>
    <filterColumn colId="31" hiddenButton="1"/>
    <filterColumn colId="32" hiddenButton="1"/>
    <filterColumn colId="33" hiddenButton="1"/>
    <filterColumn colId="34" hiddenButton="1"/>
    <filterColumn colId="35" hiddenButton="1"/>
  </autoFilter>
  <tableColumns count="36">
    <tableColumn id="1" name="Nombre" dataDxfId="299">
      <calculatedColumnFormula>IFERROR(IF(Tabla_EN[[#This Row],[Enunciado]]="","",PREF_PREGUNTA&amp;IF(PREF_PREGUNTA="",""," - ")&amp;
IF(n_preg_ON_EN=TRUE,IF((N_I_EN+ROW()-N_I_Tabla)&gt;99,
IF((N_I_EN+ROW()-N_I_Tabla)&lt;100,"0",""),"")&amp;
IF((N_I_EN+ROW()-N_I_Tabla)&lt;10,"0","")&amp;(N_I_EN+ROW()-N_I_Tabla),""))&amp;
IF(Tabla_EN[[#This Row],[Descripcion]]&lt;&gt;""," "&amp;Tabla_EN[[#This Row],[Descripcion]],""),"")</calculatedColumnFormula>
    </tableColumn>
    <tableColumn id="2" name="C2" dataDxfId="298"/>
    <tableColumn id="3" name="CONCATENA" dataDxfId="297">
      <calculatedColumnFormula>Tabla_EN[[#This Row],[FORM RESP]]&amp;" "&amp;Tabla_EN[[#This Row],[TEXTO]]&amp;" "&amp;Tabla_EN[[#This Row],[CAJA]]&amp;" "&amp;Tabla_EN[[#This Row],[ARCHIVOS]]&amp;" "&amp;Tabla_EN[[#This Row],[ADJUNTOS]]&amp;" "&amp;Tabla_EN[[#This Row],[PLANTILLA]]&amp;" "&amp;Tabla_EN[[#This Row],[INFO]]&amp;" "&amp;Tabla_EN[[#This Row],[Imagen]]</calculatedColumnFormula>
    </tableColumn>
    <tableColumn id="4" name="C4" dataDxfId="296"/>
    <tableColumn id="5" name="C5" dataDxfId="295"/>
    <tableColumn id="6" name="Descripcion" dataDxfId="294"/>
    <tableColumn id="7" name="Enunciado" dataDxfId="293"/>
    <tableColumn id="8" name="FORM RESP" dataDxfId="292"/>
    <tableColumn id="9" name="TEXTO" dataDxfId="291"/>
    <tableColumn id="10" name="CAJA" dataDxfId="290"/>
    <tableColumn id="11" name="ARCHIVOS" dataDxfId="289"/>
    <tableColumn id="12" name="ADJUNTOS" dataDxfId="288"/>
    <tableColumn id="13" name="PLANTILLA" dataDxfId="287"/>
    <tableColumn id="14" name="INFO" dataDxfId="286"/>
    <tableColumn id="15" name="0" dataDxfId="285"/>
    <tableColumn id="16" name="1" dataDxfId="284"/>
    <tableColumn id="17" name="2" dataDxfId="283"/>
    <tableColumn id="18" name="3" dataDxfId="282"/>
    <tableColumn id="19" name="4" dataDxfId="281"/>
    <tableColumn id="20" name="5" dataDxfId="280"/>
    <tableColumn id="21" name="6" dataDxfId="279"/>
    <tableColumn id="22" name="7" dataDxfId="278"/>
    <tableColumn id="23" name="8" dataDxfId="277"/>
    <tableColumn id="24" name="9" dataDxfId="276"/>
    <tableColumn id="25" name="10" dataDxfId="275"/>
    <tableColumn id="26" name="11" dataDxfId="274"/>
    <tableColumn id="27" name="12" dataDxfId="273"/>
    <tableColumn id="28" name="13" dataDxfId="272"/>
    <tableColumn id="29" name="14" dataDxfId="271"/>
    <tableColumn id="30" name="15" dataDxfId="270"/>
    <tableColumn id="31" name="16" dataDxfId="269"/>
    <tableColumn id="32" name="PISTA: 1" dataDxfId="268"/>
    <tableColumn id="33" name="PISTA: 2" dataDxfId="267"/>
    <tableColumn id="34" name="PISTA: 3" dataDxfId="266"/>
    <tableColumn id="35" name="PISTA: 4" dataDxfId="265"/>
    <tableColumn id="36" name="Imagen" dataDxfId="264"/>
  </tableColumns>
  <tableStyleInfo name="Tabla_UCA" showFirstColumn="0" showLastColumn="0" showRowStripes="1" showColumnStripes="0"/>
</table>
</file>

<file path=xl/tables/table9.xml><?xml version="1.0" encoding="utf-8"?>
<table xmlns="http://schemas.openxmlformats.org/spreadsheetml/2006/main" id="8" name="Tabla_CL" displayName="Tabla_CL" ref="A5:AJ6" totalsRowShown="0" tableBorderDxfId="250">
  <autoFilter ref="A5:AJ6">
    <filterColumn colId="0" hiddenButton="1"/>
    <filterColumn colId="1" hiddenButton="1"/>
    <filterColumn colId="2" hiddenButton="1"/>
    <filterColumn colId="3" hiddenButton="1"/>
    <filterColumn colId="4" hiddenButton="1"/>
    <filterColumn colId="5" hiddenButton="1"/>
    <filterColumn colId="6" hiddenButton="1"/>
    <filterColumn colId="7" hiddenButton="1"/>
    <filterColumn colId="8" hiddenButton="1"/>
    <filterColumn colId="9" hiddenButton="1"/>
    <filterColumn colId="10" hiddenButton="1"/>
    <filterColumn colId="11" hiddenButton="1"/>
    <filterColumn colId="12" hiddenButton="1"/>
    <filterColumn colId="13" hiddenButton="1"/>
    <filterColumn colId="14" hiddenButton="1"/>
    <filterColumn colId="15" hiddenButton="1"/>
    <filterColumn colId="16" hiddenButton="1"/>
    <filterColumn colId="17" hiddenButton="1"/>
    <filterColumn colId="18" hiddenButton="1"/>
    <filterColumn colId="19" hiddenButton="1"/>
    <filterColumn colId="20" hiddenButton="1"/>
    <filterColumn colId="21" hiddenButton="1"/>
    <filterColumn colId="22" hiddenButton="1"/>
    <filterColumn colId="23" hiddenButton="1"/>
    <filterColumn colId="24" hiddenButton="1"/>
    <filterColumn colId="25" hiddenButton="1"/>
    <filterColumn colId="26" hiddenButton="1"/>
    <filterColumn colId="27" hiddenButton="1"/>
    <filterColumn colId="28" hiddenButton="1"/>
    <filterColumn colId="29" hiddenButton="1"/>
    <filterColumn colId="30" hiddenButton="1"/>
    <filterColumn colId="31" hiddenButton="1"/>
    <filterColumn colId="32" hiddenButton="1"/>
    <filterColumn colId="33" hiddenButton="1"/>
    <filterColumn colId="34" hiddenButton="1"/>
    <filterColumn colId="35" hiddenButton="1"/>
  </autoFilter>
  <tableColumns count="36">
    <tableColumn id="1" name="Nombre" dataDxfId="249">
      <calculatedColumnFormula>IFERROR(IF(Tabla_CL[[#This Row],[Columna1]]="","",PREF_PREGUNTA&amp;IF(PREF_PREGUNTA="",""," - ")&amp;
IF(n_preg_ON_CL=TRUE,IF((N_I_EN+ROW()-N_I_Tabla)&gt;99,
IF((N_I_CL+ROW()-N_I_Tabla)&lt;100,"0",""),"")&amp;
IF((N_I_CL+ROW()-N_I_Tabla)&lt;10,"0","")&amp;(N_I_CL+ROW()-N_I_Tabla),""))&amp;
IF(Tabla_CL[[#This Row],[Descripcion]]&lt;&gt;""," "&amp;Tabla_CL[[#This Row],[Descripcion]],""),"")</calculatedColumnFormula>
    </tableColumn>
    <tableColumn id="2" name="C2" dataDxfId="248"/>
    <tableColumn id="3" name="C3" dataDxfId="247"/>
    <tableColumn id="4" name="C4" dataDxfId="246"/>
    <tableColumn id="5" name="C5" dataDxfId="245"/>
    <tableColumn id="6" name="Descripcion" dataDxfId="244"/>
    <tableColumn id="7" name="Columna1" dataDxfId="243"/>
    <tableColumn id="8" name="Ancho RC" dataDxfId="242"/>
    <tableColumn id="9" name="C11" dataDxfId="241"/>
    <tableColumn id="10" name="C12" dataDxfId="240"/>
    <tableColumn id="11" name="C13" dataDxfId="239"/>
    <tableColumn id="12" name="C14" dataDxfId="238"/>
    <tableColumn id="13" name="C15" dataDxfId="237"/>
    <tableColumn id="14" name="C16" dataDxfId="236"/>
    <tableColumn id="15" name="C17" dataDxfId="235"/>
    <tableColumn id="16" name="C18" dataDxfId="234"/>
    <tableColumn id="17" name="C19" dataDxfId="233"/>
    <tableColumn id="18" name="C20" dataDxfId="232"/>
    <tableColumn id="19" name="C21" dataDxfId="231"/>
    <tableColumn id="20" name="C22" dataDxfId="230"/>
    <tableColumn id="21" name="C23" dataDxfId="229"/>
    <tableColumn id="22" name="C24" dataDxfId="228"/>
    <tableColumn id="23" name="C25" dataDxfId="227"/>
    <tableColumn id="24" name="C26" dataDxfId="226"/>
    <tableColumn id="25" name="C27" dataDxfId="225"/>
    <tableColumn id="26" name="C28" dataDxfId="224"/>
    <tableColumn id="27" name="C29" dataDxfId="223"/>
    <tableColumn id="28" name="C30" dataDxfId="222"/>
    <tableColumn id="29" name="C31" dataDxfId="221"/>
    <tableColumn id="30" name="C32" dataDxfId="220"/>
    <tableColumn id="31" name="C33" dataDxfId="219"/>
    <tableColumn id="32" name="PISTA: 1" dataDxfId="218"/>
    <tableColumn id="33" name="PISTA: 2" dataDxfId="217"/>
    <tableColumn id="34" name="PISTA: 3" dataDxfId="216"/>
    <tableColumn id="35" name="PISTA: 4" dataDxfId="215"/>
    <tableColumn id="36" name="Imagen" dataDxfId="214"/>
  </tableColumns>
  <tableStyleInfo name="Tabla_UCA" showFirstColumn="0" showLastColumn="0" showRowStripes="1" showColumnStripes="0"/>
</table>
</file>

<file path=xl/tables/table10.xml><?xml version="1.0" encoding="utf-8"?>
<table xmlns="http://schemas.openxmlformats.org/spreadsheetml/2006/main" id="5" name="Tabla_DOC" displayName="Tabla_DOC" ref="A3:BY4" headerRowDxfId="213" dataDxfId="212" totalsRowDxfId="211">
  <tableColumns count="77">
    <tableColumn id="1" name="N" totalsRowFunction="custom" dataDxfId="210" totalsRowDxfId="209">
      <calculatedColumnFormula>IF(ROW()=4,$A$1,A3+1)</calculatedColumnFormula>
      <totalsRowFormula>IF(#REF!="N",1,#REF!+1)</totalsRowFormula>
    </tableColumn>
    <tableColumn id="2" name="ENUNCIADO" totalsRowFunction="custom" dataDxfId="208" totalsRowDxfId="207">
      <calculatedColumnFormula>IF(Tabla_DOC[[#This Row],[N]]="","",Tabla_DOC[[#This Row],[N]]&amp;") "&amp;IF(INDIRECT("'Datos "&amp;Tipo_Cuestionario_Cod&amp;"'!"&amp;B$1&amp;N_I_Tabla+Tabla_DOC[[#This Row],[N]]-1)="","",INDIRECT("'Datos "&amp;Tipo_Cuestionario_Cod&amp;"'!"&amp;B$1&amp;N_I_Tabla+Tabla_DOC[[#This Row],[N]]-1)))</calculatedColumnFormula>
      <totalsRowFormula>IF(Tabla_DOC[[#This Row],[N]]="","",Tabla_DOC[[#This Row],[N]]&amp;") "&amp;IF(INDIRECT("'Datos "&amp;Tipo_Cuestionario_Cod&amp;"'!"&amp;B$1&amp;N_I_Tabla+Tabla_DOC[[#This Row],[N]]-1)="","",INDIRECT("'Datos "&amp;Tipo_Cuestionario_Cod&amp;"'!"&amp;B$1&amp;N_I_Tabla+Tabla_DOC[[#This Row],[N]]-1)))</totalsRowFormula>
    </tableColumn>
    <tableColumn id="3" name="1" totalsRowFunction="custom" dataDxfId="206" totalsRowDxfId="205">
      <calculatedColumnFormula>IFERROR(IF(AND(Tipo_Cuestionario_Cod="VF",C$1="I"),C$2&amp;IF(Tabla_DOC[[#This Row],[1]]=$C$2&amp;'Formulario VF'!$I$38,'Formulario VF'!$J$38,'Formulario VF'!$I$38),
IF(OR(INDIRECT("'Datos "&amp;Tipo_Cuestionario_Cod&amp;"'!"&amp;C$1&amp;N_I_Tabla+Tabla_DOC[[#This Row],[N]]-1)="",C$2="",Tabla_DOC[[#This Row],[ENUNCIADO]]=""),"",
IF(Tipo_Cuestionario_Cod="EN",INDIRECT("'Datos EN'!C"&amp;ROW()+1+$A$1),
IF(Tipo_Cuestionario_Cod="RC",IF(C$1="H",INDIRECT("'Datos RC'!C"&amp;ROW()+1+$A$1),""),
C$2&amp;INDIRECT("'Datos "&amp;Tipo_Cuestionario_Cod&amp;"'!"&amp;C$1&amp;N_I_Tabla+Tabla_DOC[[#This Row],[N]]-1))))),"")</calculatedColumnFormula>
      <totalsRowFormula>IFERROR(IF(AND(Tipo_Cuestionario_Cod="VF",C$1="J"),C$2&amp;'Formulario VF'!$J$38,
IF(OR(INDIRECT("'Datos "&amp;Tipo_Cuestionario_Cod&amp;"'!"&amp;C$1&amp;N_I_Tabla+Tabla_DOC[[#This Row],[N]]-1)="",C$2="",Tabla_DOC[[#This Row],[ENUNCIADO]]=""),"",
IF(Tipo_Cuestionario_Cod="EN",'Datos EN'!#REF!&amp;" "&amp;'Datos EN'!#REF!&amp;" "&amp;'Datos EN'!#REF!&amp;" "&amp;'Datos EN'!#REF!&amp;" "&amp;'Datos EN'!#REF!&amp;" "&amp;'Datos EN'!#REF!&amp;" "&amp;'Datos EN'!#REF!&amp;" "&amp;'Datos EN'!#REF!,
IF(Tipo_Cuestionario_Cod="RC",IF(C$1="I",'Datos RC'!#REF!&amp;" "&amp;'Datos RC'!#REF!&amp;" "&amp;'Datos RC'!#REF!&amp;" "&amp;'Datos RC'!#REF!&amp;" "&amp;'Datos RC'!#REF!&amp;" "&amp;'Datos RC'!#REF!&amp;" "&amp;'Datos RC'!#REF!&amp;" "&amp;'Datos RC'!#REF!,""),
C$2&amp;INDIRECT("'Datos "&amp;Tipo_Cuestionario_Cod&amp;"'!"&amp;C$1&amp;N_I_Tabla+Tabla_DOC[[#This Row],[N]]-1))))),"")</totalsRowFormula>
    </tableColumn>
    <tableColumn id="4" name="2" totalsRowFunction="custom" dataDxfId="204" totalsRowDxfId="203">
      <calculatedColumnFormula>IFERROR(IF(AND(Tipo_Cuestionario_Cod="VF",D$1="I"),D$2&amp;IF(Tabla_DOC[[#This Row],[1]]=$C$2&amp;'Formulario VF'!$I$38,'Formulario VF'!$J$38,'Formulario VF'!$I$38),
IF(OR(INDIRECT("'Datos "&amp;Tipo_Cuestionario_Cod&amp;"'!"&amp;D$1&amp;N_I_Tabla+Tabla_DOC[[#This Row],[N]]-1)="",D$2="",Tabla_DOC[[#This Row],[ENUNCIADO]]=""),"",
IF(Tipo_Cuestionario_Cod="EN",'Datos EN'!#REF!&amp;" "&amp;'Datos EN'!#REF!&amp;" "&amp;'Datos EN'!#REF!&amp;" "&amp;'Datos EN'!#REF!&amp;" "&amp;'Datos EN'!#REF!&amp;" "&amp;'Datos EN'!#REF!&amp;" "&amp;'Datos EN'!#REF!&amp;" "&amp;'Datos EN'!#REF!,
IF(Tipo_Cuestionario_Cod="RC",IF(D$1="H",'Datos RC'!#REF!&amp;" "&amp;'Datos RC'!#REF!&amp;" "&amp;'Datos RC'!#REF!&amp;" "&amp;'Datos RC'!#REF!&amp;" "&amp;'Datos RC'!#REF!&amp;" "&amp;'Datos RC'!#REF!&amp;" "&amp;'Datos RC'!#REF!&amp;" "&amp;'Datos RC'!#REF!,""),
D$2&amp;INDIRECT("'Datos "&amp;Tipo_Cuestionario_Cod&amp;"'!"&amp;D$1&amp;N_I_Tabla+Tabla_DOC[[#This Row],[N]]-1))))),"")</calculatedColumnFormula>
      <totalsRowFormula>IFERROR(IF(AND(Tipo_Cuestionario_Cod="VF",D$1="J"),D$2&amp;'Formulario VF'!$J$38,
IF(OR(INDIRECT("'Datos "&amp;Tipo_Cuestionario_Cod&amp;"'!"&amp;D$1&amp;N_I_Tabla+Tabla_DOC[[#This Row],[N]]-1)="",D$2="",Tabla_DOC[[#This Row],[ENUNCIADO]]=""),"",
IF(Tipo_Cuestionario_Cod="EN",'Datos EN'!#REF!&amp;" "&amp;'Datos EN'!#REF!&amp;" "&amp;'Datos EN'!#REF!&amp;" "&amp;'Datos EN'!#REF!&amp;" "&amp;'Datos EN'!#REF!&amp;" "&amp;'Datos EN'!#REF!&amp;" "&amp;'Datos EN'!#REF!&amp;" "&amp;'Datos EN'!#REF!,
IF(Tipo_Cuestionario_Cod="RC",IF(D$1="I",'Datos RC'!#REF!&amp;" "&amp;'Datos RC'!#REF!&amp;" "&amp;'Datos RC'!#REF!&amp;" "&amp;'Datos RC'!#REF!&amp;" "&amp;'Datos RC'!#REF!&amp;" "&amp;'Datos RC'!#REF!&amp;" "&amp;'Datos RC'!#REF!&amp;" "&amp;'Datos RC'!#REF!,""),
D$2&amp;INDIRECT("'Datos "&amp;Tipo_Cuestionario_Cod&amp;"'!"&amp;D$1&amp;N_I_Tabla+Tabla_DOC[[#This Row],[N]]-1))))),"")</totalsRowFormula>
    </tableColumn>
    <tableColumn id="5" name="3" totalsRowFunction="custom" dataDxfId="202" totalsRowDxfId="201">
      <calculatedColumnFormula>IFERROR(IF(AND(Tipo_Cuestionario_Cod="VF",E$1="I"),E$2&amp;IF(Tabla_DOC[[#This Row],[1]]=$C$2&amp;'Formulario VF'!$I$38,'Formulario VF'!$J$38,'Formulario VF'!$I$38),
IF(OR(INDIRECT("'Datos "&amp;Tipo_Cuestionario_Cod&amp;"'!"&amp;E$1&amp;N_I_Tabla+Tabla_DOC[[#This Row],[N]]-1)="",E$2="",Tabla_DOC[[#This Row],[ENUNCIADO]]=""),"",
IF(Tipo_Cuestionario_Cod="EN",'Datos EN'!#REF!&amp;" "&amp;'Datos EN'!#REF!&amp;" "&amp;'Datos EN'!#REF!&amp;" "&amp;'Datos EN'!#REF!&amp;" "&amp;'Datos EN'!#REF!&amp;" "&amp;'Datos EN'!#REF!&amp;" "&amp;'Datos EN'!#REF!&amp;" "&amp;'Datos EN'!#REF!,
IF(Tipo_Cuestionario_Cod="RC",IF(E$1="H",'Datos RC'!#REF!&amp;" "&amp;'Datos RC'!#REF!&amp;" "&amp;'Datos RC'!#REF!&amp;" "&amp;'Datos RC'!#REF!&amp;" "&amp;'Datos RC'!#REF!&amp;" "&amp;'Datos RC'!#REF!&amp;" "&amp;'Datos RC'!#REF!&amp;" "&amp;'Datos RC'!#REF!,""),
E$2&amp;INDIRECT("'Datos "&amp;Tipo_Cuestionario_Cod&amp;"'!"&amp;E$1&amp;N_I_Tabla+Tabla_DOC[[#This Row],[N]]-1))))),"")</calculatedColumnFormula>
      <totalsRowFormula>IFERROR(IF(AND(Tipo_Cuestionario_Cod="VF",E$1="J"),E$2&amp;'Formulario VF'!$J$38,
IF(OR(INDIRECT("'Datos "&amp;Tipo_Cuestionario_Cod&amp;"'!"&amp;E$1&amp;N_I_Tabla+Tabla_DOC[[#This Row],[N]]-1)="",E$2="",Tabla_DOC[[#This Row],[ENUNCIADO]]=""),"",
IF(Tipo_Cuestionario_Cod="EN",'Datos EN'!#REF!&amp;" "&amp;'Datos EN'!#REF!&amp;" "&amp;'Datos EN'!#REF!&amp;" "&amp;'Datos EN'!#REF!&amp;" "&amp;'Datos EN'!#REF!&amp;" "&amp;'Datos EN'!#REF!&amp;" "&amp;'Datos EN'!#REF!&amp;" "&amp;'Datos EN'!#REF!,
IF(Tipo_Cuestionario_Cod="RC",IF(E$1="I",'Datos RC'!#REF!&amp;" "&amp;'Datos RC'!#REF!&amp;" "&amp;'Datos RC'!#REF!&amp;" "&amp;'Datos RC'!#REF!&amp;" "&amp;'Datos RC'!#REF!&amp;" "&amp;'Datos RC'!#REF!&amp;" "&amp;'Datos RC'!#REF!&amp;" "&amp;'Datos RC'!#REF!,""),
E$2&amp;INDIRECT("'Datos "&amp;Tipo_Cuestionario_Cod&amp;"'!"&amp;E$1&amp;N_I_Tabla+Tabla_DOC[[#This Row],[N]]-1))))),"")</totalsRowFormula>
    </tableColumn>
    <tableColumn id="6" name="4" totalsRowFunction="custom" dataDxfId="200" totalsRowDxfId="199">
      <calculatedColumnFormula>IFERROR(IF(AND(Tipo_Cuestionario_Cod="VF",F$1="I"),F$2&amp;IF(Tabla_DOC[[#This Row],[1]]=$C$2&amp;'Formulario VF'!$I$38,'Formulario VF'!$J$38,'Formulario VF'!$I$38),
IF(OR(INDIRECT("'Datos "&amp;Tipo_Cuestionario_Cod&amp;"'!"&amp;F$1&amp;N_I_Tabla+Tabla_DOC[[#This Row],[N]]-1)="",F$2="",Tabla_DOC[[#This Row],[ENUNCIADO]]=""),"",
IF(Tipo_Cuestionario_Cod="EN",'Datos EN'!#REF!&amp;" "&amp;'Datos EN'!#REF!&amp;" "&amp;'Datos EN'!#REF!&amp;" "&amp;'Datos EN'!#REF!&amp;" "&amp;'Datos EN'!#REF!&amp;" "&amp;'Datos EN'!#REF!&amp;" "&amp;'Datos EN'!#REF!&amp;" "&amp;'Datos EN'!#REF!,
IF(Tipo_Cuestionario_Cod="RC",IF(F$1="H",'Datos RC'!#REF!&amp;" "&amp;'Datos RC'!#REF!&amp;" "&amp;'Datos RC'!#REF!&amp;" "&amp;'Datos RC'!#REF!&amp;" "&amp;'Datos RC'!#REF!&amp;" "&amp;'Datos RC'!#REF!&amp;" "&amp;'Datos RC'!#REF!&amp;" "&amp;'Datos RC'!#REF!,""),
F$2&amp;INDIRECT("'Datos "&amp;Tipo_Cuestionario_Cod&amp;"'!"&amp;F$1&amp;N_I_Tabla+Tabla_DOC[[#This Row],[N]]-1))))),"")</calculatedColumnFormula>
      <totalsRowFormula>IFERROR(IF(AND(Tipo_Cuestionario_Cod="VF",F$1="J"),F$2&amp;'Formulario VF'!$J$38,
IF(OR(INDIRECT("'Datos "&amp;Tipo_Cuestionario_Cod&amp;"'!"&amp;F$1&amp;N_I_Tabla+Tabla_DOC[[#This Row],[N]]-1)="",F$2="",Tabla_DOC[[#This Row],[ENUNCIADO]]=""),"",
IF(Tipo_Cuestionario_Cod="EN",'Datos EN'!#REF!&amp;" "&amp;'Datos EN'!#REF!&amp;" "&amp;'Datos EN'!#REF!&amp;" "&amp;'Datos EN'!#REF!&amp;" "&amp;'Datos EN'!#REF!&amp;" "&amp;'Datos EN'!#REF!&amp;" "&amp;'Datos EN'!#REF!&amp;" "&amp;'Datos EN'!#REF!,
IF(Tipo_Cuestionario_Cod="RC",IF(F$1="I",'Datos RC'!#REF!&amp;" "&amp;'Datos RC'!#REF!&amp;" "&amp;'Datos RC'!#REF!&amp;" "&amp;'Datos RC'!#REF!&amp;" "&amp;'Datos RC'!#REF!&amp;" "&amp;'Datos RC'!#REF!&amp;" "&amp;'Datos RC'!#REF!&amp;" "&amp;'Datos RC'!#REF!,""),
F$2&amp;INDIRECT("'Datos "&amp;Tipo_Cuestionario_Cod&amp;"'!"&amp;F$1&amp;N_I_Tabla+Tabla_DOC[[#This Row],[N]]-1))))),"")</totalsRowFormula>
    </tableColumn>
    <tableColumn id="7" name="5" totalsRowFunction="custom" dataDxfId="198" totalsRowDxfId="197">
      <calculatedColumnFormula>IFERROR(IF(AND(Tipo_Cuestionario_Cod="VF",G$1="I"),G$2&amp;IF(Tabla_DOC[[#This Row],[1]]=$C$2&amp;'Formulario VF'!$I$38,'Formulario VF'!$J$38,'Formulario VF'!$I$38),
IF(OR(INDIRECT("'Datos "&amp;Tipo_Cuestionario_Cod&amp;"'!"&amp;G$1&amp;N_I_Tabla+Tabla_DOC[[#This Row],[N]]-1)="",G$2="",Tabla_DOC[[#This Row],[ENUNCIADO]]=""),"",
IF(Tipo_Cuestionario_Cod="EN",'Datos EN'!#REF!&amp;" "&amp;'Datos EN'!#REF!&amp;" "&amp;'Datos EN'!#REF!&amp;" "&amp;'Datos EN'!#REF!&amp;" "&amp;'Datos EN'!#REF!&amp;" "&amp;'Datos EN'!#REF!&amp;" "&amp;'Datos EN'!#REF!&amp;" "&amp;'Datos EN'!#REF!,
IF(Tipo_Cuestionario_Cod="RC",IF(G$1="H",'Datos RC'!#REF!&amp;" "&amp;'Datos RC'!#REF!&amp;" "&amp;'Datos RC'!#REF!&amp;" "&amp;'Datos RC'!#REF!&amp;" "&amp;'Datos RC'!#REF!&amp;" "&amp;'Datos RC'!#REF!&amp;" "&amp;'Datos RC'!#REF!&amp;" "&amp;'Datos RC'!#REF!,""),
G$2&amp;INDIRECT("'Datos "&amp;Tipo_Cuestionario_Cod&amp;"'!"&amp;G$1&amp;N_I_Tabla+Tabla_DOC[[#This Row],[N]]-1))))),"")</calculatedColumnFormula>
      <totalsRowFormula>IFERROR(IF(AND(Tipo_Cuestionario_Cod="VF",G$1="J"),G$2&amp;'Formulario VF'!$J$38,
IF(OR(INDIRECT("'Datos "&amp;Tipo_Cuestionario_Cod&amp;"'!"&amp;G$1&amp;N_I_Tabla+Tabla_DOC[[#This Row],[N]]-1)="",G$2="",Tabla_DOC[[#This Row],[ENUNCIADO]]=""),"",
IF(Tipo_Cuestionario_Cod="EN",'Datos EN'!#REF!&amp;" "&amp;'Datos EN'!#REF!&amp;" "&amp;'Datos EN'!#REF!&amp;" "&amp;'Datos EN'!#REF!&amp;" "&amp;'Datos EN'!#REF!&amp;" "&amp;'Datos EN'!#REF!&amp;" "&amp;'Datos EN'!#REF!&amp;" "&amp;'Datos EN'!#REF!,
IF(Tipo_Cuestionario_Cod="RC",IF(G$1="I",'Datos RC'!#REF!&amp;" "&amp;'Datos RC'!#REF!&amp;" "&amp;'Datos RC'!#REF!&amp;" "&amp;'Datos RC'!#REF!&amp;" "&amp;'Datos RC'!#REF!&amp;" "&amp;'Datos RC'!#REF!&amp;" "&amp;'Datos RC'!#REF!&amp;" "&amp;'Datos RC'!#REF!,""),
G$2&amp;INDIRECT("'Datos "&amp;Tipo_Cuestionario_Cod&amp;"'!"&amp;G$1&amp;N_I_Tabla+Tabla_DOC[[#This Row],[N]]-1))))),"")</totalsRowFormula>
    </tableColumn>
    <tableColumn id="8" name="6" totalsRowFunction="custom" dataDxfId="196" totalsRowDxfId="195">
      <calculatedColumnFormula>IFERROR(IF(AND(Tipo_Cuestionario_Cod="VF",H$1="I"),H$2&amp;IF(Tabla_DOC[[#This Row],[1]]=$C$2&amp;'Formulario VF'!$I$38,'Formulario VF'!$J$38,'Formulario VF'!$I$38),
IF(OR(INDIRECT("'Datos "&amp;Tipo_Cuestionario_Cod&amp;"'!"&amp;H$1&amp;N_I_Tabla+Tabla_DOC[[#This Row],[N]]-1)="",H$2="",Tabla_DOC[[#This Row],[ENUNCIADO]]=""),"",
IF(Tipo_Cuestionario_Cod="EN",'Datos EN'!#REF!&amp;" "&amp;'Datos EN'!#REF!&amp;" "&amp;'Datos EN'!#REF!&amp;" "&amp;'Datos EN'!#REF!&amp;" "&amp;'Datos EN'!#REF!&amp;" "&amp;'Datos EN'!#REF!&amp;" "&amp;'Datos EN'!#REF!&amp;" "&amp;'Datos EN'!#REF!,
IF(Tipo_Cuestionario_Cod="RC",IF(H$1="H",'Datos RC'!#REF!&amp;" "&amp;'Datos RC'!#REF!&amp;" "&amp;'Datos RC'!#REF!&amp;" "&amp;'Datos RC'!#REF!&amp;" "&amp;'Datos RC'!#REF!&amp;" "&amp;'Datos RC'!#REF!&amp;" "&amp;'Datos RC'!#REF!&amp;" "&amp;'Datos RC'!#REF!,""),
H$2&amp;INDIRECT("'Datos "&amp;Tipo_Cuestionario_Cod&amp;"'!"&amp;H$1&amp;N_I_Tabla+Tabla_DOC[[#This Row],[N]]-1))))),"")</calculatedColumnFormula>
      <totalsRowFormula>IFERROR(IF(AND(Tipo_Cuestionario_Cod="VF",H$1="J"),H$2&amp;'Formulario VF'!$J$38,
IF(OR(INDIRECT("'Datos "&amp;Tipo_Cuestionario_Cod&amp;"'!"&amp;H$1&amp;N_I_Tabla+Tabla_DOC[[#This Row],[N]]-1)="",H$2="",Tabla_DOC[[#This Row],[ENUNCIADO]]=""),"",
IF(Tipo_Cuestionario_Cod="EN",'Datos EN'!#REF!&amp;" "&amp;'Datos EN'!#REF!&amp;" "&amp;'Datos EN'!#REF!&amp;" "&amp;'Datos EN'!#REF!&amp;" "&amp;'Datos EN'!#REF!&amp;" "&amp;'Datos EN'!#REF!&amp;" "&amp;'Datos EN'!#REF!&amp;" "&amp;'Datos EN'!#REF!,
IF(Tipo_Cuestionario_Cod="RC",IF(H$1="I",'Datos RC'!#REF!&amp;" "&amp;'Datos RC'!#REF!&amp;" "&amp;'Datos RC'!#REF!&amp;" "&amp;'Datos RC'!#REF!&amp;" "&amp;'Datos RC'!#REF!&amp;" "&amp;'Datos RC'!#REF!&amp;" "&amp;'Datos RC'!#REF!&amp;" "&amp;'Datos RC'!#REF!,""),
H$2&amp;INDIRECT("'Datos "&amp;Tipo_Cuestionario_Cod&amp;"'!"&amp;H$1&amp;N_I_Tabla+Tabla_DOC[[#This Row],[N]]-1))))),"")</totalsRowFormula>
    </tableColumn>
    <tableColumn id="9" name="7" totalsRowFunction="custom" dataDxfId="194" totalsRowDxfId="193">
      <calculatedColumnFormula>IFERROR(IF(AND(Tipo_Cuestionario_Cod="VF",I$1="I"),I$2&amp;IF(Tabla_DOC[[#This Row],[1]]=$C$2&amp;'Formulario VF'!$I$38,'Formulario VF'!$J$38,'Formulario VF'!$I$38),
IF(OR(INDIRECT("'Datos "&amp;Tipo_Cuestionario_Cod&amp;"'!"&amp;I$1&amp;N_I_Tabla+Tabla_DOC[[#This Row],[N]]-1)="",I$2="",Tabla_DOC[[#This Row],[ENUNCIADO]]=""),"",
IF(Tipo_Cuestionario_Cod="EN",'Datos EN'!#REF!&amp;" "&amp;'Datos EN'!#REF!&amp;" "&amp;'Datos EN'!#REF!&amp;" "&amp;'Datos EN'!#REF!&amp;" "&amp;'Datos EN'!#REF!&amp;" "&amp;'Datos EN'!#REF!&amp;" "&amp;'Datos EN'!#REF!&amp;" "&amp;'Datos EN'!#REF!,
IF(Tipo_Cuestionario_Cod="RC",IF(I$1="H",'Datos RC'!#REF!&amp;" "&amp;'Datos RC'!#REF!&amp;" "&amp;'Datos RC'!#REF!&amp;" "&amp;'Datos RC'!#REF!&amp;" "&amp;'Datos RC'!#REF!&amp;" "&amp;'Datos RC'!#REF!&amp;" "&amp;'Datos RC'!#REF!&amp;" "&amp;'Datos RC'!#REF!,""),
I$2&amp;INDIRECT("'Datos "&amp;Tipo_Cuestionario_Cod&amp;"'!"&amp;I$1&amp;N_I_Tabla+Tabla_DOC[[#This Row],[N]]-1))))),"")</calculatedColumnFormula>
      <totalsRowFormula>IFERROR(IF(AND(Tipo_Cuestionario_Cod="VF",I$1="J"),I$2&amp;'Formulario VF'!$J$38,
IF(OR(INDIRECT("'Datos "&amp;Tipo_Cuestionario_Cod&amp;"'!"&amp;I$1&amp;N_I_Tabla+Tabla_DOC[[#This Row],[N]]-1)="",I$2="",Tabla_DOC[[#This Row],[ENUNCIADO]]=""),"",
IF(Tipo_Cuestionario_Cod="EN",'Datos EN'!#REF!&amp;" "&amp;'Datos EN'!#REF!&amp;" "&amp;'Datos EN'!#REF!&amp;" "&amp;'Datos EN'!#REF!&amp;" "&amp;'Datos EN'!#REF!&amp;" "&amp;'Datos EN'!#REF!&amp;" "&amp;'Datos EN'!#REF!&amp;" "&amp;'Datos EN'!#REF!,
IF(Tipo_Cuestionario_Cod="RC",IF(I$1="I",'Datos RC'!#REF!&amp;" "&amp;'Datos RC'!#REF!&amp;" "&amp;'Datos RC'!#REF!&amp;" "&amp;'Datos RC'!#REF!&amp;" "&amp;'Datos RC'!#REF!&amp;" "&amp;'Datos RC'!#REF!&amp;" "&amp;'Datos RC'!#REF!&amp;" "&amp;'Datos RC'!#REF!,""),
I$2&amp;INDIRECT("'Datos "&amp;Tipo_Cuestionario_Cod&amp;"'!"&amp;I$1&amp;N_I_Tabla+Tabla_DOC[[#This Row],[N]]-1))))),"")</totalsRowFormula>
    </tableColumn>
    <tableColumn id="10" name="8" totalsRowFunction="custom" dataDxfId="192" totalsRowDxfId="191">
      <calculatedColumnFormula>IFERROR(IF(AND(Tipo_Cuestionario_Cod="VF",J$1="I"),J$2&amp;IF(Tabla_DOC[[#This Row],[1]]=$C$2&amp;'Formulario VF'!$I$38,'Formulario VF'!$J$38,'Formulario VF'!$I$38),
IF(OR(INDIRECT("'Datos "&amp;Tipo_Cuestionario_Cod&amp;"'!"&amp;J$1&amp;N_I_Tabla+Tabla_DOC[[#This Row],[N]]-1)="",J$2="",Tabla_DOC[[#This Row],[ENUNCIADO]]=""),"",
IF(Tipo_Cuestionario_Cod="EN",'Datos EN'!#REF!&amp;" "&amp;'Datos EN'!#REF!&amp;" "&amp;'Datos EN'!#REF!&amp;" "&amp;'Datos EN'!#REF!&amp;" "&amp;'Datos EN'!#REF!&amp;" "&amp;'Datos EN'!#REF!&amp;" "&amp;'Datos EN'!#REF!&amp;" "&amp;'Datos EN'!#REF!,
IF(Tipo_Cuestionario_Cod="RC",IF(J$1="H",'Datos RC'!#REF!&amp;" "&amp;'Datos RC'!#REF!&amp;" "&amp;'Datos RC'!#REF!&amp;" "&amp;'Datos RC'!#REF!&amp;" "&amp;'Datos RC'!#REF!&amp;" "&amp;'Datos RC'!#REF!&amp;" "&amp;'Datos RC'!#REF!&amp;" "&amp;'Datos RC'!#REF!,""),
J$2&amp;INDIRECT("'Datos "&amp;Tipo_Cuestionario_Cod&amp;"'!"&amp;J$1&amp;N_I_Tabla+Tabla_DOC[[#This Row],[N]]-1))))),"")</calculatedColumnFormula>
      <totalsRowFormula>IFERROR(IF(AND(Tipo_Cuestionario_Cod="VF",J$1="J"),J$2&amp;'Formulario VF'!$J$38,
IF(OR(INDIRECT("'Datos "&amp;Tipo_Cuestionario_Cod&amp;"'!"&amp;J$1&amp;N_I_Tabla+Tabla_DOC[[#This Row],[N]]-1)="",J$2="",Tabla_DOC[[#This Row],[ENUNCIADO]]=""),"",
IF(Tipo_Cuestionario_Cod="EN",'Datos EN'!#REF!&amp;" "&amp;'Datos EN'!#REF!&amp;" "&amp;'Datos EN'!#REF!&amp;" "&amp;'Datos EN'!#REF!&amp;" "&amp;'Datos EN'!#REF!&amp;" "&amp;'Datos EN'!#REF!&amp;" "&amp;'Datos EN'!#REF!&amp;" "&amp;'Datos EN'!#REF!,
IF(Tipo_Cuestionario_Cod="RC",IF(J$1="I",'Datos RC'!#REF!&amp;" "&amp;'Datos RC'!#REF!&amp;" "&amp;'Datos RC'!#REF!&amp;" "&amp;'Datos RC'!#REF!&amp;" "&amp;'Datos RC'!#REF!&amp;" "&amp;'Datos RC'!#REF!&amp;" "&amp;'Datos RC'!#REF!&amp;" "&amp;'Datos RC'!#REF!,""),
J$2&amp;INDIRECT("'Datos "&amp;Tipo_Cuestionario_Cod&amp;"'!"&amp;J$1&amp;N_I_Tabla+Tabla_DOC[[#This Row],[N]]-1))))),"")</totalsRowFormula>
    </tableColumn>
    <tableColumn id="11" name="9" totalsRowFunction="custom" dataDxfId="190" totalsRowDxfId="189">
      <calculatedColumnFormula>IFERROR(IF(AND(Tipo_Cuestionario_Cod="VF",K$1="I"),K$2&amp;IF(Tabla_DOC[[#This Row],[1]]=$C$2&amp;'Formulario VF'!$I$38,'Formulario VF'!$J$38,'Formulario VF'!$I$38),
IF(OR(INDIRECT("'Datos "&amp;Tipo_Cuestionario_Cod&amp;"'!"&amp;K$1&amp;N_I_Tabla+Tabla_DOC[[#This Row],[N]]-1)="",K$2="",Tabla_DOC[[#This Row],[ENUNCIADO]]=""),"",
IF(Tipo_Cuestionario_Cod="EN",'Datos EN'!#REF!&amp;" "&amp;'Datos EN'!#REF!&amp;" "&amp;'Datos EN'!#REF!&amp;" "&amp;'Datos EN'!#REF!&amp;" "&amp;'Datos EN'!#REF!&amp;" "&amp;'Datos EN'!#REF!&amp;" "&amp;'Datos EN'!#REF!&amp;" "&amp;'Datos EN'!#REF!,
IF(Tipo_Cuestionario_Cod="RC",IF(K$1="H",'Datos RC'!#REF!&amp;" "&amp;'Datos RC'!#REF!&amp;" "&amp;'Datos RC'!#REF!&amp;" "&amp;'Datos RC'!#REF!&amp;" "&amp;'Datos RC'!#REF!&amp;" "&amp;'Datos RC'!#REF!&amp;" "&amp;'Datos RC'!#REF!&amp;" "&amp;'Datos RC'!#REF!,""),
K$2&amp;INDIRECT("'Datos "&amp;Tipo_Cuestionario_Cod&amp;"'!"&amp;K$1&amp;N_I_Tabla+Tabla_DOC[[#This Row],[N]]-1))))),"")</calculatedColumnFormula>
      <totalsRowFormula>IFERROR(IF(AND(Tipo_Cuestionario_Cod="VF",K$1="J"),K$2&amp;'Formulario VF'!$J$38,
IF(OR(INDIRECT("'Datos "&amp;Tipo_Cuestionario_Cod&amp;"'!"&amp;K$1&amp;N_I_Tabla+Tabla_DOC[[#This Row],[N]]-1)="",K$2="",Tabla_DOC[[#This Row],[ENUNCIADO]]=""),"",
IF(Tipo_Cuestionario_Cod="EN",'Datos EN'!#REF!&amp;" "&amp;'Datos EN'!#REF!&amp;" "&amp;'Datos EN'!#REF!&amp;" "&amp;'Datos EN'!#REF!&amp;" "&amp;'Datos EN'!#REF!&amp;" "&amp;'Datos EN'!#REF!&amp;" "&amp;'Datos EN'!#REF!&amp;" "&amp;'Datos EN'!#REF!,
IF(Tipo_Cuestionario_Cod="RC",IF(K$1="I",'Datos RC'!#REF!&amp;" "&amp;'Datos RC'!#REF!&amp;" "&amp;'Datos RC'!#REF!&amp;" "&amp;'Datos RC'!#REF!&amp;" "&amp;'Datos RC'!#REF!&amp;" "&amp;'Datos RC'!#REF!&amp;" "&amp;'Datos RC'!#REF!&amp;" "&amp;'Datos RC'!#REF!,""),
K$2&amp;INDIRECT("'Datos "&amp;Tipo_Cuestionario_Cod&amp;"'!"&amp;K$1&amp;N_I_Tabla+Tabla_DOC[[#This Row],[N]]-1))))),"")</totalsRowFormula>
    </tableColumn>
    <tableColumn id="12" name="10" totalsRowFunction="custom" dataDxfId="188" totalsRowDxfId="187">
      <calculatedColumnFormula>IFERROR(IF(AND(Tipo_Cuestionario_Cod="VF",L$1="I"),L$2&amp;IF(Tabla_DOC[[#This Row],[1]]=$C$2&amp;'Formulario VF'!$I$38,'Formulario VF'!$J$38,'Formulario VF'!$I$38),
IF(OR(INDIRECT("'Datos "&amp;Tipo_Cuestionario_Cod&amp;"'!"&amp;L$1&amp;N_I_Tabla+Tabla_DOC[[#This Row],[N]]-1)="",L$2="",Tabla_DOC[[#This Row],[ENUNCIADO]]=""),"",
IF(Tipo_Cuestionario_Cod="EN",'Datos EN'!#REF!&amp;" "&amp;'Datos EN'!#REF!&amp;" "&amp;'Datos EN'!#REF!&amp;" "&amp;'Datos EN'!#REF!&amp;" "&amp;'Datos EN'!#REF!&amp;" "&amp;'Datos EN'!#REF!&amp;" "&amp;'Datos EN'!#REF!&amp;" "&amp;'Datos EN'!#REF!,
IF(Tipo_Cuestionario_Cod="RC",IF(L$1="H",'Datos RC'!#REF!&amp;" "&amp;'Datos RC'!#REF!&amp;" "&amp;'Datos RC'!#REF!&amp;" "&amp;'Datos RC'!#REF!&amp;" "&amp;'Datos RC'!#REF!&amp;" "&amp;'Datos RC'!#REF!&amp;" "&amp;'Datos RC'!#REF!&amp;" "&amp;'Datos RC'!#REF!,""),
L$2&amp;INDIRECT("'Datos "&amp;Tipo_Cuestionario_Cod&amp;"'!"&amp;L$1&amp;N_I_Tabla+Tabla_DOC[[#This Row],[N]]-1))))),"")</calculatedColumnFormula>
      <totalsRowFormula>IFERROR(IF(AND(Tipo_Cuestionario_Cod="VF",L$1="J"),L$2&amp;'Formulario VF'!$J$38,
IF(OR(INDIRECT("'Datos "&amp;Tipo_Cuestionario_Cod&amp;"'!"&amp;L$1&amp;N_I_Tabla+Tabla_DOC[[#This Row],[N]]-1)="",L$2="",Tabla_DOC[[#This Row],[ENUNCIADO]]=""),"",
IF(Tipo_Cuestionario_Cod="EN",'Datos EN'!#REF!&amp;" "&amp;'Datos EN'!#REF!&amp;" "&amp;'Datos EN'!#REF!&amp;" "&amp;'Datos EN'!#REF!&amp;" "&amp;'Datos EN'!#REF!&amp;" "&amp;'Datos EN'!#REF!&amp;" "&amp;'Datos EN'!#REF!&amp;" "&amp;'Datos EN'!#REF!,
IF(Tipo_Cuestionario_Cod="RC",IF(L$1="I",'Datos RC'!#REF!&amp;" "&amp;'Datos RC'!#REF!&amp;" "&amp;'Datos RC'!#REF!&amp;" "&amp;'Datos RC'!#REF!&amp;" "&amp;'Datos RC'!#REF!&amp;" "&amp;'Datos RC'!#REF!&amp;" "&amp;'Datos RC'!#REF!&amp;" "&amp;'Datos RC'!#REF!,""),
L$2&amp;INDIRECT("'Datos "&amp;Tipo_Cuestionario_Cod&amp;"'!"&amp;L$1&amp;N_I_Tabla+Tabla_DOC[[#This Row],[N]]-1))))),"")</totalsRowFormula>
    </tableColumn>
    <tableColumn id="13" name="11" totalsRowFunction="custom" dataDxfId="186" totalsRowDxfId="185">
      <calculatedColumnFormula>IFERROR(IF(AND(Tipo_Cuestionario_Cod="VF",M$1="I"),M$2&amp;IF(Tabla_DOC[[#This Row],[1]]=$C$2&amp;'Formulario VF'!$I$38,'Formulario VF'!$J$38,'Formulario VF'!$I$38),
IF(OR(INDIRECT("'Datos "&amp;Tipo_Cuestionario_Cod&amp;"'!"&amp;M$1&amp;N_I_Tabla+Tabla_DOC[[#This Row],[N]]-1)="",M$2="",Tabla_DOC[[#This Row],[ENUNCIADO]]=""),"",
IF(Tipo_Cuestionario_Cod="EN",'Datos EN'!#REF!&amp;" "&amp;'Datos EN'!#REF!&amp;" "&amp;'Datos EN'!#REF!&amp;" "&amp;'Datos EN'!#REF!&amp;" "&amp;'Datos EN'!#REF!&amp;" "&amp;'Datos EN'!#REF!&amp;" "&amp;'Datos EN'!#REF!&amp;" "&amp;'Datos EN'!#REF!,
IF(Tipo_Cuestionario_Cod="RC",IF(M$1="H",'Datos RC'!#REF!&amp;" "&amp;'Datos RC'!#REF!&amp;" "&amp;'Datos RC'!#REF!&amp;" "&amp;'Datos RC'!#REF!&amp;" "&amp;'Datos RC'!#REF!&amp;" "&amp;'Datos RC'!#REF!&amp;" "&amp;'Datos RC'!#REF!&amp;" "&amp;'Datos RC'!#REF!,""),
M$2&amp;INDIRECT("'Datos "&amp;Tipo_Cuestionario_Cod&amp;"'!"&amp;M$1&amp;N_I_Tabla+Tabla_DOC[[#This Row],[N]]-1))))),"")</calculatedColumnFormula>
      <totalsRowFormula>IFERROR(IF(AND(Tipo_Cuestionario_Cod="VF",M$1="J"),M$2&amp;'Formulario VF'!$J$38,
IF(OR(INDIRECT("'Datos "&amp;Tipo_Cuestionario_Cod&amp;"'!"&amp;M$1&amp;N_I_Tabla+Tabla_DOC[[#This Row],[N]]-1)="",M$2="",Tabla_DOC[[#This Row],[ENUNCIADO]]=""),"",
IF(Tipo_Cuestionario_Cod="EN",'Datos EN'!#REF!&amp;" "&amp;'Datos EN'!#REF!&amp;" "&amp;'Datos EN'!#REF!&amp;" "&amp;'Datos EN'!#REF!&amp;" "&amp;'Datos EN'!#REF!&amp;" "&amp;'Datos EN'!#REF!&amp;" "&amp;'Datos EN'!#REF!&amp;" "&amp;'Datos EN'!#REF!,
IF(Tipo_Cuestionario_Cod="RC",IF(M$1="I",'Datos RC'!#REF!&amp;" "&amp;'Datos RC'!#REF!&amp;" "&amp;'Datos RC'!#REF!&amp;" "&amp;'Datos RC'!#REF!&amp;" "&amp;'Datos RC'!#REF!&amp;" "&amp;'Datos RC'!#REF!&amp;" "&amp;'Datos RC'!#REF!&amp;" "&amp;'Datos RC'!#REF!,""),
M$2&amp;INDIRECT("'Datos "&amp;Tipo_Cuestionario_Cod&amp;"'!"&amp;M$1&amp;N_I_Tabla+Tabla_DOC[[#This Row],[N]]-1))))),"")</totalsRowFormula>
    </tableColumn>
    <tableColumn id="14" name="12" totalsRowFunction="custom" dataDxfId="184" totalsRowDxfId="183">
      <calculatedColumnFormula>IFERROR(IF(AND(Tipo_Cuestionario_Cod="VF",N$1="I"),N$2&amp;IF(Tabla_DOC[[#This Row],[1]]=$C$2&amp;'Formulario VF'!$I$38,'Formulario VF'!$J$38,'Formulario VF'!$I$38),
IF(OR(INDIRECT("'Datos "&amp;Tipo_Cuestionario_Cod&amp;"'!"&amp;N$1&amp;N_I_Tabla+Tabla_DOC[[#This Row],[N]]-1)="",N$2="",Tabla_DOC[[#This Row],[ENUNCIADO]]=""),"",
IF(Tipo_Cuestionario_Cod="EN",'Datos EN'!#REF!&amp;" "&amp;'Datos EN'!#REF!&amp;" "&amp;'Datos EN'!#REF!&amp;" "&amp;'Datos EN'!#REF!&amp;" "&amp;'Datos EN'!#REF!&amp;" "&amp;'Datos EN'!#REF!&amp;" "&amp;'Datos EN'!#REF!&amp;" "&amp;'Datos EN'!#REF!,
IF(Tipo_Cuestionario_Cod="RC",IF(N$1="H",'Datos RC'!#REF!&amp;" "&amp;'Datos RC'!#REF!&amp;" "&amp;'Datos RC'!#REF!&amp;" "&amp;'Datos RC'!#REF!&amp;" "&amp;'Datos RC'!#REF!&amp;" "&amp;'Datos RC'!#REF!&amp;" "&amp;'Datos RC'!#REF!&amp;" "&amp;'Datos RC'!#REF!,""),
N$2&amp;INDIRECT("'Datos "&amp;Tipo_Cuestionario_Cod&amp;"'!"&amp;N$1&amp;N_I_Tabla+Tabla_DOC[[#This Row],[N]]-1))))),"")</calculatedColumnFormula>
      <totalsRowFormula>IFERROR(IF(AND(Tipo_Cuestionario_Cod="VF",N$1="J"),N$2&amp;'Formulario VF'!$J$38,
IF(OR(INDIRECT("'Datos "&amp;Tipo_Cuestionario_Cod&amp;"'!"&amp;N$1&amp;N_I_Tabla+Tabla_DOC[[#This Row],[N]]-1)="",N$2="",Tabla_DOC[[#This Row],[ENUNCIADO]]=""),"",
IF(Tipo_Cuestionario_Cod="EN",'Datos EN'!#REF!&amp;" "&amp;'Datos EN'!#REF!&amp;" "&amp;'Datos EN'!#REF!&amp;" "&amp;'Datos EN'!#REF!&amp;" "&amp;'Datos EN'!#REF!&amp;" "&amp;'Datos EN'!#REF!&amp;" "&amp;'Datos EN'!#REF!&amp;" "&amp;'Datos EN'!#REF!,
IF(Tipo_Cuestionario_Cod="RC",IF(N$1="I",'Datos RC'!#REF!&amp;" "&amp;'Datos RC'!#REF!&amp;" "&amp;'Datos RC'!#REF!&amp;" "&amp;'Datos RC'!#REF!&amp;" "&amp;'Datos RC'!#REF!&amp;" "&amp;'Datos RC'!#REF!&amp;" "&amp;'Datos RC'!#REF!&amp;" "&amp;'Datos RC'!#REF!,""),
N$2&amp;INDIRECT("'Datos "&amp;Tipo_Cuestionario_Cod&amp;"'!"&amp;N$1&amp;N_I_Tabla+Tabla_DOC[[#This Row],[N]]-1))))),"")</totalsRowFormula>
    </tableColumn>
    <tableColumn id="15" name="13" totalsRowFunction="custom" dataDxfId="182" totalsRowDxfId="181">
      <calculatedColumnFormula>IFERROR(IF(AND(Tipo_Cuestionario_Cod="VF",O$1="I"),O$2&amp;IF(Tabla_DOC[[#This Row],[1]]=$C$2&amp;'Formulario VF'!$I$38,'Formulario VF'!$J$38,'Formulario VF'!$I$38),
IF(OR(INDIRECT("'Datos "&amp;Tipo_Cuestionario_Cod&amp;"'!"&amp;O$1&amp;N_I_Tabla+Tabla_DOC[[#This Row],[N]]-1)="",O$2="",Tabla_DOC[[#This Row],[ENUNCIADO]]=""),"",
IF(Tipo_Cuestionario_Cod="EN",'Datos EN'!#REF!&amp;" "&amp;'Datos EN'!#REF!&amp;" "&amp;'Datos EN'!#REF!&amp;" "&amp;'Datos EN'!#REF!&amp;" "&amp;'Datos EN'!#REF!&amp;" "&amp;'Datos EN'!#REF!&amp;" "&amp;'Datos EN'!#REF!&amp;" "&amp;'Datos EN'!#REF!,
IF(Tipo_Cuestionario_Cod="RC",IF(O$1="H",'Datos RC'!#REF!&amp;" "&amp;'Datos RC'!#REF!&amp;" "&amp;'Datos RC'!#REF!&amp;" "&amp;'Datos RC'!#REF!&amp;" "&amp;'Datos RC'!#REF!&amp;" "&amp;'Datos RC'!#REF!&amp;" "&amp;'Datos RC'!#REF!&amp;" "&amp;'Datos RC'!#REF!,""),
O$2&amp;INDIRECT("'Datos "&amp;Tipo_Cuestionario_Cod&amp;"'!"&amp;O$1&amp;N_I_Tabla+Tabla_DOC[[#This Row],[N]]-1))))),"")</calculatedColumnFormula>
      <totalsRowFormula>IFERROR(IF(AND(Tipo_Cuestionario_Cod="VF",O$1="J"),O$2&amp;'Formulario VF'!$J$38,
IF(OR(INDIRECT("'Datos "&amp;Tipo_Cuestionario_Cod&amp;"'!"&amp;O$1&amp;N_I_Tabla+Tabla_DOC[[#This Row],[N]]-1)="",O$2="",Tabla_DOC[[#This Row],[ENUNCIADO]]=""),"",
IF(Tipo_Cuestionario_Cod="EN",'Datos EN'!#REF!&amp;" "&amp;'Datos EN'!#REF!&amp;" "&amp;'Datos EN'!#REF!&amp;" "&amp;'Datos EN'!#REF!&amp;" "&amp;'Datos EN'!#REF!&amp;" "&amp;'Datos EN'!#REF!&amp;" "&amp;'Datos EN'!#REF!&amp;" "&amp;'Datos EN'!#REF!,
IF(Tipo_Cuestionario_Cod="RC",IF(O$1="I",'Datos RC'!#REF!&amp;" "&amp;'Datos RC'!#REF!&amp;" "&amp;'Datos RC'!#REF!&amp;" "&amp;'Datos RC'!#REF!&amp;" "&amp;'Datos RC'!#REF!&amp;" "&amp;'Datos RC'!#REF!&amp;" "&amp;'Datos RC'!#REF!&amp;" "&amp;'Datos RC'!#REF!,""),
O$2&amp;INDIRECT("'Datos "&amp;Tipo_Cuestionario_Cod&amp;"'!"&amp;O$1&amp;N_I_Tabla+Tabla_DOC[[#This Row],[N]]-1))))),"")</totalsRowFormula>
    </tableColumn>
    <tableColumn id="16" name="14" totalsRowFunction="custom" dataDxfId="180" totalsRowDxfId="179">
      <calculatedColumnFormula>IFERROR(IF(AND(Tipo_Cuestionario_Cod="VF",P$1="I"),P$2&amp;IF(Tabla_DOC[[#This Row],[1]]=$C$2&amp;'Formulario VF'!$I$38,'Formulario VF'!$J$38,'Formulario VF'!$I$38),
IF(OR(INDIRECT("'Datos "&amp;Tipo_Cuestionario_Cod&amp;"'!"&amp;P$1&amp;N_I_Tabla+Tabla_DOC[[#This Row],[N]]-1)="",P$2="",Tabla_DOC[[#This Row],[ENUNCIADO]]=""),"",
IF(Tipo_Cuestionario_Cod="EN",'Datos EN'!#REF!&amp;" "&amp;'Datos EN'!#REF!&amp;" "&amp;'Datos EN'!#REF!&amp;" "&amp;'Datos EN'!#REF!&amp;" "&amp;'Datos EN'!#REF!&amp;" "&amp;'Datos EN'!#REF!&amp;" "&amp;'Datos EN'!#REF!&amp;" "&amp;'Datos EN'!#REF!,
IF(Tipo_Cuestionario_Cod="RC",IF(P$1="H",'Datos RC'!#REF!&amp;" "&amp;'Datos RC'!#REF!&amp;" "&amp;'Datos RC'!#REF!&amp;" "&amp;'Datos RC'!#REF!&amp;" "&amp;'Datos RC'!#REF!&amp;" "&amp;'Datos RC'!#REF!&amp;" "&amp;'Datos RC'!#REF!&amp;" "&amp;'Datos RC'!#REF!,""),
P$2&amp;INDIRECT("'Datos "&amp;Tipo_Cuestionario_Cod&amp;"'!"&amp;P$1&amp;N_I_Tabla+Tabla_DOC[[#This Row],[N]]-1))))),"")</calculatedColumnFormula>
      <totalsRowFormula>IFERROR(IF(AND(Tipo_Cuestionario_Cod="VF",P$1="J"),P$2&amp;'Formulario VF'!$J$38,
IF(OR(INDIRECT("'Datos "&amp;Tipo_Cuestionario_Cod&amp;"'!"&amp;P$1&amp;N_I_Tabla+Tabla_DOC[[#This Row],[N]]-1)="",P$2="",Tabla_DOC[[#This Row],[ENUNCIADO]]=""),"",
IF(Tipo_Cuestionario_Cod="EN",'Datos EN'!#REF!&amp;" "&amp;'Datos EN'!#REF!&amp;" "&amp;'Datos EN'!#REF!&amp;" "&amp;'Datos EN'!#REF!&amp;" "&amp;'Datos EN'!#REF!&amp;" "&amp;'Datos EN'!#REF!&amp;" "&amp;'Datos EN'!#REF!&amp;" "&amp;'Datos EN'!#REF!,
IF(Tipo_Cuestionario_Cod="RC",IF(P$1="I",'Datos RC'!#REF!&amp;" "&amp;'Datos RC'!#REF!&amp;" "&amp;'Datos RC'!#REF!&amp;" "&amp;'Datos RC'!#REF!&amp;" "&amp;'Datos RC'!#REF!&amp;" "&amp;'Datos RC'!#REF!&amp;" "&amp;'Datos RC'!#REF!&amp;" "&amp;'Datos RC'!#REF!,""),
P$2&amp;INDIRECT("'Datos "&amp;Tipo_Cuestionario_Cod&amp;"'!"&amp;P$1&amp;N_I_Tabla+Tabla_DOC[[#This Row],[N]]-1))))),"")</totalsRowFormula>
    </tableColumn>
    <tableColumn id="17" name="15" totalsRowFunction="custom" dataDxfId="178" totalsRowDxfId="177">
      <calculatedColumnFormula>IFERROR(IF(AND(Tipo_Cuestionario_Cod="VF",Q$1="I"),Q$2&amp;IF(Tabla_DOC[[#This Row],[1]]=$C$2&amp;'Formulario VF'!$I$38,'Formulario VF'!$J$38,'Formulario VF'!$I$38),
IF(OR(INDIRECT("'Datos "&amp;Tipo_Cuestionario_Cod&amp;"'!"&amp;Q$1&amp;N_I_Tabla+Tabla_DOC[[#This Row],[N]]-1)="",Q$2="",Tabla_DOC[[#This Row],[ENUNCIADO]]=""),"",
IF(Tipo_Cuestionario_Cod="EN",'Datos EN'!#REF!&amp;" "&amp;'Datos EN'!#REF!&amp;" "&amp;'Datos EN'!#REF!&amp;" "&amp;'Datos EN'!#REF!&amp;" "&amp;'Datos EN'!#REF!&amp;" "&amp;'Datos EN'!#REF!&amp;" "&amp;'Datos EN'!#REF!&amp;" "&amp;'Datos EN'!#REF!,
IF(Tipo_Cuestionario_Cod="RC",IF(Q$1="H",'Datos RC'!#REF!&amp;" "&amp;'Datos RC'!#REF!&amp;" "&amp;'Datos RC'!#REF!&amp;" "&amp;'Datos RC'!#REF!&amp;" "&amp;'Datos RC'!#REF!&amp;" "&amp;'Datos RC'!#REF!&amp;" "&amp;'Datos RC'!#REF!&amp;" "&amp;'Datos RC'!#REF!,""),
Q$2&amp;INDIRECT("'Datos "&amp;Tipo_Cuestionario_Cod&amp;"'!"&amp;Q$1&amp;N_I_Tabla+Tabla_DOC[[#This Row],[N]]-1))))),"")</calculatedColumnFormula>
      <totalsRowFormula>IFERROR(IF(AND(Tipo_Cuestionario_Cod="VF",Q$1="J"),Q$2&amp;'Formulario VF'!$J$38,
IF(OR(INDIRECT("'Datos "&amp;Tipo_Cuestionario_Cod&amp;"'!"&amp;Q$1&amp;N_I_Tabla+Tabla_DOC[[#This Row],[N]]-1)="",Q$2="",Tabla_DOC[[#This Row],[ENUNCIADO]]=""),"",
IF(Tipo_Cuestionario_Cod="EN",'Datos EN'!#REF!&amp;" "&amp;'Datos EN'!#REF!&amp;" "&amp;'Datos EN'!#REF!&amp;" "&amp;'Datos EN'!#REF!&amp;" "&amp;'Datos EN'!#REF!&amp;" "&amp;'Datos EN'!#REF!&amp;" "&amp;'Datos EN'!#REF!&amp;" "&amp;'Datos EN'!#REF!,
IF(Tipo_Cuestionario_Cod="RC",IF(Q$1="I",'Datos RC'!#REF!&amp;" "&amp;'Datos RC'!#REF!&amp;" "&amp;'Datos RC'!#REF!&amp;" "&amp;'Datos RC'!#REF!&amp;" "&amp;'Datos RC'!#REF!&amp;" "&amp;'Datos RC'!#REF!&amp;" "&amp;'Datos RC'!#REF!&amp;" "&amp;'Datos RC'!#REF!,""),
Q$2&amp;INDIRECT("'Datos "&amp;Tipo_Cuestionario_Cod&amp;"'!"&amp;Q$1&amp;N_I_Tabla+Tabla_DOC[[#This Row],[N]]-1))))),"")</totalsRowFormula>
    </tableColumn>
    <tableColumn id="18" name="16" totalsRowFunction="custom" dataDxfId="176" totalsRowDxfId="175">
      <calculatedColumnFormula>IFERROR(IF(AND(Tipo_Cuestionario_Cod="VF",R$1="I"),R$2&amp;IF(Tabla_DOC[[#This Row],[1]]=$C$2&amp;'Formulario VF'!$I$38,'Formulario VF'!$J$38,'Formulario VF'!$I$38),
IF(OR(INDIRECT("'Datos "&amp;Tipo_Cuestionario_Cod&amp;"'!"&amp;R$1&amp;N_I_Tabla+Tabla_DOC[[#This Row],[N]]-1)="",R$2="",Tabla_DOC[[#This Row],[ENUNCIADO]]=""),"",
IF(Tipo_Cuestionario_Cod="EN",'Datos EN'!#REF!&amp;" "&amp;'Datos EN'!#REF!&amp;" "&amp;'Datos EN'!#REF!&amp;" "&amp;'Datos EN'!#REF!&amp;" "&amp;'Datos EN'!#REF!&amp;" "&amp;'Datos EN'!#REF!&amp;" "&amp;'Datos EN'!#REF!&amp;" "&amp;'Datos EN'!#REF!,
IF(Tipo_Cuestionario_Cod="RC",IF(R$1="H",'Datos RC'!#REF!&amp;" "&amp;'Datos RC'!#REF!&amp;" "&amp;'Datos RC'!#REF!&amp;" "&amp;'Datos RC'!#REF!&amp;" "&amp;'Datos RC'!#REF!&amp;" "&amp;'Datos RC'!#REF!&amp;" "&amp;'Datos RC'!#REF!&amp;" "&amp;'Datos RC'!#REF!,""),
R$2&amp;INDIRECT("'Datos "&amp;Tipo_Cuestionario_Cod&amp;"'!"&amp;R$1&amp;N_I_Tabla+Tabla_DOC[[#This Row],[N]]-1))))),"")</calculatedColumnFormula>
      <totalsRowFormula>IFERROR(IF(AND(Tipo_Cuestionario_Cod="VF",R$1="J"),R$2&amp;'Formulario VF'!$J$38,
IF(OR(INDIRECT("'Datos "&amp;Tipo_Cuestionario_Cod&amp;"'!"&amp;R$1&amp;N_I_Tabla+Tabla_DOC[[#This Row],[N]]-1)="",R$2="",Tabla_DOC[[#This Row],[ENUNCIADO]]=""),"",
IF(Tipo_Cuestionario_Cod="EN",'Datos EN'!#REF!&amp;" "&amp;'Datos EN'!#REF!&amp;" "&amp;'Datos EN'!#REF!&amp;" "&amp;'Datos EN'!#REF!&amp;" "&amp;'Datos EN'!#REF!&amp;" "&amp;'Datos EN'!#REF!&amp;" "&amp;'Datos EN'!#REF!&amp;" "&amp;'Datos EN'!#REF!,
IF(Tipo_Cuestionario_Cod="RC",IF(R$1="I",'Datos RC'!#REF!&amp;" "&amp;'Datos RC'!#REF!&amp;" "&amp;'Datos RC'!#REF!&amp;" "&amp;'Datos RC'!#REF!&amp;" "&amp;'Datos RC'!#REF!&amp;" "&amp;'Datos RC'!#REF!&amp;" "&amp;'Datos RC'!#REF!&amp;" "&amp;'Datos RC'!#REF!,""),
R$2&amp;INDIRECT("'Datos "&amp;Tipo_Cuestionario_Cod&amp;"'!"&amp;R$1&amp;N_I_Tabla+Tabla_DOC[[#This Row],[N]]-1))))),"")</totalsRowFormula>
    </tableColumn>
    <tableColumn id="19" name="17" totalsRowFunction="custom" dataDxfId="174" totalsRowDxfId="173">
      <calculatedColumnFormula>IFERROR(IF(AND(Tipo_Cuestionario_Cod="VF",S$1="I"),S$2&amp;IF(Tabla_DOC[[#This Row],[1]]=$C$2&amp;'Formulario VF'!$I$38,'Formulario VF'!$J$38,'Formulario VF'!$I$38),
IF(OR(INDIRECT("'Datos "&amp;Tipo_Cuestionario_Cod&amp;"'!"&amp;S$1&amp;N_I_Tabla+Tabla_DOC[[#This Row],[N]]-1)="",S$2="",Tabla_DOC[[#This Row],[ENUNCIADO]]=""),"",
IF(Tipo_Cuestionario_Cod="EN",'Datos EN'!#REF!&amp;" "&amp;'Datos EN'!#REF!&amp;" "&amp;'Datos EN'!#REF!&amp;" "&amp;'Datos EN'!#REF!&amp;" "&amp;'Datos EN'!#REF!&amp;" "&amp;'Datos EN'!#REF!&amp;" "&amp;'Datos EN'!#REF!&amp;" "&amp;'Datos EN'!#REF!,
IF(Tipo_Cuestionario_Cod="RC",IF(S$1="H",'Datos RC'!#REF!&amp;" "&amp;'Datos RC'!#REF!&amp;" "&amp;'Datos RC'!#REF!&amp;" "&amp;'Datos RC'!#REF!&amp;" "&amp;'Datos RC'!#REF!&amp;" "&amp;'Datos RC'!#REF!&amp;" "&amp;'Datos RC'!#REF!&amp;" "&amp;'Datos RC'!#REF!,""),
S$2&amp;INDIRECT("'Datos "&amp;Tipo_Cuestionario_Cod&amp;"'!"&amp;S$1&amp;N_I_Tabla+Tabla_DOC[[#This Row],[N]]-1))))),"")</calculatedColumnFormula>
      <totalsRowFormula>IFERROR(IF(AND(Tipo_Cuestionario_Cod="VF",S$1="J"),S$2&amp;'Formulario VF'!$J$38,
IF(OR(INDIRECT("'Datos "&amp;Tipo_Cuestionario_Cod&amp;"'!"&amp;S$1&amp;N_I_Tabla+Tabla_DOC[[#This Row],[N]]-1)="",S$2="",Tabla_DOC[[#This Row],[ENUNCIADO]]=""),"",
IF(Tipo_Cuestionario_Cod="EN",'Datos EN'!#REF!&amp;" "&amp;'Datos EN'!#REF!&amp;" "&amp;'Datos EN'!#REF!&amp;" "&amp;'Datos EN'!#REF!&amp;" "&amp;'Datos EN'!#REF!&amp;" "&amp;'Datos EN'!#REF!&amp;" "&amp;'Datos EN'!#REF!&amp;" "&amp;'Datos EN'!#REF!,
IF(Tipo_Cuestionario_Cod="RC",IF(S$1="I",'Datos RC'!#REF!&amp;" "&amp;'Datos RC'!#REF!&amp;" "&amp;'Datos RC'!#REF!&amp;" "&amp;'Datos RC'!#REF!&amp;" "&amp;'Datos RC'!#REF!&amp;" "&amp;'Datos RC'!#REF!&amp;" "&amp;'Datos RC'!#REF!&amp;" "&amp;'Datos RC'!#REF!,""),
S$2&amp;INDIRECT("'Datos "&amp;Tipo_Cuestionario_Cod&amp;"'!"&amp;S$1&amp;N_I_Tabla+Tabla_DOC[[#This Row],[N]]-1))))),"")</totalsRowFormula>
    </tableColumn>
    <tableColumn id="20" name="18" totalsRowFunction="custom" dataDxfId="172" totalsRowDxfId="171">
      <calculatedColumnFormula>IFERROR(IF(AND(Tipo_Cuestionario_Cod="VF",T$1="I"),T$2&amp;IF(Tabla_DOC[[#This Row],[1]]=$C$2&amp;'Formulario VF'!$I$38,'Formulario VF'!$J$38,'Formulario VF'!$I$38),
IF(OR(INDIRECT("'Datos "&amp;Tipo_Cuestionario_Cod&amp;"'!"&amp;T$1&amp;N_I_Tabla+Tabla_DOC[[#This Row],[N]]-1)="",T$2="",Tabla_DOC[[#This Row],[ENUNCIADO]]=""),"",
IF(Tipo_Cuestionario_Cod="EN",'Datos EN'!#REF!&amp;" "&amp;'Datos EN'!#REF!&amp;" "&amp;'Datos EN'!#REF!&amp;" "&amp;'Datos EN'!#REF!&amp;" "&amp;'Datos EN'!#REF!&amp;" "&amp;'Datos EN'!#REF!&amp;" "&amp;'Datos EN'!#REF!&amp;" "&amp;'Datos EN'!#REF!,
IF(Tipo_Cuestionario_Cod="RC",IF(T$1="H",'Datos RC'!#REF!&amp;" "&amp;'Datos RC'!#REF!&amp;" "&amp;'Datos RC'!#REF!&amp;" "&amp;'Datos RC'!#REF!&amp;" "&amp;'Datos RC'!#REF!&amp;" "&amp;'Datos RC'!#REF!&amp;" "&amp;'Datos RC'!#REF!&amp;" "&amp;'Datos RC'!#REF!,""),
T$2&amp;INDIRECT("'Datos "&amp;Tipo_Cuestionario_Cod&amp;"'!"&amp;T$1&amp;N_I_Tabla+Tabla_DOC[[#This Row],[N]]-1))))),"")</calculatedColumnFormula>
      <totalsRowFormula>IFERROR(IF(AND(Tipo_Cuestionario_Cod="VF",T$1="J"),T$2&amp;'Formulario VF'!$J$38,
IF(OR(INDIRECT("'Datos "&amp;Tipo_Cuestionario_Cod&amp;"'!"&amp;T$1&amp;N_I_Tabla+Tabla_DOC[[#This Row],[N]]-1)="",T$2="",Tabla_DOC[[#This Row],[ENUNCIADO]]=""),"",
IF(Tipo_Cuestionario_Cod="EN",'Datos EN'!#REF!&amp;" "&amp;'Datos EN'!#REF!&amp;" "&amp;'Datos EN'!#REF!&amp;" "&amp;'Datos EN'!#REF!&amp;" "&amp;'Datos EN'!#REF!&amp;" "&amp;'Datos EN'!#REF!&amp;" "&amp;'Datos EN'!#REF!&amp;" "&amp;'Datos EN'!#REF!,
IF(Tipo_Cuestionario_Cod="RC",IF(T$1="I",'Datos RC'!#REF!&amp;" "&amp;'Datos RC'!#REF!&amp;" "&amp;'Datos RC'!#REF!&amp;" "&amp;'Datos RC'!#REF!&amp;" "&amp;'Datos RC'!#REF!&amp;" "&amp;'Datos RC'!#REF!&amp;" "&amp;'Datos RC'!#REF!&amp;" "&amp;'Datos RC'!#REF!,""),
T$2&amp;INDIRECT("'Datos "&amp;Tipo_Cuestionario_Cod&amp;"'!"&amp;T$1&amp;N_I_Tabla+Tabla_DOC[[#This Row],[N]]-1))))),"")</totalsRowFormula>
    </tableColumn>
    <tableColumn id="21" name="19" totalsRowFunction="custom" dataDxfId="170" totalsRowDxfId="169">
      <calculatedColumnFormula>IFERROR(IF(AND(Tipo_Cuestionario_Cod="VF",U$1="I"),U$2&amp;IF(Tabla_DOC[[#This Row],[1]]=$C$2&amp;'Formulario VF'!$I$38,'Formulario VF'!$J$38,'Formulario VF'!$I$38),
IF(OR(INDIRECT("'Datos "&amp;Tipo_Cuestionario_Cod&amp;"'!"&amp;U$1&amp;N_I_Tabla+Tabla_DOC[[#This Row],[N]]-1)="",U$2="",Tabla_DOC[[#This Row],[ENUNCIADO]]=""),"",
IF(Tipo_Cuestionario_Cod="EN",'Datos EN'!#REF!&amp;" "&amp;'Datos EN'!#REF!&amp;" "&amp;'Datos EN'!#REF!&amp;" "&amp;'Datos EN'!#REF!&amp;" "&amp;'Datos EN'!#REF!&amp;" "&amp;'Datos EN'!#REF!&amp;" "&amp;'Datos EN'!#REF!&amp;" "&amp;'Datos EN'!#REF!,
IF(Tipo_Cuestionario_Cod="RC",IF(U$1="H",'Datos RC'!#REF!&amp;" "&amp;'Datos RC'!#REF!&amp;" "&amp;'Datos RC'!#REF!&amp;" "&amp;'Datos RC'!#REF!&amp;" "&amp;'Datos RC'!#REF!&amp;" "&amp;'Datos RC'!#REF!&amp;" "&amp;'Datos RC'!#REF!&amp;" "&amp;'Datos RC'!#REF!,""),
U$2&amp;INDIRECT("'Datos "&amp;Tipo_Cuestionario_Cod&amp;"'!"&amp;U$1&amp;N_I_Tabla+Tabla_DOC[[#This Row],[N]]-1))))),"")</calculatedColumnFormula>
      <totalsRowFormula>IFERROR(IF(AND(Tipo_Cuestionario_Cod="VF",U$1="J"),U$2&amp;'Formulario VF'!$J$38,
IF(OR(INDIRECT("'Datos "&amp;Tipo_Cuestionario_Cod&amp;"'!"&amp;U$1&amp;N_I_Tabla+Tabla_DOC[[#This Row],[N]]-1)="",U$2="",Tabla_DOC[[#This Row],[ENUNCIADO]]=""),"",
IF(Tipo_Cuestionario_Cod="EN",'Datos EN'!#REF!&amp;" "&amp;'Datos EN'!#REF!&amp;" "&amp;'Datos EN'!#REF!&amp;" "&amp;'Datos EN'!#REF!&amp;" "&amp;'Datos EN'!#REF!&amp;" "&amp;'Datos EN'!#REF!&amp;" "&amp;'Datos EN'!#REF!&amp;" "&amp;'Datos EN'!#REF!,
IF(Tipo_Cuestionario_Cod="RC",IF(U$1="I",'Datos RC'!#REF!&amp;" "&amp;'Datos RC'!#REF!&amp;" "&amp;'Datos RC'!#REF!&amp;" "&amp;'Datos RC'!#REF!&amp;" "&amp;'Datos RC'!#REF!&amp;" "&amp;'Datos RC'!#REF!&amp;" "&amp;'Datos RC'!#REF!&amp;" "&amp;'Datos RC'!#REF!,""),
U$2&amp;INDIRECT("'Datos "&amp;Tipo_Cuestionario_Cod&amp;"'!"&amp;U$1&amp;N_I_Tabla+Tabla_DOC[[#This Row],[N]]-1))))),"")</totalsRowFormula>
    </tableColumn>
    <tableColumn id="22" name="20" totalsRowFunction="custom" dataDxfId="168" totalsRowDxfId="167">
      <calculatedColumnFormula>IFERROR(IF(AND(Tipo_Cuestionario_Cod="VF",V$1="I"),V$2&amp;IF(Tabla_DOC[[#This Row],[1]]=$C$2&amp;'Formulario VF'!$I$38,'Formulario VF'!$J$38,'Formulario VF'!$I$38),
IF(OR(INDIRECT("'Datos "&amp;Tipo_Cuestionario_Cod&amp;"'!"&amp;V$1&amp;N_I_Tabla+Tabla_DOC[[#This Row],[N]]-1)="",V$2="",Tabla_DOC[[#This Row],[ENUNCIADO]]=""),"",
IF(Tipo_Cuestionario_Cod="EN",'Datos EN'!#REF!&amp;" "&amp;'Datos EN'!#REF!&amp;" "&amp;'Datos EN'!#REF!&amp;" "&amp;'Datos EN'!#REF!&amp;" "&amp;'Datos EN'!#REF!&amp;" "&amp;'Datos EN'!#REF!&amp;" "&amp;'Datos EN'!#REF!&amp;" "&amp;'Datos EN'!#REF!,
IF(Tipo_Cuestionario_Cod="RC",IF(V$1="H",'Datos RC'!#REF!&amp;" "&amp;'Datos RC'!#REF!&amp;" "&amp;'Datos RC'!#REF!&amp;" "&amp;'Datos RC'!#REF!&amp;" "&amp;'Datos RC'!#REF!&amp;" "&amp;'Datos RC'!#REF!&amp;" "&amp;'Datos RC'!#REF!&amp;" "&amp;'Datos RC'!#REF!,""),
V$2&amp;INDIRECT("'Datos "&amp;Tipo_Cuestionario_Cod&amp;"'!"&amp;V$1&amp;N_I_Tabla+Tabla_DOC[[#This Row],[N]]-1))))),"")</calculatedColumnFormula>
      <totalsRowFormula>IFERROR(IF(AND(Tipo_Cuestionario_Cod="VF",V$1="J"),V$2&amp;'Formulario VF'!$J$38,
IF(OR(INDIRECT("'Datos "&amp;Tipo_Cuestionario_Cod&amp;"'!"&amp;V$1&amp;N_I_Tabla+Tabla_DOC[[#This Row],[N]]-1)="",V$2="",Tabla_DOC[[#This Row],[ENUNCIADO]]=""),"",
IF(Tipo_Cuestionario_Cod="EN",'Datos EN'!#REF!&amp;" "&amp;'Datos EN'!#REF!&amp;" "&amp;'Datos EN'!#REF!&amp;" "&amp;'Datos EN'!#REF!&amp;" "&amp;'Datos EN'!#REF!&amp;" "&amp;'Datos EN'!#REF!&amp;" "&amp;'Datos EN'!#REF!&amp;" "&amp;'Datos EN'!#REF!,
IF(Tipo_Cuestionario_Cod="RC",IF(V$1="I",'Datos RC'!#REF!&amp;" "&amp;'Datos RC'!#REF!&amp;" "&amp;'Datos RC'!#REF!&amp;" "&amp;'Datos RC'!#REF!&amp;" "&amp;'Datos RC'!#REF!&amp;" "&amp;'Datos RC'!#REF!&amp;" "&amp;'Datos RC'!#REF!&amp;" "&amp;'Datos RC'!#REF!,""),
V$2&amp;INDIRECT("'Datos "&amp;Tipo_Cuestionario_Cod&amp;"'!"&amp;V$1&amp;N_I_Tabla+Tabla_DOC[[#This Row],[N]]-1))))),"")</totalsRowFormula>
    </tableColumn>
    <tableColumn id="23" name="21" totalsRowFunction="custom" dataDxfId="166" totalsRowDxfId="165">
      <calculatedColumnFormula>IFERROR(IF(AND(Tipo_Cuestionario_Cod="VF",W$1="I"),W$2&amp;IF(Tabla_DOC[[#This Row],[1]]=$C$2&amp;'Formulario VF'!$I$38,'Formulario VF'!$J$38,'Formulario VF'!$I$38),
IF(OR(INDIRECT("'Datos "&amp;Tipo_Cuestionario_Cod&amp;"'!"&amp;W$1&amp;N_I_Tabla+Tabla_DOC[[#This Row],[N]]-1)="",W$2="",Tabla_DOC[[#This Row],[ENUNCIADO]]=""),"",
IF(Tipo_Cuestionario_Cod="EN",'Datos EN'!#REF!&amp;" "&amp;'Datos EN'!#REF!&amp;" "&amp;'Datos EN'!#REF!&amp;" "&amp;'Datos EN'!#REF!&amp;" "&amp;'Datos EN'!#REF!&amp;" "&amp;'Datos EN'!#REF!&amp;" "&amp;'Datos EN'!#REF!&amp;" "&amp;'Datos EN'!#REF!,
IF(Tipo_Cuestionario_Cod="RC",IF(W$1="H",'Datos RC'!#REF!&amp;" "&amp;'Datos RC'!#REF!&amp;" "&amp;'Datos RC'!#REF!&amp;" "&amp;'Datos RC'!#REF!&amp;" "&amp;'Datos RC'!#REF!&amp;" "&amp;'Datos RC'!#REF!&amp;" "&amp;'Datos RC'!#REF!&amp;" "&amp;'Datos RC'!#REF!,""),
W$2&amp;INDIRECT("'Datos "&amp;Tipo_Cuestionario_Cod&amp;"'!"&amp;W$1&amp;N_I_Tabla+Tabla_DOC[[#This Row],[N]]-1))))),"")</calculatedColumnFormula>
      <totalsRowFormula>IFERROR(IF(AND(Tipo_Cuestionario_Cod="VF",W$1="J"),W$2&amp;'Formulario VF'!$J$38,
IF(OR(INDIRECT("'Datos "&amp;Tipo_Cuestionario_Cod&amp;"'!"&amp;W$1&amp;N_I_Tabla+Tabla_DOC[[#This Row],[N]]-1)="",W$2="",Tabla_DOC[[#This Row],[ENUNCIADO]]=""),"",
IF(Tipo_Cuestionario_Cod="EN",'Datos EN'!#REF!&amp;" "&amp;'Datos EN'!#REF!&amp;" "&amp;'Datos EN'!#REF!&amp;" "&amp;'Datos EN'!#REF!&amp;" "&amp;'Datos EN'!#REF!&amp;" "&amp;'Datos EN'!#REF!&amp;" "&amp;'Datos EN'!#REF!&amp;" "&amp;'Datos EN'!#REF!,
IF(Tipo_Cuestionario_Cod="RC",IF(W$1="I",'Datos RC'!#REF!&amp;" "&amp;'Datos RC'!#REF!&amp;" "&amp;'Datos RC'!#REF!&amp;" "&amp;'Datos RC'!#REF!&amp;" "&amp;'Datos RC'!#REF!&amp;" "&amp;'Datos RC'!#REF!&amp;" "&amp;'Datos RC'!#REF!&amp;" "&amp;'Datos RC'!#REF!,""),
W$2&amp;INDIRECT("'Datos "&amp;Tipo_Cuestionario_Cod&amp;"'!"&amp;W$1&amp;N_I_Tabla+Tabla_DOC[[#This Row],[N]]-1))))),"")</totalsRowFormula>
    </tableColumn>
    <tableColumn id="24" name="22" totalsRowFunction="custom" dataDxfId="164" totalsRowDxfId="163">
      <calculatedColumnFormula>IFERROR(IF(AND(Tipo_Cuestionario_Cod="VF",X$1="I"),X$2&amp;IF(Tabla_DOC[[#This Row],[1]]=$C$2&amp;'Formulario VF'!$I$38,'Formulario VF'!$J$38,'Formulario VF'!$I$38),
IF(OR(INDIRECT("'Datos "&amp;Tipo_Cuestionario_Cod&amp;"'!"&amp;X$1&amp;N_I_Tabla+Tabla_DOC[[#This Row],[N]]-1)="",X$2="",Tabla_DOC[[#This Row],[ENUNCIADO]]=""),"",
IF(Tipo_Cuestionario_Cod="EN",'Datos EN'!#REF!&amp;" "&amp;'Datos EN'!#REF!&amp;" "&amp;'Datos EN'!#REF!&amp;" "&amp;'Datos EN'!#REF!&amp;" "&amp;'Datos EN'!#REF!&amp;" "&amp;'Datos EN'!#REF!&amp;" "&amp;'Datos EN'!#REF!&amp;" "&amp;'Datos EN'!#REF!,
IF(Tipo_Cuestionario_Cod="RC",IF(X$1="H",'Datos RC'!#REF!&amp;" "&amp;'Datos RC'!#REF!&amp;" "&amp;'Datos RC'!#REF!&amp;" "&amp;'Datos RC'!#REF!&amp;" "&amp;'Datos RC'!#REF!&amp;" "&amp;'Datos RC'!#REF!&amp;" "&amp;'Datos RC'!#REF!&amp;" "&amp;'Datos RC'!#REF!,""),
X$2&amp;INDIRECT("'Datos "&amp;Tipo_Cuestionario_Cod&amp;"'!"&amp;X$1&amp;N_I_Tabla+Tabla_DOC[[#This Row],[N]]-1))))),"")</calculatedColumnFormula>
      <totalsRowFormula>IFERROR(IF(AND(Tipo_Cuestionario_Cod="VF",X$1="J"),X$2&amp;'Formulario VF'!$J$38,
IF(OR(INDIRECT("'Datos "&amp;Tipo_Cuestionario_Cod&amp;"'!"&amp;X$1&amp;N_I_Tabla+Tabla_DOC[[#This Row],[N]]-1)="",X$2="",Tabla_DOC[[#This Row],[ENUNCIADO]]=""),"",
IF(Tipo_Cuestionario_Cod="EN",'Datos EN'!#REF!&amp;" "&amp;'Datos EN'!#REF!&amp;" "&amp;'Datos EN'!#REF!&amp;" "&amp;'Datos EN'!#REF!&amp;" "&amp;'Datos EN'!#REF!&amp;" "&amp;'Datos EN'!#REF!&amp;" "&amp;'Datos EN'!#REF!&amp;" "&amp;'Datos EN'!#REF!,
IF(Tipo_Cuestionario_Cod="RC",IF(X$1="I",'Datos RC'!#REF!&amp;" "&amp;'Datos RC'!#REF!&amp;" "&amp;'Datos RC'!#REF!&amp;" "&amp;'Datos RC'!#REF!&amp;" "&amp;'Datos RC'!#REF!&amp;" "&amp;'Datos RC'!#REF!&amp;" "&amp;'Datos RC'!#REF!&amp;" "&amp;'Datos RC'!#REF!,""),
X$2&amp;INDIRECT("'Datos "&amp;Tipo_Cuestionario_Cod&amp;"'!"&amp;X$1&amp;N_I_Tabla+Tabla_DOC[[#This Row],[N]]-1))))),"")</totalsRowFormula>
    </tableColumn>
    <tableColumn id="25" name="23" totalsRowFunction="custom" dataDxfId="162" totalsRowDxfId="161">
      <calculatedColumnFormula>IFERROR(IF(AND(Tipo_Cuestionario_Cod="VF",Y$1="I"),Y$2&amp;IF(Tabla_DOC[[#This Row],[1]]=$C$2&amp;'Formulario VF'!$I$38,'Formulario VF'!$J$38,'Formulario VF'!$I$38),
IF(OR(INDIRECT("'Datos "&amp;Tipo_Cuestionario_Cod&amp;"'!"&amp;Y$1&amp;N_I_Tabla+Tabla_DOC[[#This Row],[N]]-1)="",Y$2="",Tabla_DOC[[#This Row],[ENUNCIADO]]=""),"",
IF(Tipo_Cuestionario_Cod="EN",'Datos EN'!#REF!&amp;" "&amp;'Datos EN'!#REF!&amp;" "&amp;'Datos EN'!#REF!&amp;" "&amp;'Datos EN'!#REF!&amp;" "&amp;'Datos EN'!#REF!&amp;" "&amp;'Datos EN'!#REF!&amp;" "&amp;'Datos EN'!#REF!&amp;" "&amp;'Datos EN'!#REF!,
IF(Tipo_Cuestionario_Cod="RC",IF(Y$1="H",'Datos RC'!#REF!&amp;" "&amp;'Datos RC'!#REF!&amp;" "&amp;'Datos RC'!#REF!&amp;" "&amp;'Datos RC'!#REF!&amp;" "&amp;'Datos RC'!#REF!&amp;" "&amp;'Datos RC'!#REF!&amp;" "&amp;'Datos RC'!#REF!&amp;" "&amp;'Datos RC'!#REF!,""),
Y$2&amp;INDIRECT("'Datos "&amp;Tipo_Cuestionario_Cod&amp;"'!"&amp;Y$1&amp;N_I_Tabla+Tabla_DOC[[#This Row],[N]]-1))))),"")</calculatedColumnFormula>
      <totalsRowFormula>IFERROR(IF(AND(Tipo_Cuestionario_Cod="VF",Y$1="J"),Y$2&amp;'Formulario VF'!$J$38,
IF(OR(INDIRECT("'Datos "&amp;Tipo_Cuestionario_Cod&amp;"'!"&amp;Y$1&amp;N_I_Tabla+Tabla_DOC[[#This Row],[N]]-1)="",Y$2="",Tabla_DOC[[#This Row],[ENUNCIADO]]=""),"",
IF(Tipo_Cuestionario_Cod="EN",'Datos EN'!#REF!&amp;" "&amp;'Datos EN'!#REF!&amp;" "&amp;'Datos EN'!#REF!&amp;" "&amp;'Datos EN'!#REF!&amp;" "&amp;'Datos EN'!#REF!&amp;" "&amp;'Datos EN'!#REF!&amp;" "&amp;'Datos EN'!#REF!&amp;" "&amp;'Datos EN'!#REF!,
IF(Tipo_Cuestionario_Cod="RC",IF(Y$1="I",'Datos RC'!#REF!&amp;" "&amp;'Datos RC'!#REF!&amp;" "&amp;'Datos RC'!#REF!&amp;" "&amp;'Datos RC'!#REF!&amp;" "&amp;'Datos RC'!#REF!&amp;" "&amp;'Datos RC'!#REF!&amp;" "&amp;'Datos RC'!#REF!&amp;" "&amp;'Datos RC'!#REF!,""),
Y$2&amp;INDIRECT("'Datos "&amp;Tipo_Cuestionario_Cod&amp;"'!"&amp;Y$1&amp;N_I_Tabla+Tabla_DOC[[#This Row],[N]]-1))))),"")</totalsRowFormula>
    </tableColumn>
    <tableColumn id="26" name="24" totalsRowFunction="custom" dataDxfId="160" totalsRowDxfId="159">
      <calculatedColumnFormula>IFERROR(IF(AND(Tipo_Cuestionario_Cod="VF",Z$1="I"),Z$2&amp;IF(Tabla_DOC[[#This Row],[1]]=$C$2&amp;'Formulario VF'!$I$38,'Formulario VF'!$J$38,'Formulario VF'!$I$38),
IF(OR(INDIRECT("'Datos "&amp;Tipo_Cuestionario_Cod&amp;"'!"&amp;Z$1&amp;N_I_Tabla+Tabla_DOC[[#This Row],[N]]-1)="",Z$2="",Tabla_DOC[[#This Row],[ENUNCIADO]]=""),"",
IF(Tipo_Cuestionario_Cod="EN",'Datos EN'!#REF!&amp;" "&amp;'Datos EN'!#REF!&amp;" "&amp;'Datos EN'!#REF!&amp;" "&amp;'Datos EN'!#REF!&amp;" "&amp;'Datos EN'!#REF!&amp;" "&amp;'Datos EN'!#REF!&amp;" "&amp;'Datos EN'!#REF!&amp;" "&amp;'Datos EN'!#REF!,
IF(Tipo_Cuestionario_Cod="RC",IF(Z$1="H",'Datos RC'!#REF!&amp;" "&amp;'Datos RC'!#REF!&amp;" "&amp;'Datos RC'!#REF!&amp;" "&amp;'Datos RC'!#REF!&amp;" "&amp;'Datos RC'!#REF!&amp;" "&amp;'Datos RC'!#REF!&amp;" "&amp;'Datos RC'!#REF!&amp;" "&amp;'Datos RC'!#REF!,""),
Z$2&amp;INDIRECT("'Datos "&amp;Tipo_Cuestionario_Cod&amp;"'!"&amp;Z$1&amp;N_I_Tabla+Tabla_DOC[[#This Row],[N]]-1))))),"")</calculatedColumnFormula>
      <totalsRowFormula>IFERROR(IF(AND(Tipo_Cuestionario_Cod="VF",Z$1="J"),Z$2&amp;'Formulario VF'!$J$38,
IF(OR(INDIRECT("'Datos "&amp;Tipo_Cuestionario_Cod&amp;"'!"&amp;Z$1&amp;N_I_Tabla+Tabla_DOC[[#This Row],[N]]-1)="",Z$2="",Tabla_DOC[[#This Row],[ENUNCIADO]]=""),"",
IF(Tipo_Cuestionario_Cod="EN",'Datos EN'!#REF!&amp;" "&amp;'Datos EN'!#REF!&amp;" "&amp;'Datos EN'!#REF!&amp;" "&amp;'Datos EN'!#REF!&amp;" "&amp;'Datos EN'!#REF!&amp;" "&amp;'Datos EN'!#REF!&amp;" "&amp;'Datos EN'!#REF!&amp;" "&amp;'Datos EN'!#REF!,
IF(Tipo_Cuestionario_Cod="RC",IF(Z$1="I",'Datos RC'!#REF!&amp;" "&amp;'Datos RC'!#REF!&amp;" "&amp;'Datos RC'!#REF!&amp;" "&amp;'Datos RC'!#REF!&amp;" "&amp;'Datos RC'!#REF!&amp;" "&amp;'Datos RC'!#REF!&amp;" "&amp;'Datos RC'!#REF!&amp;" "&amp;'Datos RC'!#REF!,""),
Z$2&amp;INDIRECT("'Datos "&amp;Tipo_Cuestionario_Cod&amp;"'!"&amp;Z$1&amp;N_I_Tabla+Tabla_DOC[[#This Row],[N]]-1))))),"")</totalsRowFormula>
    </tableColumn>
    <tableColumn id="27" name="C" totalsRowFunction="custom" dataDxfId="158" totalsRowDxfId="157">
      <calculatedColumnFormula>IF(AND(OR(Tipo_Cuestionario_Cod="EM",Tipo_Cuestionario_Cod="PP"),ISODD(AA$2)),AA$2,RAND())</calculatedColumnFormula>
      <totalsRowFormula>IF(AND(OR(Tipo_Cuestionario_Cod="EM",Tipo_Cuestionario_Cod="PP"),ISODD(AA$2)),AA$2,RAND())</totalsRowFormula>
    </tableColumn>
    <tableColumn id="28" name="D" totalsRowFunction="custom" dataDxfId="156" totalsRowDxfId="155">
      <calculatedColumnFormula>IF(AND(OR(Tipo_Cuestionario_Cod="EM",Tipo_Cuestionario_Cod="PP"),ISODD(AB$2)),AB$2,RAND())</calculatedColumnFormula>
      <totalsRowFormula>IF(AND(OR(Tipo_Cuestionario_Cod="EM",Tipo_Cuestionario_Cod="PP"),ISODD(AB$2)),AB$2,RAND())</totalsRowFormula>
    </tableColumn>
    <tableColumn id="29" name="E" totalsRowFunction="custom" dataDxfId="154" totalsRowDxfId="153">
      <calculatedColumnFormula>IF(AND(OR(Tipo_Cuestionario_Cod="EM",Tipo_Cuestionario_Cod="PP"),ISODD(AC$2)),AC$2,RAND())</calculatedColumnFormula>
      <totalsRowFormula>IF(AND(OR(Tipo_Cuestionario_Cod="EM",Tipo_Cuestionario_Cod="PP"),ISODD(AC$2)),AC$2,RAND())</totalsRowFormula>
    </tableColumn>
    <tableColumn id="30" name="F" totalsRowFunction="custom" dataDxfId="152" totalsRowDxfId="151">
      <calculatedColumnFormula>IF(AND(OR(Tipo_Cuestionario_Cod="EM",Tipo_Cuestionario_Cod="PP"),ISODD(AD$2)),AD$2,RAND())</calculatedColumnFormula>
      <totalsRowFormula>IF(AND(OR(Tipo_Cuestionario_Cod="EM",Tipo_Cuestionario_Cod="PP"),ISODD(AD$2)),AD$2,RAND())</totalsRowFormula>
    </tableColumn>
    <tableColumn id="31" name="G" totalsRowFunction="custom" dataDxfId="150" totalsRowDxfId="149">
      <calculatedColumnFormula>IF(AND(OR(Tipo_Cuestionario_Cod="EM",Tipo_Cuestionario_Cod="PP"),ISODD(AE$2)),AE$2,RAND())</calculatedColumnFormula>
      <totalsRowFormula>IF(AND(OR(Tipo_Cuestionario_Cod="EM",Tipo_Cuestionario_Cod="PP"),ISODD(AE$2)),AE$2,RAND())</totalsRowFormula>
    </tableColumn>
    <tableColumn id="32" name="H" totalsRowFunction="custom" dataDxfId="148" totalsRowDxfId="147">
      <calculatedColumnFormula>IF(AND(OR(Tipo_Cuestionario_Cod="EM",Tipo_Cuestionario_Cod="PP"),ISODD(AF$2)),AF$2,RAND())</calculatedColumnFormula>
      <totalsRowFormula>IF(AND(OR(Tipo_Cuestionario_Cod="EM",Tipo_Cuestionario_Cod="PP"),ISODD(AF$2)),AF$2,RAND())</totalsRowFormula>
    </tableColumn>
    <tableColumn id="33" name="I" totalsRowFunction="custom" dataDxfId="146" totalsRowDxfId="145">
      <calculatedColumnFormula>IF(AND(OR(Tipo_Cuestionario_Cod="EM",Tipo_Cuestionario_Cod="PP"),ISODD(AG$2)),AG$2,RAND())</calculatedColumnFormula>
      <totalsRowFormula>IF(AND(OR(Tipo_Cuestionario_Cod="EM",Tipo_Cuestionario_Cod="PP"),ISODD(AG$2)),AG$2,RAND())</totalsRowFormula>
    </tableColumn>
    <tableColumn id="34" name="J" totalsRowFunction="custom" dataDxfId="144" totalsRowDxfId="143">
      <calculatedColumnFormula>IF(AND(OR(Tipo_Cuestionario_Cod="EM",Tipo_Cuestionario_Cod="PP"),ISODD(AH$2)),AH$2,RAND())</calculatedColumnFormula>
      <totalsRowFormula>IF(AND(OR(Tipo_Cuestionario_Cod="EM",Tipo_Cuestionario_Cod="PP"),ISODD(AH$2)),AH$2,RAND())</totalsRowFormula>
    </tableColumn>
    <tableColumn id="35" name="K" totalsRowFunction="custom" dataDxfId="142" totalsRowDxfId="141">
      <calculatedColumnFormula>IF(AND(OR(Tipo_Cuestionario_Cod="EM",Tipo_Cuestionario_Cod="PP"),ISODD(AI$2)),AI$2,RAND())</calculatedColumnFormula>
      <totalsRowFormula>IF(AND(OR(Tipo_Cuestionario_Cod="EM",Tipo_Cuestionario_Cod="PP"),ISODD(AI$2)),AI$2,RAND())</totalsRowFormula>
    </tableColumn>
    <tableColumn id="36" name="L" totalsRowFunction="custom" dataDxfId="140" totalsRowDxfId="139">
      <calculatedColumnFormula>IF(AND(OR(Tipo_Cuestionario_Cod="EM",Tipo_Cuestionario_Cod="PP"),ISODD(AJ$2)),AJ$2,RAND())</calculatedColumnFormula>
      <totalsRowFormula>IF(AND(OR(Tipo_Cuestionario_Cod="EM",Tipo_Cuestionario_Cod="PP"),ISODD(AJ$2)),AJ$2,RAND())</totalsRowFormula>
    </tableColumn>
    <tableColumn id="37" name="M" totalsRowFunction="custom" dataDxfId="138" totalsRowDxfId="137">
      <calculatedColumnFormula>IF(AND(OR(Tipo_Cuestionario_Cod="EM",Tipo_Cuestionario_Cod="PP"),ISODD(AK$2)),AK$2,RAND())</calculatedColumnFormula>
      <totalsRowFormula>IF(AND(OR(Tipo_Cuestionario_Cod="EM",Tipo_Cuestionario_Cod="PP"),ISODD(AK$2)),AK$2,RAND())</totalsRowFormula>
    </tableColumn>
    <tableColumn id="38" name="N2" totalsRowFunction="custom" dataDxfId="136" totalsRowDxfId="135">
      <calculatedColumnFormula>IF(AND(OR(Tipo_Cuestionario_Cod="EM",Tipo_Cuestionario_Cod="PP"),ISODD(AL$2)),AL$2,RAND())</calculatedColumnFormula>
      <totalsRowFormula>IF(AND(OR(Tipo_Cuestionario_Cod="EM",Tipo_Cuestionario_Cod="PP"),ISODD(AL$2)),AL$2,RAND())</totalsRowFormula>
    </tableColumn>
    <tableColumn id="39" name="O" totalsRowFunction="custom" dataDxfId="134" totalsRowDxfId="133">
      <calculatedColumnFormula>IF(AND(OR(Tipo_Cuestionario_Cod="EM",Tipo_Cuestionario_Cod="PP"),ISODD(AM$2)),AM$2,RAND())</calculatedColumnFormula>
      <totalsRowFormula>IF(AND(OR(Tipo_Cuestionario_Cod="EM",Tipo_Cuestionario_Cod="PP"),ISODD(AM$2)),AM$2,RAND())</totalsRowFormula>
    </tableColumn>
    <tableColumn id="40" name="P" totalsRowFunction="custom" dataDxfId="132" totalsRowDxfId="131">
      <calculatedColumnFormula>IF(AND(OR(Tipo_Cuestionario_Cod="EM",Tipo_Cuestionario_Cod="PP"),ISODD(AN$2)),AN$2,RAND())</calculatedColumnFormula>
      <totalsRowFormula>IF(AND(OR(Tipo_Cuestionario_Cod="EM",Tipo_Cuestionario_Cod="PP"),ISODD(AN$2)),AN$2,RAND())</totalsRowFormula>
    </tableColumn>
    <tableColumn id="41" name="Q" totalsRowFunction="custom" dataDxfId="130" totalsRowDxfId="129">
      <calculatedColumnFormula>IF(AND(OR(Tipo_Cuestionario_Cod="EM",Tipo_Cuestionario_Cod="PP"),ISODD(AO$2)),AO$2,RAND())</calculatedColumnFormula>
      <totalsRowFormula>IF(AND(OR(Tipo_Cuestionario_Cod="EM",Tipo_Cuestionario_Cod="PP"),ISODD(AO$2)),AO$2,RAND())</totalsRowFormula>
    </tableColumn>
    <tableColumn id="42" name="R" totalsRowFunction="custom" dataDxfId="128" totalsRowDxfId="127">
      <calculatedColumnFormula>IF(AND(OR(Tipo_Cuestionario_Cod="EM",Tipo_Cuestionario_Cod="PP"),ISODD(AP$2)),AP$2,RAND())</calculatedColumnFormula>
      <totalsRowFormula>IF(AND(OR(Tipo_Cuestionario_Cod="EM",Tipo_Cuestionario_Cod="PP"),ISODD(AP$2)),AP$2,RAND())</totalsRowFormula>
    </tableColumn>
    <tableColumn id="43" name="S" totalsRowFunction="custom" dataDxfId="126" totalsRowDxfId="125">
      <calculatedColumnFormula>IF(AND(OR(Tipo_Cuestionario_Cod="EM",Tipo_Cuestionario_Cod="PP"),ISODD(AQ$2)),AQ$2,RAND())</calculatedColumnFormula>
      <totalsRowFormula>IF(AND(OR(Tipo_Cuestionario_Cod="EM",Tipo_Cuestionario_Cod="PP"),ISODD(AQ$2)),AQ$2,RAND())</totalsRowFormula>
    </tableColumn>
    <tableColumn id="44" name="T" totalsRowFunction="custom" dataDxfId="124" totalsRowDxfId="123">
      <calculatedColumnFormula>IF(AND(OR(Tipo_Cuestionario_Cod="EM",Tipo_Cuestionario_Cod="PP"),ISODD(AR$2)),AR$2,RAND())</calculatedColumnFormula>
      <totalsRowFormula>IF(AND(OR(Tipo_Cuestionario_Cod="EM",Tipo_Cuestionario_Cod="PP"),ISODD(AR$2)),AR$2,RAND())</totalsRowFormula>
    </tableColumn>
    <tableColumn id="45" name="U" totalsRowFunction="custom" dataDxfId="122" totalsRowDxfId="121">
      <calculatedColumnFormula>IF(AND(OR(Tipo_Cuestionario_Cod="EM",Tipo_Cuestionario_Cod="PP"),ISODD(AS$2)),AS$2,RAND())</calculatedColumnFormula>
      <totalsRowFormula>IF(AND(OR(Tipo_Cuestionario_Cod="EM",Tipo_Cuestionario_Cod="PP"),ISODD(AS$2)),AS$2,RAND())</totalsRowFormula>
    </tableColumn>
    <tableColumn id="46" name="V" totalsRowFunction="custom" dataDxfId="120" totalsRowDxfId="119">
      <calculatedColumnFormula>IF(AND(OR(Tipo_Cuestionario_Cod="EM",Tipo_Cuestionario_Cod="PP"),ISODD(AT$2)),AT$2,RAND())</calculatedColumnFormula>
      <totalsRowFormula>IF(AND(OR(Tipo_Cuestionario_Cod="EM",Tipo_Cuestionario_Cod="PP"),ISODD(AT$2)),AT$2,RAND())</totalsRowFormula>
    </tableColumn>
    <tableColumn id="47" name="W" totalsRowFunction="custom" dataDxfId="118" totalsRowDxfId="117">
      <calculatedColumnFormula>IF(AND(OR(Tipo_Cuestionario_Cod="EM",Tipo_Cuestionario_Cod="PP"),ISODD(AU$2)),AU$2,RAND())</calculatedColumnFormula>
      <totalsRowFormula>IF(AND(OR(Tipo_Cuestionario_Cod="EM",Tipo_Cuestionario_Cod="PP"),ISODD(AU$2)),AU$2,RAND())</totalsRowFormula>
    </tableColumn>
    <tableColumn id="48" name="X" totalsRowFunction="custom" dataDxfId="116" totalsRowDxfId="115">
      <calculatedColumnFormula>IF(AND(OR(Tipo_Cuestionario_Cod="EM",Tipo_Cuestionario_Cod="PP"),ISODD(AV$2)),AV$2,RAND())</calculatedColumnFormula>
      <totalsRowFormula>IF(AND(OR(Tipo_Cuestionario_Cod="EM",Tipo_Cuestionario_Cod="PP"),ISODD(AV$2)),AV$2,RAND())</totalsRowFormula>
    </tableColumn>
    <tableColumn id="49" name="Y" totalsRowFunction="custom" dataDxfId="114" totalsRowDxfId="113">
      <calculatedColumnFormula>IF(AND(OR(Tipo_Cuestionario_Cod="EM",Tipo_Cuestionario_Cod="PP"),ISODD(AW$2)),AW$2,RAND())</calculatedColumnFormula>
      <totalsRowFormula>IF(AND(OR(Tipo_Cuestionario_Cod="EM",Tipo_Cuestionario_Cod="PP"),ISODD(AW$2)),AW$2,RAND())</totalsRowFormula>
    </tableColumn>
    <tableColumn id="50" name="Z" totalsRowFunction="custom" dataDxfId="112" totalsRowDxfId="111">
      <calculatedColumnFormula>IF(AND(OR(Tipo_Cuestionario_Cod="EM",Tipo_Cuestionario_Cod="PP"),ISODD(AX$2)),AX$2,RAND())</calculatedColumnFormula>
      <totalsRowFormula>IF(AND(OR(Tipo_Cuestionario_Cod="EM",Tipo_Cuestionario_Cod="PP"),ISODD(AX$2)),AX$2,RAND())</totalsRowFormula>
    </tableColumn>
    <tableColumn id="51" name="54" totalsRowFunction="custom" dataDxfId="110" totalsRowDxfId="109">
      <calculatedColumnFormula>IFERROR(IF(Tipo_Cuestionario_Cod="EM",
IF(ISEVEN(AY$3),AA$3,CHAR(RANK(AA4,INDIRECT(Tabla_DOC[[#This Row],[RANGO]]),1)*2+66)),
IF(Tipo_Cuestionario_Cod="PP",IF(ISODD(AY$3),CHAR(RANK(AA4,INDIRECT(Tabla_DOC[[#This Row],[RANGO]]),1)*2+66),CHAR(CODE(MID(AZ4,1,1))-1)),
                                              CHAR(RANK(AA4,INDIRECT(Tabla_DOC[[#This Row],[RANGO]]),1)+66)))&amp;ROW(),"")</calculatedColumnFormula>
      <totalsRowFormula>IFERROR(IF(OR(Tipo_Cuestionario_Cod="EM",Tipo_Cuestionario_Cod="PP"),
IF(ISEVEN(AY$3),AA$3,CHAR(RANK(#REF!,INDIRECT(Tabla_DOC[[#This Row],[RANGO]]),1)*2+66)),
                                              CHAR(RANK(#REF!,INDIRECT(Tabla_DOC[[#This Row],[RANGO]]),1)+66))&amp;ROW(),"")</totalsRowFormula>
    </tableColumn>
    <tableColumn id="52" name="55" totalsRowFunction="custom" dataDxfId="108" totalsRowDxfId="107">
      <calculatedColumnFormula>IFERROR(IF(Tipo_Cuestionario_Cod="EM",
IF(ISEVEN(AZ$3),AB$3,CHAR(RANK(AB4,INDIRECT(Tabla_DOC[[#This Row],[RANGO]]),1)*2+66)),
IF(Tipo_Cuestionario_Cod="PP",IF(ISODD(AZ$3),CHAR(RANK(AB4,INDIRECT(Tabla_DOC[[#This Row],[RANGO]]),1)*2+66),CHAR(CODE(MID(BA4,1,1))-1)),
                                              CHAR(RANK(AB4,INDIRECT(Tabla_DOC[[#This Row],[RANGO]]),1)+66)))&amp;ROW(),"")</calculatedColumnFormula>
      <totalsRowFormula>IFERROR(IF(OR(Tipo_Cuestionario_Cod="EM",Tipo_Cuestionario_Cod="PP"),
IF(ISEVEN(AZ$3),AB$3,CHAR(RANK(#REF!,INDIRECT(Tabla_DOC[[#This Row],[RANGO]]),1)*2+66)),
                                              CHAR(RANK(#REF!,INDIRECT(Tabla_DOC[[#This Row],[RANGO]]),1)+66))&amp;ROW(),"")</totalsRowFormula>
    </tableColumn>
    <tableColumn id="53" name="56" totalsRowFunction="custom" dataDxfId="106" totalsRowDxfId="105">
      <calculatedColumnFormula>IFERROR(IF(Tipo_Cuestionario_Cod="EM",
IF(ISEVEN(BA$3),AC$3,CHAR(RANK(AC4,INDIRECT(Tabla_DOC[[#This Row],[RANGO]]),1)*2+66)),
IF(Tipo_Cuestionario_Cod="PP",IF(ISODD(BA$3),CHAR(RANK(AC4,INDIRECT(Tabla_DOC[[#This Row],[RANGO]]),1)*2+66),CHAR(CODE(MID(BB4,1,1))-1)),
                                              CHAR(RANK(AC4,INDIRECT(Tabla_DOC[[#This Row],[RANGO]]),1)+66)))&amp;ROW(),"")</calculatedColumnFormula>
      <totalsRowFormula>IFERROR(IF(OR(Tipo_Cuestionario_Cod="EM",Tipo_Cuestionario_Cod="PP"),
IF(ISEVEN(BA$3),AC$3,CHAR(RANK(#REF!,INDIRECT(Tabla_DOC[[#This Row],[RANGO]]),1)*2+66)),
                                              CHAR(RANK(#REF!,INDIRECT(Tabla_DOC[[#This Row],[RANGO]]),1)+66))&amp;ROW(),"")</totalsRowFormula>
    </tableColumn>
    <tableColumn id="54" name="57" totalsRowFunction="custom" dataDxfId="104" totalsRowDxfId="103">
      <calculatedColumnFormula>IFERROR(IF(Tipo_Cuestionario_Cod="EM",
IF(ISEVEN(BB$3),AD$3,CHAR(RANK(AD4,INDIRECT(Tabla_DOC[[#This Row],[RANGO]]),1)*2+66)),
IF(Tipo_Cuestionario_Cod="PP",IF(ISODD(BB$3),CHAR(RANK(AD4,INDIRECT(Tabla_DOC[[#This Row],[RANGO]]),1)*2+66),CHAR(CODE(MID(BC4,1,1))-1)),
                                              CHAR(RANK(AD4,INDIRECT(Tabla_DOC[[#This Row],[RANGO]]),1)+66)))&amp;ROW(),"")</calculatedColumnFormula>
      <totalsRowFormula>IFERROR(IF(OR(Tipo_Cuestionario_Cod="EM",Tipo_Cuestionario_Cod="PP"),
IF(ISEVEN(BB$3),AD$3,CHAR(RANK(#REF!,INDIRECT(Tabla_DOC[[#This Row],[RANGO]]),1)*2+66)),
                                              CHAR(RANK(#REF!,INDIRECT(Tabla_DOC[[#This Row],[RANGO]]),1)+66))&amp;ROW(),"")</totalsRowFormula>
    </tableColumn>
    <tableColumn id="55" name="58" totalsRowFunction="custom" dataDxfId="102" totalsRowDxfId="101">
      <calculatedColumnFormula>IFERROR(IF(Tipo_Cuestionario_Cod="EM",
IF(ISEVEN(BC$3),AE$3,CHAR(RANK(AE4,INDIRECT(Tabla_DOC[[#This Row],[RANGO]]),1)*2+66)),
IF(Tipo_Cuestionario_Cod="PP",IF(ISODD(BC$3),CHAR(RANK(AE4,INDIRECT(Tabla_DOC[[#This Row],[RANGO]]),1)*2+66),CHAR(CODE(MID(BD4,1,1))-1)),
                                              CHAR(RANK(AE4,INDIRECT(Tabla_DOC[[#This Row],[RANGO]]),1)+66)))&amp;ROW(),"")</calculatedColumnFormula>
      <totalsRowFormula>IFERROR(IF(OR(Tipo_Cuestionario_Cod="EM",Tipo_Cuestionario_Cod="PP"),
IF(ISEVEN(BC$3),AE$3,CHAR(RANK(#REF!,INDIRECT(Tabla_DOC[[#This Row],[RANGO]]),1)*2+66)),
                                              CHAR(RANK(#REF!,INDIRECT(Tabla_DOC[[#This Row],[RANGO]]),1)+66))&amp;ROW(),"")</totalsRowFormula>
    </tableColumn>
    <tableColumn id="56" name="59" totalsRowFunction="custom" dataDxfId="100" totalsRowDxfId="99">
      <calculatedColumnFormula>IFERROR(IF(Tipo_Cuestionario_Cod="EM",
IF(ISEVEN(BD$3),AF$3,CHAR(RANK(AF4,INDIRECT(Tabla_DOC[[#This Row],[RANGO]]),1)*2+66)),
IF(Tipo_Cuestionario_Cod="PP",IF(ISODD(BD$3),CHAR(RANK(AF4,INDIRECT(Tabla_DOC[[#This Row],[RANGO]]),1)*2+66),CHAR(CODE(MID(BE4,1,1))-1)),
                                              CHAR(RANK(AF4,INDIRECT(Tabla_DOC[[#This Row],[RANGO]]),1)+66)))&amp;ROW(),"")</calculatedColumnFormula>
      <totalsRowFormula>IFERROR(IF(OR(Tipo_Cuestionario_Cod="EM",Tipo_Cuestionario_Cod="PP"),
IF(ISEVEN(BD$3),AF$3,CHAR(RANK(#REF!,INDIRECT(Tabla_DOC[[#This Row],[RANGO]]),1)*2+66)),
                                              CHAR(RANK(#REF!,INDIRECT(Tabla_DOC[[#This Row],[RANGO]]),1)+66))&amp;ROW(),"")</totalsRowFormula>
    </tableColumn>
    <tableColumn id="57" name="60" totalsRowFunction="custom" dataDxfId="98" totalsRowDxfId="97">
      <calculatedColumnFormula>IFERROR(IF(Tipo_Cuestionario_Cod="EM",
IF(ISEVEN(BE$3),AG$3,CHAR(RANK(AG4,INDIRECT(Tabla_DOC[[#This Row],[RANGO]]),1)*2+66)),
IF(Tipo_Cuestionario_Cod="PP",IF(ISODD(BE$3),CHAR(RANK(AG4,INDIRECT(Tabla_DOC[[#This Row],[RANGO]]),1)*2+66),CHAR(CODE(MID(BF4,1,1))-1)),
                                              CHAR(RANK(AG4,INDIRECT(Tabla_DOC[[#This Row],[RANGO]]),1)+66)))&amp;ROW(),"")</calculatedColumnFormula>
      <totalsRowFormula>IFERROR(IF(OR(Tipo_Cuestionario_Cod="EM",Tipo_Cuestionario_Cod="PP"),
IF(ISEVEN(BE$3),AG$3,CHAR(RANK(#REF!,INDIRECT(Tabla_DOC[[#This Row],[RANGO]]),1)*2+66)),
                                              CHAR(RANK(#REF!,INDIRECT(Tabla_DOC[[#This Row],[RANGO]]),1)+66))&amp;ROW(),"")</totalsRowFormula>
    </tableColumn>
    <tableColumn id="58" name="61" totalsRowFunction="custom" dataDxfId="96" totalsRowDxfId="95">
      <calculatedColumnFormula>IFERROR(IF(Tipo_Cuestionario_Cod="EM",
IF(ISEVEN(BF$3),AH$3,CHAR(RANK(AH4,INDIRECT(Tabla_DOC[[#This Row],[RANGO]]),1)*2+66)),
IF(Tipo_Cuestionario_Cod="PP",IF(ISODD(BF$3),CHAR(RANK(AH4,INDIRECT(Tabla_DOC[[#This Row],[RANGO]]),1)*2+66),CHAR(CODE(MID(BG4,1,1))-1)),
                                              CHAR(RANK(AH4,INDIRECT(Tabla_DOC[[#This Row],[RANGO]]),1)+66)))&amp;ROW(),"")</calculatedColumnFormula>
      <totalsRowFormula>IFERROR(IF(OR(Tipo_Cuestionario_Cod="EM",Tipo_Cuestionario_Cod="PP"),
IF(ISEVEN(BF$3),AH$3,CHAR(RANK(#REF!,INDIRECT(Tabla_DOC[[#This Row],[RANGO]]),1)*2+66)),
                                              CHAR(RANK(#REF!,INDIRECT(Tabla_DOC[[#This Row],[RANGO]]),1)+66))&amp;ROW(),"")</totalsRowFormula>
    </tableColumn>
    <tableColumn id="59" name="62" totalsRowFunction="custom" dataDxfId="94" totalsRowDxfId="93">
      <calculatedColumnFormula>IFERROR(IF(Tipo_Cuestionario_Cod="EM",
IF(ISEVEN(BG$3),AI$3,CHAR(RANK(AI4,INDIRECT(Tabla_DOC[[#This Row],[RANGO]]),1)*2+66)),
IF(Tipo_Cuestionario_Cod="PP",IF(ISODD(BG$3),CHAR(RANK(AI4,INDIRECT(Tabla_DOC[[#This Row],[RANGO]]),1)*2+66),CHAR(CODE(MID(BH4,1,1))-1)),
                                              CHAR(RANK(AI4,INDIRECT(Tabla_DOC[[#This Row],[RANGO]]),1)+66)))&amp;ROW(),"")</calculatedColumnFormula>
      <totalsRowFormula>IFERROR(IF(OR(Tipo_Cuestionario_Cod="EM",Tipo_Cuestionario_Cod="PP"),
IF(ISEVEN(BG$3),AI$3,CHAR(RANK(#REF!,INDIRECT(Tabla_DOC[[#This Row],[RANGO]]),1)*2+66)),
                                              CHAR(RANK(#REF!,INDIRECT(Tabla_DOC[[#This Row],[RANGO]]),1)+66))&amp;ROW(),"")</totalsRowFormula>
    </tableColumn>
    <tableColumn id="60" name="63" totalsRowFunction="custom" dataDxfId="92" totalsRowDxfId="91">
      <calculatedColumnFormula>IFERROR(IF(Tipo_Cuestionario_Cod="EM",
IF(ISEVEN(BH$3),AJ$3,CHAR(RANK(AJ4,INDIRECT(Tabla_DOC[[#This Row],[RANGO]]),1)*2+66)),
IF(Tipo_Cuestionario_Cod="PP",IF(ISODD(BH$3),CHAR(RANK(AJ4,INDIRECT(Tabla_DOC[[#This Row],[RANGO]]),1)*2+66),CHAR(CODE(MID(BI4,1,1))-1)),
                                              CHAR(RANK(AJ4,INDIRECT(Tabla_DOC[[#This Row],[RANGO]]),1)+66)))&amp;ROW(),"")</calculatedColumnFormula>
      <totalsRowFormula>IFERROR(IF(OR(Tipo_Cuestionario_Cod="EM",Tipo_Cuestionario_Cod="PP"),
IF(ISEVEN(BH$3),AJ$3,CHAR(RANK(#REF!,INDIRECT(Tabla_DOC[[#This Row],[RANGO]]),1)*2+66)),
                                              CHAR(RANK(#REF!,INDIRECT(Tabla_DOC[[#This Row],[RANGO]]),1)+66))&amp;ROW(),"")</totalsRowFormula>
    </tableColumn>
    <tableColumn id="61" name="64" totalsRowFunction="custom" dataDxfId="90" totalsRowDxfId="89">
      <calculatedColumnFormula>IFERROR(IF(Tipo_Cuestionario_Cod="EM",
IF(ISEVEN(BI$3),AK$3,CHAR(RANK(AK4,INDIRECT(Tabla_DOC[[#This Row],[RANGO]]),1)*2+66)),
IF(Tipo_Cuestionario_Cod="PP",IF(ISODD(BI$3),CHAR(RANK(AK4,INDIRECT(Tabla_DOC[[#This Row],[RANGO]]),1)*2+66),CHAR(CODE(MID(BJ4,1,1))-1)),
                                              CHAR(RANK(AK4,INDIRECT(Tabla_DOC[[#This Row],[RANGO]]),1)+66)))&amp;ROW(),"")</calculatedColumnFormula>
      <totalsRowFormula>IFERROR(IF(OR(Tipo_Cuestionario_Cod="EM",Tipo_Cuestionario_Cod="PP"),
IF(ISEVEN(BI$3),AK$3,CHAR(RANK(#REF!,INDIRECT(Tabla_DOC[[#This Row],[RANGO]]),1)*2+66)),
                                              CHAR(RANK(#REF!,INDIRECT(Tabla_DOC[[#This Row],[RANGO]]),1)+66))&amp;ROW(),"")</totalsRowFormula>
    </tableColumn>
    <tableColumn id="62" name="65" totalsRowFunction="custom" dataDxfId="88" totalsRowDxfId="87">
      <calculatedColumnFormula>IFERROR(IF(Tipo_Cuestionario_Cod="EM",
IF(ISEVEN(BJ$3),AL$3,CHAR(RANK(AL4,INDIRECT(Tabla_DOC[[#This Row],[RANGO]]),1)*2+66)),
IF(Tipo_Cuestionario_Cod="PP",IF(ISODD(BJ$3),CHAR(RANK(AL4,INDIRECT(Tabla_DOC[[#This Row],[RANGO]]),1)*2+66),CHAR(CODE(MID(BK4,1,1))-1)),
                                              CHAR(RANK(AL4,INDIRECT(Tabla_DOC[[#This Row],[RANGO]]),1)+66)))&amp;ROW(),"")</calculatedColumnFormula>
      <totalsRowFormula>IFERROR(IF(OR(Tipo_Cuestionario_Cod="EM",Tipo_Cuestionario_Cod="PP"),
IF(ISEVEN(BJ$3),AL$3,CHAR(RANK(#REF!,INDIRECT(Tabla_DOC[[#This Row],[RANGO]]),1)*2+66)),
                                              CHAR(RANK(#REF!,INDIRECT(Tabla_DOC[[#This Row],[RANGO]]),1)+66))&amp;ROW(),"")</totalsRowFormula>
    </tableColumn>
    <tableColumn id="63" name="66" totalsRowFunction="custom" dataDxfId="86" totalsRowDxfId="85">
      <calculatedColumnFormula>IFERROR(IF(Tipo_Cuestionario_Cod="EM",
IF(ISEVEN(BK$3),AM$3,CHAR(RANK(AM4,INDIRECT(Tabla_DOC[[#This Row],[RANGO]]),1)*2+66)),
IF(Tipo_Cuestionario_Cod="PP",IF(ISODD(BK$3),CHAR(RANK(AM4,INDIRECT(Tabla_DOC[[#This Row],[RANGO]]),1)*2+66),CHAR(CODE(MID(BL4,1,1))-1)),
                                              CHAR(RANK(AM4,INDIRECT(Tabla_DOC[[#This Row],[RANGO]]),1)+66)))&amp;ROW(),"")</calculatedColumnFormula>
      <totalsRowFormula>IFERROR(IF(OR(Tipo_Cuestionario_Cod="EM",Tipo_Cuestionario_Cod="PP"),
IF(ISEVEN(BK$3),AM$3,CHAR(RANK(#REF!,INDIRECT(Tabla_DOC[[#This Row],[RANGO]]),1)*2+66)),
                                              CHAR(RANK(#REF!,INDIRECT(Tabla_DOC[[#This Row],[RANGO]]),1)+66))&amp;ROW(),"")</totalsRowFormula>
    </tableColumn>
    <tableColumn id="64" name="67" totalsRowFunction="custom" dataDxfId="84" totalsRowDxfId="83">
      <calculatedColumnFormula>IFERROR(IF(Tipo_Cuestionario_Cod="EM",
IF(ISEVEN(BL$3),AN$3,CHAR(RANK(AN4,INDIRECT(Tabla_DOC[[#This Row],[RANGO]]),1)*2+66)),
IF(Tipo_Cuestionario_Cod="PP",IF(ISODD(BL$3),CHAR(RANK(AN4,INDIRECT(Tabla_DOC[[#This Row],[RANGO]]),1)*2+66),CHAR(CODE(MID(BM4,1,1))-1)),
                                              CHAR(RANK(AN4,INDIRECT(Tabla_DOC[[#This Row],[RANGO]]),1)+66)))&amp;ROW(),"")</calculatedColumnFormula>
      <totalsRowFormula>IFERROR(IF(OR(Tipo_Cuestionario_Cod="EM",Tipo_Cuestionario_Cod="PP"),
IF(ISEVEN(BL$3),AN$3,CHAR(RANK(#REF!,INDIRECT(Tabla_DOC[[#This Row],[RANGO]]),1)*2+66)),
                                              CHAR(RANK(#REF!,INDIRECT(Tabla_DOC[[#This Row],[RANGO]]),1)+66))&amp;ROW(),"")</totalsRowFormula>
    </tableColumn>
    <tableColumn id="65" name="68" totalsRowFunction="custom" dataDxfId="82" totalsRowDxfId="81">
      <calculatedColumnFormula>IFERROR(IF(Tipo_Cuestionario_Cod="EM",
IF(ISEVEN(BM$3),AO$3,CHAR(RANK(AO4,INDIRECT(Tabla_DOC[[#This Row],[RANGO]]),1)*2+66)),
IF(Tipo_Cuestionario_Cod="PP",IF(ISODD(BM$3),CHAR(RANK(AO4,INDIRECT(Tabla_DOC[[#This Row],[RANGO]]),1)*2+66),CHAR(CODE(MID(BN4,1,1))-1)),
                                              CHAR(RANK(AO4,INDIRECT(Tabla_DOC[[#This Row],[RANGO]]),1)+66)))&amp;ROW(),"")</calculatedColumnFormula>
      <totalsRowFormula>IFERROR(IF(OR(Tipo_Cuestionario_Cod="EM",Tipo_Cuestionario_Cod="PP"),
IF(ISEVEN(BM$3),AO$3,CHAR(RANK(#REF!,INDIRECT(Tabla_DOC[[#This Row],[RANGO]]),1)*2+66)),
                                              CHAR(RANK(#REF!,INDIRECT(Tabla_DOC[[#This Row],[RANGO]]),1)+66))&amp;ROW(),"")</totalsRowFormula>
    </tableColumn>
    <tableColumn id="66" name="69" totalsRowFunction="custom" dataDxfId="80" totalsRowDxfId="79">
      <calculatedColumnFormula>IFERROR(IF(Tipo_Cuestionario_Cod="EM",
IF(ISEVEN(BN$3),AP$3,CHAR(RANK(AP4,INDIRECT(Tabla_DOC[[#This Row],[RANGO]]),1)*2+66)),
IF(Tipo_Cuestionario_Cod="PP",IF(ISODD(BN$3),CHAR(RANK(AP4,INDIRECT(Tabla_DOC[[#This Row],[RANGO]]),1)*2+66),CHAR(CODE(MID(BO4,1,1))-1)),
                                              CHAR(RANK(AP4,INDIRECT(Tabla_DOC[[#This Row],[RANGO]]),1)+66)))&amp;ROW(),"")</calculatedColumnFormula>
      <totalsRowFormula>IFERROR(IF(OR(Tipo_Cuestionario_Cod="EM",Tipo_Cuestionario_Cod="PP"),
IF(ISEVEN(BN$3),AP$3,CHAR(RANK(#REF!,INDIRECT(Tabla_DOC[[#This Row],[RANGO]]),1)*2+66)),
                                              CHAR(RANK(#REF!,INDIRECT(Tabla_DOC[[#This Row],[RANGO]]),1)+66))&amp;ROW(),"")</totalsRowFormula>
    </tableColumn>
    <tableColumn id="67" name="70" totalsRowFunction="custom" dataDxfId="78" totalsRowDxfId="77">
      <calculatedColumnFormula>IFERROR(IF(Tipo_Cuestionario_Cod="EM",
IF(ISEVEN(BO$3),AQ$3,CHAR(RANK(AQ4,INDIRECT(Tabla_DOC[[#This Row],[RANGO]]),1)*2+66)),
IF(Tipo_Cuestionario_Cod="PP",IF(ISODD(BO$3),CHAR(RANK(AQ4,INDIRECT(Tabla_DOC[[#This Row],[RANGO]]),1)*2+66),CHAR(CODE(MID(BP4,1,1))-1)),
                                              CHAR(RANK(AQ4,INDIRECT(Tabla_DOC[[#This Row],[RANGO]]),1)+66)))&amp;ROW(),"")</calculatedColumnFormula>
      <totalsRowFormula>IFERROR(IF(OR(Tipo_Cuestionario_Cod="EM",Tipo_Cuestionario_Cod="PP"),
IF(ISEVEN(BO$3),AQ$3,CHAR(RANK(#REF!,INDIRECT(Tabla_DOC[[#This Row],[RANGO]]),1)*2+66)),
                                              CHAR(RANK(#REF!,INDIRECT(Tabla_DOC[[#This Row],[RANGO]]),1)+66))&amp;ROW(),"")</totalsRowFormula>
    </tableColumn>
    <tableColumn id="68" name="71" totalsRowFunction="custom" dataDxfId="76" totalsRowDxfId="75">
      <calculatedColumnFormula>IFERROR(IF(Tipo_Cuestionario_Cod="EM",
IF(ISEVEN(BP$3),AR$3,CHAR(RANK(AR4,INDIRECT(Tabla_DOC[[#This Row],[RANGO]]),1)*2+66)),
IF(Tipo_Cuestionario_Cod="PP",IF(ISODD(BP$3),CHAR(RANK(AR4,INDIRECT(Tabla_DOC[[#This Row],[RANGO]]),1)*2+66),CHAR(CODE(MID(BQ4,1,1))-1)),
                                              CHAR(RANK(AR4,INDIRECT(Tabla_DOC[[#This Row],[RANGO]]),1)+66)))&amp;ROW(),"")</calculatedColumnFormula>
      <totalsRowFormula>IFERROR(IF(OR(Tipo_Cuestionario_Cod="EM",Tipo_Cuestionario_Cod="PP"),
IF(ISEVEN(BP$3),AR$3,CHAR(RANK(#REF!,INDIRECT(Tabla_DOC[[#This Row],[RANGO]]),1)*2+66)),
                                              CHAR(RANK(#REF!,INDIRECT(Tabla_DOC[[#This Row],[RANGO]]),1)+66))&amp;ROW(),"")</totalsRowFormula>
    </tableColumn>
    <tableColumn id="69" name="72" totalsRowFunction="custom" dataDxfId="74" totalsRowDxfId="73">
      <calculatedColumnFormula>IFERROR(IF(Tipo_Cuestionario_Cod="EM",
IF(ISEVEN(BQ$3),AS$3,CHAR(RANK(AS4,INDIRECT(Tabla_DOC[[#This Row],[RANGO]]),1)*2+66)),
IF(Tipo_Cuestionario_Cod="PP",IF(ISODD(BQ$3),CHAR(RANK(AS4,INDIRECT(Tabla_DOC[[#This Row],[RANGO]]),1)*2+66),CHAR(CODE(MID(BR4,1,1))-1)),
                                              CHAR(RANK(AS4,INDIRECT(Tabla_DOC[[#This Row],[RANGO]]),1)+66)))&amp;ROW(),"")</calculatedColumnFormula>
      <totalsRowFormula>IFERROR(IF(OR(Tipo_Cuestionario_Cod="EM",Tipo_Cuestionario_Cod="PP"),
IF(ISEVEN(BQ$3),AS$3,CHAR(RANK(#REF!,INDIRECT(Tabla_DOC[[#This Row],[RANGO]]),1)*2+66)),
                                              CHAR(RANK(#REF!,INDIRECT(Tabla_DOC[[#This Row],[RANGO]]),1)+66))&amp;ROW(),"")</totalsRowFormula>
    </tableColumn>
    <tableColumn id="70" name="73" totalsRowFunction="custom" dataDxfId="72" totalsRowDxfId="71">
      <calculatedColumnFormula>IFERROR(IF(Tipo_Cuestionario_Cod="EM",
IF(ISEVEN(BR$3),AT$3,CHAR(RANK(AT4,INDIRECT(Tabla_DOC[[#This Row],[RANGO]]),1)*2+66)),
IF(Tipo_Cuestionario_Cod="PP",IF(ISODD(BR$3),CHAR(RANK(AT4,INDIRECT(Tabla_DOC[[#This Row],[RANGO]]),1)*2+66),CHAR(CODE(MID(BS4,1,1))-1)),
                                              CHAR(RANK(AT4,INDIRECT(Tabla_DOC[[#This Row],[RANGO]]),1)+66)))&amp;ROW(),"")</calculatedColumnFormula>
      <totalsRowFormula>IFERROR(IF(OR(Tipo_Cuestionario_Cod="EM",Tipo_Cuestionario_Cod="PP"),
IF(ISEVEN(BR$3),AT$3,CHAR(RANK(#REF!,INDIRECT(Tabla_DOC[[#This Row],[RANGO]]),1)*2+66)),
                                              CHAR(RANK(#REF!,INDIRECT(Tabla_DOC[[#This Row],[RANGO]]),1)+66))&amp;ROW(),"")</totalsRowFormula>
    </tableColumn>
    <tableColumn id="71" name="74" totalsRowFunction="custom" dataDxfId="70" totalsRowDxfId="69">
      <calculatedColumnFormula>IFERROR(IF(Tipo_Cuestionario_Cod="EM",
IF(ISEVEN(BS$3),AU$3,CHAR(RANK(AU4,INDIRECT(Tabla_DOC[[#This Row],[RANGO]]),1)*2+66)),
IF(Tipo_Cuestionario_Cod="PP",IF(ISODD(BS$3),CHAR(RANK(AU4,INDIRECT(Tabla_DOC[[#This Row],[RANGO]]),1)*2+66),CHAR(CODE(MID(BT4,1,1))-1)),
                                              CHAR(RANK(AU4,INDIRECT(Tabla_DOC[[#This Row],[RANGO]]),1)+66)))&amp;ROW(),"")</calculatedColumnFormula>
      <totalsRowFormula>IFERROR(IF(OR(Tipo_Cuestionario_Cod="EM",Tipo_Cuestionario_Cod="PP"),
IF(ISEVEN(BS$3),AU$3,CHAR(RANK(#REF!,INDIRECT(Tabla_DOC[[#This Row],[RANGO]]),1)*2+66)),
                                              CHAR(RANK(#REF!,INDIRECT(Tabla_DOC[[#This Row],[RANGO]]),1)+66))&amp;ROW(),"")</totalsRowFormula>
    </tableColumn>
    <tableColumn id="72" name="75" totalsRowFunction="custom" dataDxfId="68" totalsRowDxfId="67">
      <calculatedColumnFormula>IFERROR(IF(Tipo_Cuestionario_Cod="EM",
IF(ISEVEN(BT$3),AV$3,CHAR(RANK(AV4,INDIRECT(Tabla_DOC[[#This Row],[RANGO]]),1)*2+66)),
IF(Tipo_Cuestionario_Cod="PP",IF(ISODD(BT$3),CHAR(RANK(AV4,INDIRECT(Tabla_DOC[[#This Row],[RANGO]]),1)*2+66),CHAR(CODE(MID(BU4,1,1))-1)),
                                              CHAR(RANK(AV4,INDIRECT(Tabla_DOC[[#This Row],[RANGO]]),1)+66)))&amp;ROW(),"")</calculatedColumnFormula>
      <totalsRowFormula>IFERROR(IF(OR(Tipo_Cuestionario_Cod="EM",Tipo_Cuestionario_Cod="PP"),
IF(ISEVEN(BT$3),AV$3,CHAR(RANK(#REF!,INDIRECT(Tabla_DOC[[#This Row],[RANGO]]),1)*2+66)),
                                              CHAR(RANK(#REF!,INDIRECT(Tabla_DOC[[#This Row],[RANGO]]),1)+66))&amp;ROW(),"")</totalsRowFormula>
    </tableColumn>
    <tableColumn id="73" name="76" totalsRowFunction="custom" dataDxfId="66" totalsRowDxfId="65">
      <calculatedColumnFormula>IFERROR(IF(Tipo_Cuestionario_Cod="EM",
IF(ISEVEN(BU$3),AW$3,CHAR(RANK(AW4,INDIRECT(Tabla_DOC[[#This Row],[RANGO]]),1)*2+66)),
IF(Tipo_Cuestionario_Cod="PP",IF(ISODD(BU$3),CHAR(RANK(AW4,INDIRECT(Tabla_DOC[[#This Row],[RANGO]]),1)*2+66),CHAR(CODE(MID(BV4,1,1))-1)),
                                              CHAR(RANK(AW4,INDIRECT(Tabla_DOC[[#This Row],[RANGO]]),1)+66)))&amp;ROW(),"")</calculatedColumnFormula>
      <totalsRowFormula>IFERROR(IF(OR(Tipo_Cuestionario_Cod="EM",Tipo_Cuestionario_Cod="PP"),
IF(ISEVEN(BU$3),AW$3,CHAR(RANK(#REF!,INDIRECT(Tabla_DOC[[#This Row],[RANGO]]),1)*2+66)),
                                              CHAR(RANK(#REF!,INDIRECT(Tabla_DOC[[#This Row],[RANGO]]),1)+66))&amp;ROW(),"")</totalsRowFormula>
    </tableColumn>
    <tableColumn id="74" name="77" totalsRowFunction="custom" dataDxfId="64" totalsRowDxfId="63">
      <calculatedColumnFormula>IFERROR(IF(Tipo_Cuestionario_Cod="EM",
IF(ISEVEN(BV$3),AX$3,CHAR(RANK(AX4,INDIRECT(Tabla_DOC[[#This Row],[RANGO]]),1)*2+66)),
IF(Tipo_Cuestionario_Cod="PP",IF(ISODD(BV$3),CHAR(RANK(AX4,INDIRECT(Tabla_DOC[[#This Row],[RANGO]]),1)*2+66),CHAR(CODE(MID(BW4,1,1))-1)),
                                              CHAR(RANK(AX4,INDIRECT(Tabla_DOC[[#This Row],[RANGO]]),1)+66)))&amp;ROW(),"")</calculatedColumnFormula>
      <totalsRowFormula>IFERROR(IF(OR(Tipo_Cuestionario_Cod="EM",Tipo_Cuestionario_Cod="PP"),
IF(ISEVEN(BV$3),AX$3,CHAR(RANK(#REF!,INDIRECT(Tabla_DOC[[#This Row],[RANGO]]),1)*2+66)),
                                              CHAR(RANK(#REF!,INDIRECT(Tabla_DOC[[#This Row],[RANGO]]),1)+66))&amp;ROW(),"")</totalsRowFormula>
    </tableColumn>
    <tableColumn id="75" name="NR" totalsRowFunction="custom" dataDxfId="62" totalsRowDxfId="61">
      <calculatedColumnFormula>24-COUNTIF(Tabla_DOC[[#This Row],[1]:[24]],"")</calculatedColumnFormula>
      <totalsRowFormula>24-COUNTIF(Tabla_DOC[[#This Row],[1]:[24]],"")</totalsRowFormula>
    </tableColumn>
    <tableColumn id="76" name="ALE P" totalsRowFunction="custom" dataDxfId="60" totalsRowDxfId="59">
      <calculatedColumnFormula>RAND()</calculatedColumnFormula>
      <totalsRowFormula>RAND()</totalsRowFormula>
    </tableColumn>
    <tableColumn id="77" name="RANGO" totalsRowFunction="custom" dataDxfId="58" totalsRowDxfId="57">
      <calculatedColumnFormula>"DOC!$AA"&amp;ROW()&amp;":A"&amp;CHAR(CODE("A")+Tabla_DOC[[#This Row],[NR]]-1)&amp;"$"&amp;ROW()</calculatedColumnFormula>
      <totalsRowFormula>"DOC!$AA"&amp;ROW()&amp;":A"&amp;CHAR(CODE("A")+Tabla_DOC[[#This Row],[NR]]-1)&amp;"$"&amp;ROW()</totalsRowFormula>
    </tableColumn>
  </tableColumns>
  <tableStyleInfo name="Tabla_UCA" showFirstColumn="0" showLastColumn="0" showRowStripes="1" showColumnStripes="0"/>
</table>
</file>

<file path=xl/tables/table11.xml><?xml version="1.0" encoding="utf-8"?>
<table xmlns="http://schemas.openxmlformats.org/spreadsheetml/2006/main" id="6" name="Tabla_DOC_2" displayName="Tabla_DOC_2" ref="A3:Z4" totalsRowShown="0" headerRowDxfId="56" dataDxfId="55">
  <autoFilter ref="A3:Z4">
    <filterColumn colId="0" hiddenButton="1"/>
    <filterColumn colId="1" hiddenButton="1"/>
    <filterColumn colId="2" hiddenButton="1"/>
    <filterColumn colId="3" hiddenButton="1"/>
    <filterColumn colId="4" hiddenButton="1"/>
    <filterColumn colId="5" hiddenButton="1"/>
    <filterColumn colId="6" hiddenButton="1"/>
    <filterColumn colId="7" hiddenButton="1"/>
    <filterColumn colId="8" hiddenButton="1"/>
    <filterColumn colId="9" hiddenButton="1"/>
    <filterColumn colId="10" hiddenButton="1"/>
    <filterColumn colId="11" hiddenButton="1"/>
    <filterColumn colId="12" hiddenButton="1"/>
    <filterColumn colId="13" hiddenButton="1"/>
    <filterColumn colId="14" hiddenButton="1"/>
    <filterColumn colId="15" hiddenButton="1"/>
    <filterColumn colId="16" hiddenButton="1"/>
    <filterColumn colId="17" hiddenButton="1"/>
    <filterColumn colId="18" hiddenButton="1"/>
    <filterColumn colId="19" hiddenButton="1"/>
    <filterColumn colId="20" hiddenButton="1"/>
    <filterColumn colId="21" hiddenButton="1"/>
    <filterColumn colId="22" hiddenButton="1"/>
    <filterColumn colId="23" hiddenButton="1"/>
    <filterColumn colId="24" hiddenButton="1"/>
    <filterColumn colId="25" hiddenButton="1"/>
  </autoFilter>
  <tableColumns count="26">
    <tableColumn id="1" name="N" dataDxfId="54">
      <calculatedColumnFormula>IFERROR(RANK(Tabla_DOC[[#This Row],[ALE P]],Tabla_DOC[ALE P],1),"")</calculatedColumnFormula>
    </tableColumn>
    <tableColumn id="2" name="ENUNCIADO" dataDxfId="53">
      <calculatedColumnFormula>IFERROR(ROW()-3&amp;MID(INDIRECT("DOC!B"&amp;Tabla_DOC_2[[#This Row],[N]]+3),LEN($A4)+1,10000),"")</calculatedColumnFormula>
    </tableColumn>
    <tableColumn id="3" name="1" dataDxfId="52">
      <calculatedColumnFormula>IFERROR(
IF(OR(Tipo_Cuestionario_Cod="OM",Tipo_Cuestionario_Cod="O2",Tipo_Cuestionario_Cod="VF"),
DOC!C$2&amp;MID(INDIRECT("DOC!"&amp;VLOOKUP(Tabla_DOC_2[[#This Row],[N]]+$A$2,Tabla_DOC[],C$3+50,0)),3,1000),
                                      INDIRECT("DOC!"&amp;VLOOKUP(Tabla_DOC_2[[#This Row],[N]]+$A$2,Tabla_DOC[],C$3+50,0))),"")</calculatedColumnFormula>
    </tableColumn>
    <tableColumn id="4" name="2" dataDxfId="51">
      <calculatedColumnFormula>IFERROR(
IF(OR(Tipo_Cuestionario_Cod="OM",Tipo_Cuestionario_Cod="O2",Tipo_Cuestionario_Cod="VF"),
DOC!D$2&amp;MID(INDIRECT("DOC!"&amp;VLOOKUP(Tabla_DOC_2[[#This Row],[N]]+$A$2,Tabla_DOC[],D$3+50,0)),3,1000),
                                      INDIRECT("DOC!"&amp;VLOOKUP(Tabla_DOC_2[[#This Row],[N]]+$A$2,Tabla_DOC[],D$3+50,0))),"")</calculatedColumnFormula>
    </tableColumn>
    <tableColumn id="5" name="3" dataDxfId="50">
      <calculatedColumnFormula>IFERROR(
IF(OR(Tipo_Cuestionario_Cod="OM",Tipo_Cuestionario_Cod="O2",Tipo_Cuestionario_Cod="VF"),
DOC!E$2&amp;MID(INDIRECT("DOC!"&amp;VLOOKUP(Tabla_DOC_2[[#This Row],[N]]+$A$2,Tabla_DOC[],E$3+50,0)),3,1000),
                                      INDIRECT("DOC!"&amp;VLOOKUP(Tabla_DOC_2[[#This Row],[N]]+$A$2,Tabla_DOC[],E$3+50,0))),"")</calculatedColumnFormula>
    </tableColumn>
    <tableColumn id="6" name="4" dataDxfId="49">
      <calculatedColumnFormula>IFERROR(
IF(OR(Tipo_Cuestionario_Cod="OM",Tipo_Cuestionario_Cod="O2",Tipo_Cuestionario_Cod="VF"),
DOC!F$2&amp;MID(INDIRECT("DOC!"&amp;VLOOKUP(Tabla_DOC_2[[#This Row],[N]]+$A$2,Tabla_DOC[],F$3+50,0)),3,1000),
                                      INDIRECT("DOC!"&amp;VLOOKUP(Tabla_DOC_2[[#This Row],[N]]+$A$2,Tabla_DOC[],F$3+50,0))),"")</calculatedColumnFormula>
    </tableColumn>
    <tableColumn id="7" name="5" dataDxfId="48">
      <calculatedColumnFormula>IFERROR(
IF(OR(Tipo_Cuestionario_Cod="OM",Tipo_Cuestionario_Cod="O2",Tipo_Cuestionario_Cod="VF"),
DOC!G$2&amp;MID(INDIRECT("DOC!"&amp;VLOOKUP(Tabla_DOC_2[[#This Row],[N]]+$A$2,Tabla_DOC[],G$3+50,0)),3,1000),
                                      INDIRECT("DOC!"&amp;VLOOKUP(Tabla_DOC_2[[#This Row],[N]]+$A$2,Tabla_DOC[],G$3+50,0))),"")</calculatedColumnFormula>
    </tableColumn>
    <tableColumn id="8" name="6" dataDxfId="47">
      <calculatedColumnFormula>IFERROR(
IF(OR(Tipo_Cuestionario_Cod="OM",Tipo_Cuestionario_Cod="O2",Tipo_Cuestionario_Cod="VF"),
DOC!H$2&amp;MID(INDIRECT("DOC!"&amp;VLOOKUP(Tabla_DOC_2[[#This Row],[N]]+$A$2,Tabla_DOC[],H$3+50,0)),3,1000),
                                      INDIRECT("DOC!"&amp;VLOOKUP(Tabla_DOC_2[[#This Row],[N]]+$A$2,Tabla_DOC[],H$3+50,0))),"")</calculatedColumnFormula>
    </tableColumn>
    <tableColumn id="9" name="7" dataDxfId="46">
      <calculatedColumnFormula>IFERROR(
IF(OR(Tipo_Cuestionario_Cod="OM",Tipo_Cuestionario_Cod="O2",Tipo_Cuestionario_Cod="VF"),
DOC!I$2&amp;MID(INDIRECT("DOC!"&amp;VLOOKUP(Tabla_DOC_2[[#This Row],[N]]+$A$2,Tabla_DOC[],I$3+50,0)),3,1000),
                                      INDIRECT("DOC!"&amp;VLOOKUP(Tabla_DOC_2[[#This Row],[N]]+$A$2,Tabla_DOC[],I$3+50,0))),"")</calculatedColumnFormula>
    </tableColumn>
    <tableColumn id="10" name="8" dataDxfId="45">
      <calculatedColumnFormula>IFERROR(
IF(OR(Tipo_Cuestionario_Cod="OM",Tipo_Cuestionario_Cod="O2",Tipo_Cuestionario_Cod="VF"),
DOC!J$2&amp;MID(INDIRECT("DOC!"&amp;VLOOKUP(Tabla_DOC_2[[#This Row],[N]]+$A$2,Tabla_DOC[],J$3+50,0)),3,1000),
INDIRECT("DOC!"&amp;VLOOKUP(Tabla_DOC_2[[#This Row],[N]]+$A$2,Tabla_DOC[],J$3+50,0))),"")</calculatedColumnFormula>
    </tableColumn>
    <tableColumn id="11" name="9" dataDxfId="44">
      <calculatedColumnFormula>IFERROR(
IF(OR(Tipo_Cuestionario_Cod="OM",Tipo_Cuestionario_Cod="O2",Tipo_Cuestionario_Cod="VF"),
DOC!K$2&amp;MID(INDIRECT("DOC!"&amp;VLOOKUP(Tabla_DOC_2[[#This Row],[N]]+$A$2,Tabla_DOC[],K$3+50,0)),3,1000),
INDIRECT("DOC!"&amp;VLOOKUP(Tabla_DOC_2[[#This Row],[N]]+$A$2,Tabla_DOC[],K$3+50,0))),"")</calculatedColumnFormula>
    </tableColumn>
    <tableColumn id="12" name="10" dataDxfId="43">
      <calculatedColumnFormula>IFERROR(
IF(OR(Tipo_Cuestionario_Cod="OM",Tipo_Cuestionario_Cod="O2",Tipo_Cuestionario_Cod="VF"),
DOC!L$2&amp;MID(INDIRECT("DOC!"&amp;VLOOKUP(Tabla_DOC_2[[#This Row],[N]]+$A$2,Tabla_DOC[],L$3+50,0)),3,1000),
INDIRECT("DOC!"&amp;VLOOKUP(Tabla_DOC_2[[#This Row],[N]]+$A$2,Tabla_DOC[],L$3+50,0))),"")</calculatedColumnFormula>
    </tableColumn>
    <tableColumn id="13" name="11" dataDxfId="42">
      <calculatedColumnFormula>IFERROR(
IF(OR(Tipo_Cuestionario_Cod="OM",Tipo_Cuestionario_Cod="O2",Tipo_Cuestionario_Cod="VF"),
DOC!M$2&amp;MID(INDIRECT("DOC!"&amp;VLOOKUP(Tabla_DOC_2[[#This Row],[N]]+$A$2,Tabla_DOC[],M$3+50,0)),3,1000),
INDIRECT("DOC!"&amp;VLOOKUP(Tabla_DOC_2[[#This Row],[N]]+$A$2,Tabla_DOC[],M$3+50,0))),"")</calculatedColumnFormula>
    </tableColumn>
    <tableColumn id="14" name="12" dataDxfId="41">
      <calculatedColumnFormula>IFERROR(
IF(OR(Tipo_Cuestionario_Cod="OM",Tipo_Cuestionario_Cod="O2",Tipo_Cuestionario_Cod="VF"),
DOC!N$2&amp;MID(INDIRECT("DOC!"&amp;VLOOKUP(Tabla_DOC_2[[#This Row],[N]]+$A$2,Tabla_DOC[],N$3+50,0)),3,1000),
INDIRECT("DOC!"&amp;VLOOKUP(Tabla_DOC_2[[#This Row],[N]]+$A$2,Tabla_DOC[],N$3+50,0))),"")</calculatedColumnFormula>
    </tableColumn>
    <tableColumn id="15" name="13" dataDxfId="40">
      <calculatedColumnFormula>IFERROR(
IF(OR(Tipo_Cuestionario_Cod="OM",Tipo_Cuestionario_Cod="O2",Tipo_Cuestionario_Cod="VF"),
DOC!O$2&amp;MID(INDIRECT("DOC!"&amp;VLOOKUP(Tabla_DOC_2[[#This Row],[N]]+$A$2,Tabla_DOC[],O$3+50,0)),3,1000),
INDIRECT("DOC!"&amp;VLOOKUP(Tabla_DOC_2[[#This Row],[N]]+$A$2,Tabla_DOC[],O$3+50,0))),"")</calculatedColumnFormula>
    </tableColumn>
    <tableColumn id="16" name="14" dataDxfId="39">
      <calculatedColumnFormula>IFERROR(
IF(OR(Tipo_Cuestionario_Cod="OM",Tipo_Cuestionario_Cod="O2",Tipo_Cuestionario_Cod="VF"),
DOC!P$2&amp;MID(INDIRECT("DOC!"&amp;VLOOKUP(Tabla_DOC_2[[#This Row],[N]]+$A$2,Tabla_DOC[],P$3+50,0)),3,1000),
INDIRECT("DOC!"&amp;VLOOKUP(Tabla_DOC_2[[#This Row],[N]]+$A$2,Tabla_DOC[],P$3+50,0))),"")</calculatedColumnFormula>
    </tableColumn>
    <tableColumn id="17" name="15" dataDxfId="38">
      <calculatedColumnFormula>IFERROR(
IF(OR(Tipo_Cuestionario_Cod="OM",Tipo_Cuestionario_Cod="O2",Tipo_Cuestionario_Cod="VF"),
DOC!Q$2&amp;MID(INDIRECT("DOC!"&amp;VLOOKUP(Tabla_DOC_2[[#This Row],[N]]+$A$2,Tabla_DOC[],Q$3+50,0)),3,1000),
INDIRECT("DOC!"&amp;VLOOKUP(Tabla_DOC_2[[#This Row],[N]]+$A$2,Tabla_DOC[],Q$3+50,0))),"")</calculatedColumnFormula>
    </tableColumn>
    <tableColumn id="18" name="16" dataDxfId="37">
      <calculatedColumnFormula>IFERROR(
IF(OR(Tipo_Cuestionario_Cod="OM",Tipo_Cuestionario_Cod="O2",Tipo_Cuestionario_Cod="VF"),
DOC!R$2&amp;MID(INDIRECT("DOC!"&amp;VLOOKUP(Tabla_DOC_2[[#This Row],[N]]+$A$2,Tabla_DOC[],R$3+50,0)),3,1000),
INDIRECT("DOC!"&amp;VLOOKUP(Tabla_DOC_2[[#This Row],[N]]+$A$2,Tabla_DOC[],R$3+50,0))),"")</calculatedColumnFormula>
    </tableColumn>
    <tableColumn id="19" name="17" dataDxfId="36">
      <calculatedColumnFormula>IFERROR(
IF(OR(Tipo_Cuestionario_Cod="OM",Tipo_Cuestionario_Cod="O2",Tipo_Cuestionario_Cod="VF"),
DOC!S$2&amp;MID(INDIRECT("DOC!"&amp;VLOOKUP(Tabla_DOC_2[[#This Row],[N]]+$A$2,Tabla_DOC[],S$3+50,0)),3,1000),
INDIRECT("DOC!"&amp;VLOOKUP(Tabla_DOC_2[[#This Row],[N]]+$A$2,Tabla_DOC[],S$3+50,0))),"")</calculatedColumnFormula>
    </tableColumn>
    <tableColumn id="20" name="18" dataDxfId="35">
      <calculatedColumnFormula>IFERROR(
IF(OR(Tipo_Cuestionario_Cod="OM",Tipo_Cuestionario_Cod="O2",Tipo_Cuestionario_Cod="VF"),
DOC!T$2&amp;MID(INDIRECT("DOC!"&amp;VLOOKUP(Tabla_DOC_2[[#This Row],[N]]+$A$2,Tabla_DOC[],T$3+50,0)),3,1000),
INDIRECT("DOC!"&amp;VLOOKUP(Tabla_DOC_2[[#This Row],[N]]+$A$2,Tabla_DOC[],T$3+50,0))),"")</calculatedColumnFormula>
    </tableColumn>
    <tableColumn id="21" name="19" dataDxfId="34">
      <calculatedColumnFormula>IFERROR(
IF(OR(Tipo_Cuestionario_Cod="OM",Tipo_Cuestionario_Cod="O2",Tipo_Cuestionario_Cod="VF"),
DOC!U$2&amp;MID(INDIRECT("DOC!"&amp;VLOOKUP(Tabla_DOC_2[[#This Row],[N]]+$A$2,Tabla_DOC[],U$3+50,0)),3,1000),
INDIRECT("DOC!"&amp;VLOOKUP(Tabla_DOC_2[[#This Row],[N]]+$A$2,Tabla_DOC[],U$3+50,0))),"")</calculatedColumnFormula>
    </tableColumn>
    <tableColumn id="22" name="20" dataDxfId="33">
      <calculatedColumnFormula>IFERROR(
IF(OR(Tipo_Cuestionario_Cod="OM",Tipo_Cuestionario_Cod="O2",Tipo_Cuestionario_Cod="VF"),
DOC!V$2&amp;MID(INDIRECT("DOC!"&amp;VLOOKUP(Tabla_DOC_2[[#This Row],[N]]+$A$2,Tabla_DOC[],V$3+50,0)),3,1000),
INDIRECT("DOC!"&amp;VLOOKUP(Tabla_DOC_2[[#This Row],[N]]+$A$2,Tabla_DOC[],V$3+50,0))),"")</calculatedColumnFormula>
    </tableColumn>
    <tableColumn id="23" name="21" dataDxfId="32">
      <calculatedColumnFormula>IFERROR(
IF(OR(Tipo_Cuestionario_Cod="OM",Tipo_Cuestionario_Cod="O2",Tipo_Cuestionario_Cod="VF"),
DOC!W$2&amp;MID(INDIRECT("DOC!"&amp;VLOOKUP(Tabla_DOC_2[[#This Row],[N]]+$A$2,Tabla_DOC[],W$3+50,0)),3,1000),
INDIRECT("DOC!"&amp;VLOOKUP(Tabla_DOC_2[[#This Row],[N]]+$A$2,Tabla_DOC[],W$3+50,0))),"")</calculatedColumnFormula>
    </tableColumn>
    <tableColumn id="24" name="22" dataDxfId="31">
      <calculatedColumnFormula>IFERROR(
IF(OR(Tipo_Cuestionario_Cod="OM",Tipo_Cuestionario_Cod="O2",Tipo_Cuestionario_Cod="VF"),
DOC!X$2&amp;MID(INDIRECT("DOC!"&amp;VLOOKUP(Tabla_DOC_2[[#This Row],[N]]+$A$2,Tabla_DOC[],X$3+50,0)),3,1000),
INDIRECT("DOC!"&amp;VLOOKUP(Tabla_DOC_2[[#This Row],[N]]+$A$2,Tabla_DOC[],X$3+50,0))),"")</calculatedColumnFormula>
    </tableColumn>
    <tableColumn id="25" name="23" dataDxfId="30">
      <calculatedColumnFormula>IFERROR(
IF(OR(Tipo_Cuestionario_Cod="OM",Tipo_Cuestionario_Cod="O2",Tipo_Cuestionario_Cod="VF"),
DOC!Y$2&amp;MID(INDIRECT("DOC!"&amp;VLOOKUP(Tabla_DOC_2[[#This Row],[N]]+$A$2,Tabla_DOC[],Y$3+50,0)),3,1000),
INDIRECT("DOC!"&amp;VLOOKUP(Tabla_DOC_2[[#This Row],[N]]+$A$2,Tabla_DOC[],Y$3+50,0))),"")</calculatedColumnFormula>
    </tableColumn>
    <tableColumn id="26" name="24" dataDxfId="29">
      <calculatedColumnFormula>IFERROR(
IF(OR(Tipo_Cuestionario_Cod="OM",Tipo_Cuestionario_Cod="O2",Tipo_Cuestionario_Cod="VF"),
DOC!Z$2&amp;MID(INDIRECT("DOC!"&amp;VLOOKUP(Tabla_DOC_2[[#This Row],[N]]+$A$2,Tabla_DOC[],Z$3+50,0)),3,1000),
INDIRECT("DOC!"&amp;VLOOKUP(Tabla_DOC_2[[#This Row],[N]]+$A$2,Tabla_DOC[],Z$3+50,0))),"")</calculatedColumnFormula>
    </tableColumn>
  </tableColumns>
  <tableStyleInfo name="Tabla_UCA" showFirstColumn="0" showLastColumn="0" showRowStripes="1" showColumnStripes="0"/>
</table>
</file>

<file path=xl/tables/table12.xml><?xml version="1.0" encoding="utf-8"?>
<table xmlns="http://schemas.openxmlformats.org/spreadsheetml/2006/main" id="9" name="Tabla_OCA" displayName="Tabla_OCA" ref="A2:P3" totalsRowShown="0" dataDxfId="16">
  <tableColumns count="16">
    <tableColumn id="1" name="Enunciado" dataDxfId="15">
      <calculatedColumnFormula>INDIRECT("'Datos OM'!"&amp;D$1&amp;ROW()+$C$1)</calculatedColumnFormula>
    </tableColumn>
    <tableColumn id="2" name="Respuesta / Answer 1" dataDxfId="14">
      <calculatedColumnFormula>INDEX(Tabla_OCA[[#This Row],[Respuesta 1]:[Respuesta 6]],1,MATCH(MAX(Tabla_OCA[[#This Row],[Puntos 1]:[Puntos 6]]),Tabla_OCA[[#This Row],[Puntos 1]:[Puntos 6]],0))</calculatedColumnFormula>
    </tableColumn>
    <tableColumn id="3" name="Respuesta / Answer 2" dataDxfId="13">
      <calculatedColumnFormula>IF(Tabla_OCA[[#This Row],[Respuesta / Answer 1]]=Tabla_OCA[[#This Row],[Respuesta 1]],Tabla_OCA[[#This Row],[Respuesta 2]],INDEX(Tabla_OCA[[#This Row],[Respuesta 1]:[Respuesta 6]],1,MATCH(MIN(Tabla_OCA[[#This Row],[Puntos 1]:[Puntos 6]]),Tabla_OCA[[#This Row],[Puntos 1]:[Puntos 6]],0)))</calculatedColumnFormula>
    </tableColumn>
    <tableColumn id="4" name="Respuesta / Answer 3" dataDxfId="12">
      <calculatedColumnFormula>IF(Tabla_OCA[[#This Row],[Respuesta / Answer 2]]=Tabla_OCA[[#This Row],[Respuesta 2]],Tabla_OCA[[#This Row],[Respuesta 3]],INDEX(Tabla_OCA[[#This Row],[Respuesta 1]:[Respuesta 6]],1,MATCH(MIN(Tabla_OCA[[#This Row],[Puntos 1]:[Puntos 6]]),Tabla_OCA[[#This Row],[Puntos 1]:[Puntos 6]],0)+
                                                                                                         IF(MATCH(MAX(Tabla_OCA[[#This Row],[Puntos 1]:[Puntos 6]]),Tabla_OCA[[#This Row],[Puntos 1]:[Puntos 6]],0)=2,2,1)))</calculatedColumnFormula>
    </tableColumn>
    <tableColumn id="17" name="Respuesta 1" dataDxfId="11">
      <calculatedColumnFormula>INDIRECT("'Datos OM'!"&amp;E$1&amp;ROW()+$C$1)</calculatedColumnFormula>
    </tableColumn>
    <tableColumn id="6" name="Respuesta 2" dataDxfId="10">
      <calculatedColumnFormula>INDIRECT("'Datos OM'!"&amp;F$1&amp;ROW()+$C$1)</calculatedColumnFormula>
    </tableColumn>
    <tableColumn id="7" name="Respuesta 3" dataDxfId="9">
      <calculatedColumnFormula>INDIRECT("'Datos OM'!"&amp;G$1&amp;ROW()+$C$1)</calculatedColumnFormula>
    </tableColumn>
    <tableColumn id="8" name="Respuesta 4" dataDxfId="8">
      <calculatedColumnFormula>INDIRECT("'Datos OM'!"&amp;H$1&amp;ROW()+$C$1)</calculatedColumnFormula>
    </tableColumn>
    <tableColumn id="9" name="Respuesta 5" dataDxfId="7">
      <calculatedColumnFormula>INDIRECT("'Datos OM'!"&amp;I$1&amp;ROW()+$C$1)</calculatedColumnFormula>
    </tableColumn>
    <tableColumn id="10" name="Respuesta 6" dataDxfId="6">
      <calculatedColumnFormula>INDIRECT("'Datos OM'!"&amp;J$1&amp;ROW()+$C$1)</calculatedColumnFormula>
    </tableColumn>
    <tableColumn id="11" name="Puntos 1" dataDxfId="5">
      <calculatedColumnFormula>INDIRECT("'Datos OM'!"&amp;K$1&amp;ROW()+$C$1)</calculatedColumnFormula>
    </tableColumn>
    <tableColumn id="12" name="Puntos 2" dataDxfId="4">
      <calculatedColumnFormula>INDIRECT("'Datos OM'!"&amp;L$1&amp;ROW()+$C$1)</calculatedColumnFormula>
    </tableColumn>
    <tableColumn id="13" name="Puntos 3" dataDxfId="3">
      <calculatedColumnFormula>INDIRECT("'Datos OM'!"&amp;M$1&amp;ROW()+$C$1)</calculatedColumnFormula>
    </tableColumn>
    <tableColumn id="14" name="Puntos 4" dataDxfId="2">
      <calculatedColumnFormula>INDIRECT("'Datos OM'!"&amp;N$1&amp;ROW()+$C$1)</calculatedColumnFormula>
    </tableColumn>
    <tableColumn id="15" name="Puntos 5" dataDxfId="1">
      <calculatedColumnFormula>INDIRECT("'Datos OM'!"&amp;O$1&amp;ROW()+$C$1)</calculatedColumnFormula>
    </tableColumn>
    <tableColumn id="16" name="Puntos 6" dataDxfId="0">
      <calculatedColumnFormula>INDIRECT("'Datos OM'!"&amp;P$1&amp;ROW()+$C$1)</calculatedColumnFormula>
    </tableColumn>
  </tableColumns>
  <tableStyleInfo name="Tabla_UCA" showFirstColumn="0" showLastColumn="0" showRowStripes="1" showColumnStripes="0"/>
</table>
</file>

<file path=xl/theme/theme1.xml><?xml version="1.0" encoding="utf-8"?>
<a:theme xmlns:a="http://schemas.openxmlformats.org/drawingml/2006/main" name="Tema de Offic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2" Type="http://schemas.openxmlformats.org/officeDocument/2006/relationships/drawing" Target="../drawings/drawing1.xml"/><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3" Type="http://schemas.openxmlformats.org/officeDocument/2006/relationships/drawing" Target="../drawings/drawing2.xml"/><Relationship Id="rId2" Type="http://schemas.openxmlformats.org/officeDocument/2006/relationships/printerSettings" Target="../printerSettings/printerSettings2.bin"/><Relationship Id="rId1" Type="http://schemas.openxmlformats.org/officeDocument/2006/relationships/hyperlink" Target="mailto:fasttestplugin@gmail.com" TargetMode="External"/><Relationship Id="rId4" Type="http://schemas.openxmlformats.org/officeDocument/2006/relationships/table" Target="../tables/table1.xml"/></Relationships>
</file>

<file path=xl/worksheets/_rels/sheet3.xml.rels><?xml version="1.0" encoding="UTF-8" standalone="yes"?>
<Relationships xmlns="http://schemas.openxmlformats.org/package/2006/relationships"><Relationship Id="rId3" Type="http://schemas.openxmlformats.org/officeDocument/2006/relationships/vmlDrawing" Target="../drawings/vmlDrawing1.vml"/><Relationship Id="rId7" Type="http://schemas.openxmlformats.org/officeDocument/2006/relationships/ctrlProp" Target="../ctrlProps/ctrlProp4.xml"/><Relationship Id="rId2" Type="http://schemas.openxmlformats.org/officeDocument/2006/relationships/drawing" Target="../drawings/drawing3.xml"/><Relationship Id="rId1" Type="http://schemas.openxmlformats.org/officeDocument/2006/relationships/printerSettings" Target="../printerSettings/printerSettings3.bin"/><Relationship Id="rId6" Type="http://schemas.openxmlformats.org/officeDocument/2006/relationships/ctrlProp" Target="../ctrlProps/ctrlProp3.xml"/><Relationship Id="rId5" Type="http://schemas.openxmlformats.org/officeDocument/2006/relationships/ctrlProp" Target="../ctrlProps/ctrlProp2.xml"/><Relationship Id="rId4" Type="http://schemas.openxmlformats.org/officeDocument/2006/relationships/ctrlProp" Target="../ctrlProps/ctrlProp1.xml"/></Relationships>
</file>

<file path=xl/worksheets/_rels/sheet4.xml.rels><?xml version="1.0" encoding="UTF-8" standalone="yes"?>
<Relationships xmlns="http://schemas.openxmlformats.org/package/2006/relationships"><Relationship Id="rId8" Type="http://schemas.openxmlformats.org/officeDocument/2006/relationships/ctrlProp" Target="../ctrlProps/ctrlProp6.xml"/><Relationship Id="rId3" Type="http://schemas.openxmlformats.org/officeDocument/2006/relationships/printerSettings" Target="../printerSettings/printerSettings4.bin"/><Relationship Id="rId7" Type="http://schemas.openxmlformats.org/officeDocument/2006/relationships/ctrlProp" Target="../ctrlProps/ctrlProp5.xml"/><Relationship Id="rId2" Type="http://schemas.openxmlformats.org/officeDocument/2006/relationships/hyperlink" Target="http://projects.ael.uni-tuebingen.de/quiz/htmlarea/index.php" TargetMode="External"/><Relationship Id="rId1" Type="http://schemas.openxmlformats.org/officeDocument/2006/relationships/hyperlink" Target="https://youtu.be/pIMsBcuHDdo" TargetMode="External"/><Relationship Id="rId6" Type="http://schemas.openxmlformats.org/officeDocument/2006/relationships/vmlDrawing" Target="../drawings/vmlDrawing3.vml"/><Relationship Id="rId5" Type="http://schemas.openxmlformats.org/officeDocument/2006/relationships/vmlDrawing" Target="../drawings/vmlDrawing2.vml"/><Relationship Id="rId10" Type="http://schemas.openxmlformats.org/officeDocument/2006/relationships/ctrlProp" Target="../ctrlProps/ctrlProp8.xml"/><Relationship Id="rId4" Type="http://schemas.openxmlformats.org/officeDocument/2006/relationships/drawing" Target="../drawings/drawing4.xml"/><Relationship Id="rId9" Type="http://schemas.openxmlformats.org/officeDocument/2006/relationships/ctrlProp" Target="../ctrlProps/ctrlProp7.xml"/></Relationships>
</file>

<file path=xl/worksheets/_rels/sheet5.xml.rels><?xml version="1.0" encoding="UTF-8" standalone="yes"?>
<Relationships xmlns="http://schemas.openxmlformats.org/package/2006/relationships"><Relationship Id="rId3" Type="http://schemas.openxmlformats.org/officeDocument/2006/relationships/table" Target="../tables/table2.xml"/><Relationship Id="rId2" Type="http://schemas.openxmlformats.org/officeDocument/2006/relationships/drawing" Target="../drawings/drawing5.xml"/><Relationship Id="rId1" Type="http://schemas.openxmlformats.org/officeDocument/2006/relationships/printerSettings" Target="../printerSettings/printerSettings5.bin"/></Relationships>
</file>

<file path=xl/worksheets/_rels/sheet6.xml.rels><?xml version="1.0" encoding="UTF-8" standalone="yes"?>
<Relationships xmlns="http://schemas.openxmlformats.org/package/2006/relationships"><Relationship Id="rId8" Type="http://schemas.openxmlformats.org/officeDocument/2006/relationships/ctrlProp" Target="../ctrlProps/ctrlProp10.xml"/><Relationship Id="rId3" Type="http://schemas.openxmlformats.org/officeDocument/2006/relationships/printerSettings" Target="../printerSettings/printerSettings6.bin"/><Relationship Id="rId7" Type="http://schemas.openxmlformats.org/officeDocument/2006/relationships/ctrlProp" Target="../ctrlProps/ctrlProp9.xml"/><Relationship Id="rId2" Type="http://schemas.openxmlformats.org/officeDocument/2006/relationships/hyperlink" Target="http://projects.ael.uni-tuebingen.de/quiz/htmlarea/index.php" TargetMode="External"/><Relationship Id="rId1" Type="http://schemas.openxmlformats.org/officeDocument/2006/relationships/hyperlink" Target="https://youtu.be/pIMsBcuHDdo" TargetMode="External"/><Relationship Id="rId6" Type="http://schemas.openxmlformats.org/officeDocument/2006/relationships/vmlDrawing" Target="../drawings/vmlDrawing5.vml"/><Relationship Id="rId5" Type="http://schemas.openxmlformats.org/officeDocument/2006/relationships/vmlDrawing" Target="../drawings/vmlDrawing4.vml"/><Relationship Id="rId10" Type="http://schemas.openxmlformats.org/officeDocument/2006/relationships/ctrlProp" Target="../ctrlProps/ctrlProp12.xml"/><Relationship Id="rId4" Type="http://schemas.openxmlformats.org/officeDocument/2006/relationships/drawing" Target="../drawings/drawing6.xml"/><Relationship Id="rId9" Type="http://schemas.openxmlformats.org/officeDocument/2006/relationships/ctrlProp" Target="../ctrlProps/ctrlProp11.xml"/></Relationships>
</file>

<file path=xl/worksheets/_rels/sheet7.xml.rels><?xml version="1.0" encoding="UTF-8" standalone="yes"?>
<Relationships xmlns="http://schemas.openxmlformats.org/package/2006/relationships"><Relationship Id="rId3" Type="http://schemas.openxmlformats.org/officeDocument/2006/relationships/table" Target="../tables/table3.xml"/><Relationship Id="rId2" Type="http://schemas.openxmlformats.org/officeDocument/2006/relationships/drawing" Target="../drawings/drawing7.xml"/><Relationship Id="rId1" Type="http://schemas.openxmlformats.org/officeDocument/2006/relationships/printerSettings" Target="../printerSettings/printerSettings7.bin"/></Relationships>
</file>

<file path=xl/worksheets/_rels/sheet8.xml.rels><?xml version="1.0" encoding="UTF-8" standalone="yes"?>
<Relationships xmlns="http://schemas.openxmlformats.org/package/2006/relationships"><Relationship Id="rId8" Type="http://schemas.openxmlformats.org/officeDocument/2006/relationships/ctrlProp" Target="../ctrlProps/ctrlProp15.xml"/><Relationship Id="rId3" Type="http://schemas.openxmlformats.org/officeDocument/2006/relationships/drawing" Target="../drawings/drawing8.xml"/><Relationship Id="rId7" Type="http://schemas.openxmlformats.org/officeDocument/2006/relationships/ctrlProp" Target="../ctrlProps/ctrlProp14.xml"/><Relationship Id="rId2" Type="http://schemas.openxmlformats.org/officeDocument/2006/relationships/printerSettings" Target="../printerSettings/printerSettings8.bin"/><Relationship Id="rId1" Type="http://schemas.openxmlformats.org/officeDocument/2006/relationships/hyperlink" Target="https://youtu.be/82WmbR3vKeQ" TargetMode="External"/><Relationship Id="rId6" Type="http://schemas.openxmlformats.org/officeDocument/2006/relationships/ctrlProp" Target="../ctrlProps/ctrlProp13.xml"/><Relationship Id="rId5" Type="http://schemas.openxmlformats.org/officeDocument/2006/relationships/vmlDrawing" Target="../drawings/vmlDrawing7.vml"/><Relationship Id="rId4" Type="http://schemas.openxmlformats.org/officeDocument/2006/relationships/vmlDrawing" Target="../drawings/vmlDrawing6.vml"/><Relationship Id="rId9" Type="http://schemas.openxmlformats.org/officeDocument/2006/relationships/ctrlProp" Target="../ctrlProps/ctrlProp16.xml"/></Relationships>
</file>

<file path=xl/worksheets/_rels/sheet9.xml.rels><?xml version="1.0" encoding="UTF-8" standalone="yes"?>
<Relationships xmlns="http://schemas.openxmlformats.org/package/2006/relationships"><Relationship Id="rId3" Type="http://schemas.openxmlformats.org/officeDocument/2006/relationships/table" Target="../tables/table4.xml"/><Relationship Id="rId2" Type="http://schemas.openxmlformats.org/officeDocument/2006/relationships/drawing" Target="../drawings/drawing9.xml"/><Relationship Id="rId1" Type="http://schemas.openxmlformats.org/officeDocument/2006/relationships/printerSettings" Target="../printerSettings/printerSettings9.bin"/></Relationships>
</file>

<file path=xl/worksheets/_rels/sheet10.xml.rels><?xml version="1.0" encoding="UTF-8" standalone="yes"?>
<Relationships xmlns="http://schemas.openxmlformats.org/package/2006/relationships"><Relationship Id="rId8" Type="http://schemas.openxmlformats.org/officeDocument/2006/relationships/ctrlProp" Target="../ctrlProps/ctrlProp19.xml"/><Relationship Id="rId3" Type="http://schemas.openxmlformats.org/officeDocument/2006/relationships/drawing" Target="../drawings/drawing10.xml"/><Relationship Id="rId7" Type="http://schemas.openxmlformats.org/officeDocument/2006/relationships/ctrlProp" Target="../ctrlProps/ctrlProp18.xml"/><Relationship Id="rId2" Type="http://schemas.openxmlformats.org/officeDocument/2006/relationships/printerSettings" Target="../printerSettings/printerSettings10.bin"/><Relationship Id="rId1" Type="http://schemas.openxmlformats.org/officeDocument/2006/relationships/hyperlink" Target="https://youtu.be/m2onfU04kJ4" TargetMode="External"/><Relationship Id="rId6" Type="http://schemas.openxmlformats.org/officeDocument/2006/relationships/ctrlProp" Target="../ctrlProps/ctrlProp17.xml"/><Relationship Id="rId5" Type="http://schemas.openxmlformats.org/officeDocument/2006/relationships/vmlDrawing" Target="../drawings/vmlDrawing9.vml"/><Relationship Id="rId4" Type="http://schemas.openxmlformats.org/officeDocument/2006/relationships/vmlDrawing" Target="../drawings/vmlDrawing8.vml"/><Relationship Id="rId9" Type="http://schemas.openxmlformats.org/officeDocument/2006/relationships/ctrlProp" Target="../ctrlProps/ctrlProp20.xml"/></Relationships>
</file>

<file path=xl/worksheets/_rels/sheet11.xml.rels><?xml version="1.0" encoding="UTF-8" standalone="yes"?>
<Relationships xmlns="http://schemas.openxmlformats.org/package/2006/relationships"><Relationship Id="rId3" Type="http://schemas.openxmlformats.org/officeDocument/2006/relationships/table" Target="../tables/table5.xml"/><Relationship Id="rId2" Type="http://schemas.openxmlformats.org/officeDocument/2006/relationships/drawing" Target="../drawings/drawing11.xml"/><Relationship Id="rId1" Type="http://schemas.openxmlformats.org/officeDocument/2006/relationships/printerSettings" Target="../printerSettings/printerSettings11.bin"/></Relationships>
</file>

<file path=xl/worksheets/_rels/sheet12.xml.rels><?xml version="1.0" encoding="UTF-8" standalone="yes"?>
<Relationships xmlns="http://schemas.openxmlformats.org/package/2006/relationships"><Relationship Id="rId8" Type="http://schemas.openxmlformats.org/officeDocument/2006/relationships/ctrlProp" Target="../ctrlProps/ctrlProp23.xml"/><Relationship Id="rId3" Type="http://schemas.openxmlformats.org/officeDocument/2006/relationships/drawing" Target="../drawings/drawing12.xml"/><Relationship Id="rId7" Type="http://schemas.openxmlformats.org/officeDocument/2006/relationships/ctrlProp" Target="../ctrlProps/ctrlProp22.xml"/><Relationship Id="rId2" Type="http://schemas.openxmlformats.org/officeDocument/2006/relationships/printerSettings" Target="../printerSettings/printerSettings12.bin"/><Relationship Id="rId1" Type="http://schemas.openxmlformats.org/officeDocument/2006/relationships/hyperlink" Target="https://youtu.be/Q3P3f5q4tdA" TargetMode="External"/><Relationship Id="rId6" Type="http://schemas.openxmlformats.org/officeDocument/2006/relationships/ctrlProp" Target="../ctrlProps/ctrlProp21.xml"/><Relationship Id="rId5" Type="http://schemas.openxmlformats.org/officeDocument/2006/relationships/vmlDrawing" Target="../drawings/vmlDrawing11.vml"/><Relationship Id="rId4" Type="http://schemas.openxmlformats.org/officeDocument/2006/relationships/vmlDrawing" Target="../drawings/vmlDrawing10.vml"/><Relationship Id="rId9" Type="http://schemas.openxmlformats.org/officeDocument/2006/relationships/ctrlProp" Target="../ctrlProps/ctrlProp24.xml"/></Relationships>
</file>

<file path=xl/worksheets/_rels/sheet13.xml.rels><?xml version="1.0" encoding="UTF-8" standalone="yes"?>
<Relationships xmlns="http://schemas.openxmlformats.org/package/2006/relationships"><Relationship Id="rId3" Type="http://schemas.openxmlformats.org/officeDocument/2006/relationships/table" Target="../tables/table6.xml"/><Relationship Id="rId2" Type="http://schemas.openxmlformats.org/officeDocument/2006/relationships/drawing" Target="../drawings/drawing13.xml"/><Relationship Id="rId1" Type="http://schemas.openxmlformats.org/officeDocument/2006/relationships/printerSettings" Target="../printerSettings/printerSettings13.bin"/></Relationships>
</file>

<file path=xl/worksheets/_rels/sheet14.xml.rels><?xml version="1.0" encoding="UTF-8" standalone="yes"?>
<Relationships xmlns="http://schemas.openxmlformats.org/package/2006/relationships"><Relationship Id="rId8" Type="http://schemas.openxmlformats.org/officeDocument/2006/relationships/ctrlProp" Target="../ctrlProps/ctrlProp27.xml"/><Relationship Id="rId3" Type="http://schemas.openxmlformats.org/officeDocument/2006/relationships/drawing" Target="../drawings/drawing14.xml"/><Relationship Id="rId7" Type="http://schemas.openxmlformats.org/officeDocument/2006/relationships/ctrlProp" Target="../ctrlProps/ctrlProp26.xml"/><Relationship Id="rId2" Type="http://schemas.openxmlformats.org/officeDocument/2006/relationships/printerSettings" Target="../printerSettings/printerSettings14.bin"/><Relationship Id="rId1" Type="http://schemas.openxmlformats.org/officeDocument/2006/relationships/hyperlink" Target="https://youtu.be/MgyMpsneDbE" TargetMode="External"/><Relationship Id="rId6" Type="http://schemas.openxmlformats.org/officeDocument/2006/relationships/ctrlProp" Target="../ctrlProps/ctrlProp25.xml"/><Relationship Id="rId5" Type="http://schemas.openxmlformats.org/officeDocument/2006/relationships/vmlDrawing" Target="../drawings/vmlDrawing13.vml"/><Relationship Id="rId4" Type="http://schemas.openxmlformats.org/officeDocument/2006/relationships/vmlDrawing" Target="../drawings/vmlDrawing12.vml"/><Relationship Id="rId9" Type="http://schemas.openxmlformats.org/officeDocument/2006/relationships/ctrlProp" Target="../ctrlProps/ctrlProp28.xml"/></Relationships>
</file>

<file path=xl/worksheets/_rels/sheet15.xml.rels><?xml version="1.0" encoding="UTF-8" standalone="yes"?>
<Relationships xmlns="http://schemas.openxmlformats.org/package/2006/relationships"><Relationship Id="rId3" Type="http://schemas.openxmlformats.org/officeDocument/2006/relationships/table" Target="../tables/table7.xml"/><Relationship Id="rId2" Type="http://schemas.openxmlformats.org/officeDocument/2006/relationships/drawing" Target="../drawings/drawing15.xml"/><Relationship Id="rId1" Type="http://schemas.openxmlformats.org/officeDocument/2006/relationships/printerSettings" Target="../printerSettings/printerSettings15.bin"/></Relationships>
</file>

<file path=xl/worksheets/_rels/sheet16.xml.rels><?xml version="1.0" encoding="UTF-8" standalone="yes"?>
<Relationships xmlns="http://schemas.openxmlformats.org/package/2006/relationships"><Relationship Id="rId8" Type="http://schemas.openxmlformats.org/officeDocument/2006/relationships/ctrlProp" Target="../ctrlProps/ctrlProp31.xml"/><Relationship Id="rId3" Type="http://schemas.openxmlformats.org/officeDocument/2006/relationships/drawing" Target="../drawings/drawing16.xml"/><Relationship Id="rId7" Type="http://schemas.openxmlformats.org/officeDocument/2006/relationships/ctrlProp" Target="../ctrlProps/ctrlProp30.xml"/><Relationship Id="rId2" Type="http://schemas.openxmlformats.org/officeDocument/2006/relationships/printerSettings" Target="../printerSettings/printerSettings16.bin"/><Relationship Id="rId1" Type="http://schemas.openxmlformats.org/officeDocument/2006/relationships/hyperlink" Target="https://youtu.be/82WmbR3vKeQ" TargetMode="External"/><Relationship Id="rId6" Type="http://schemas.openxmlformats.org/officeDocument/2006/relationships/ctrlProp" Target="../ctrlProps/ctrlProp29.xml"/><Relationship Id="rId5" Type="http://schemas.openxmlformats.org/officeDocument/2006/relationships/vmlDrawing" Target="../drawings/vmlDrawing15.vml"/><Relationship Id="rId4" Type="http://schemas.openxmlformats.org/officeDocument/2006/relationships/vmlDrawing" Target="../drawings/vmlDrawing14.vml"/><Relationship Id="rId9" Type="http://schemas.openxmlformats.org/officeDocument/2006/relationships/ctrlProp" Target="../ctrlProps/ctrlProp32.xml"/></Relationships>
</file>

<file path=xl/worksheets/_rels/sheet17.xml.rels><?xml version="1.0" encoding="UTF-8" standalone="yes"?>
<Relationships xmlns="http://schemas.openxmlformats.org/package/2006/relationships"><Relationship Id="rId3" Type="http://schemas.openxmlformats.org/officeDocument/2006/relationships/table" Target="../tables/table8.xml"/><Relationship Id="rId2" Type="http://schemas.openxmlformats.org/officeDocument/2006/relationships/drawing" Target="../drawings/drawing17.xml"/><Relationship Id="rId1" Type="http://schemas.openxmlformats.org/officeDocument/2006/relationships/printerSettings" Target="../printerSettings/printerSettings17.bin"/></Relationships>
</file>

<file path=xl/worksheets/_rels/sheet18.xml.rels><?xml version="1.0" encoding="UTF-8" standalone="yes"?>
<Relationships xmlns="http://schemas.openxmlformats.org/package/2006/relationships"><Relationship Id="rId8" Type="http://schemas.openxmlformats.org/officeDocument/2006/relationships/ctrlProp" Target="../ctrlProps/ctrlProp35.xml"/><Relationship Id="rId3" Type="http://schemas.openxmlformats.org/officeDocument/2006/relationships/drawing" Target="../drawings/drawing18.xml"/><Relationship Id="rId7" Type="http://schemas.openxmlformats.org/officeDocument/2006/relationships/ctrlProp" Target="../ctrlProps/ctrlProp34.xml"/><Relationship Id="rId2" Type="http://schemas.openxmlformats.org/officeDocument/2006/relationships/printerSettings" Target="../printerSettings/printerSettings18.bin"/><Relationship Id="rId1" Type="http://schemas.openxmlformats.org/officeDocument/2006/relationships/hyperlink" Target="https://youtu.be/82WmbR3vKeQ" TargetMode="External"/><Relationship Id="rId6" Type="http://schemas.openxmlformats.org/officeDocument/2006/relationships/ctrlProp" Target="../ctrlProps/ctrlProp33.xml"/><Relationship Id="rId5" Type="http://schemas.openxmlformats.org/officeDocument/2006/relationships/vmlDrawing" Target="../drawings/vmlDrawing17.vml"/><Relationship Id="rId4" Type="http://schemas.openxmlformats.org/officeDocument/2006/relationships/vmlDrawing" Target="../drawings/vmlDrawing16.vml"/><Relationship Id="rId9" Type="http://schemas.openxmlformats.org/officeDocument/2006/relationships/ctrlProp" Target="../ctrlProps/ctrlProp36.xml"/></Relationships>
</file>

<file path=xl/worksheets/_rels/sheet19.xml.rels><?xml version="1.0" encoding="UTF-8" standalone="yes"?>
<Relationships xmlns="http://schemas.openxmlformats.org/package/2006/relationships"><Relationship Id="rId3" Type="http://schemas.openxmlformats.org/officeDocument/2006/relationships/table" Target="../tables/table9.xml"/><Relationship Id="rId2" Type="http://schemas.openxmlformats.org/officeDocument/2006/relationships/drawing" Target="../drawings/drawing19.xml"/><Relationship Id="rId1" Type="http://schemas.openxmlformats.org/officeDocument/2006/relationships/printerSettings" Target="../printerSettings/printerSettings19.bin"/></Relationships>
</file>

<file path=xl/worksheets/_rels/sheet28.xml.rels><?xml version="1.0" encoding="UTF-8" standalone="yes"?>
<Relationships xmlns="http://schemas.openxmlformats.org/package/2006/relationships"><Relationship Id="rId1" Type="http://schemas.openxmlformats.org/officeDocument/2006/relationships/printerSettings" Target="../printerSettings/printerSettings20.bin"/></Relationships>
</file>

<file path=xl/worksheets/_rels/sheet29.xml.rels><?xml version="1.0" encoding="UTF-8" standalone="yes"?>
<Relationships xmlns="http://schemas.openxmlformats.org/package/2006/relationships"><Relationship Id="rId2" Type="http://schemas.openxmlformats.org/officeDocument/2006/relationships/table" Target="../tables/table10.xml"/><Relationship Id="rId1" Type="http://schemas.openxmlformats.org/officeDocument/2006/relationships/printerSettings" Target="../printerSettings/printerSettings21.bin"/></Relationships>
</file>

<file path=xl/worksheets/_rels/sheet30.xml.rels><?xml version="1.0" encoding="UTF-8" standalone="yes"?>
<Relationships xmlns="http://schemas.openxmlformats.org/package/2006/relationships"><Relationship Id="rId1" Type="http://schemas.openxmlformats.org/officeDocument/2006/relationships/table" Target="../tables/table11.xml"/></Relationships>
</file>

<file path=xl/worksheets/_rels/sheet32.xml.rels><?xml version="1.0" encoding="UTF-8" standalone="yes"?>
<Relationships xmlns="http://schemas.openxmlformats.org/package/2006/relationships"><Relationship Id="rId2" Type="http://schemas.openxmlformats.org/officeDocument/2006/relationships/table" Target="../tables/table12.xml"/><Relationship Id="rId1" Type="http://schemas.openxmlformats.org/officeDocument/2006/relationships/printerSettings" Target="../printerSettings/printerSettings22.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Hoja_50"/>
  <dimension ref="A1:N329"/>
  <sheetViews>
    <sheetView showGridLines="0" showRowColHeaders="0" topLeftCell="D1" zoomScale="162" zoomScaleNormal="162" workbookViewId="0">
      <pane ySplit="2" topLeftCell="A3" activePane="bottomLeft" state="frozen"/>
      <selection activeCell="I7" sqref="I7"/>
      <selection pane="bottomLeft" activeCell="D5" sqref="D5"/>
    </sheetView>
  </sheetViews>
  <sheetFormatPr baseColWidth="10" defaultColWidth="0" defaultRowHeight="15" outlineLevelRow="1" outlineLevelCol="1" x14ac:dyDescent="0.25"/>
  <cols>
    <col min="1" max="1" width="10.7109375" style="226" hidden="1" customWidth="1" outlineLevel="1"/>
    <col min="2" max="2" width="4.7109375" style="227" hidden="1" customWidth="1" outlineLevel="1"/>
    <col min="3" max="3" width="4.7109375" style="228" hidden="1" customWidth="1" outlineLevel="1"/>
    <col min="4" max="4" width="65.7109375" style="228" customWidth="1" collapsed="1"/>
    <col min="5" max="5" width="65.7109375" style="228" customWidth="1"/>
    <col min="6" max="12" width="25.7109375" style="226" hidden="1" customWidth="1" outlineLevel="1"/>
    <col min="13" max="13" width="1.7109375" style="226" customWidth="1" collapsed="1"/>
    <col min="14" max="14" width="0" style="226" hidden="1" customWidth="1"/>
    <col min="15" max="16384" width="11.42578125" style="226" hidden="1"/>
  </cols>
  <sheetData>
    <row r="1" spans="1:13" ht="30" customHeight="1" thickBot="1" x14ac:dyDescent="0.3">
      <c r="A1" s="409" t="s">
        <v>162</v>
      </c>
      <c r="D1" s="589" t="str">
        <f ca="1">INDIRECT("Z_ML_18_"&amp;IDIOMA)</f>
        <v>Ir a INICIO</v>
      </c>
      <c r="E1" s="410" t="str">
        <f>LANGUAGE</f>
        <v>ESPAÑOL</v>
      </c>
      <c r="F1" s="230" t="str">
        <f>INICIO!A39</f>
        <v>ESPAÑOL</v>
      </c>
      <c r="G1" s="230" t="str">
        <f>INICIO!A40</f>
        <v>ENGLISH</v>
      </c>
      <c r="H1" s="230" t="str">
        <f>INICIO!A41</f>
        <v>FRANÇAIS</v>
      </c>
      <c r="I1" s="230" t="str">
        <f>INICIO!A42</f>
        <v>PORTUGUÊS</v>
      </c>
      <c r="J1" s="230" t="str">
        <f>INICIO!A43</f>
        <v>ITALIEN</v>
      </c>
      <c r="K1" s="230" t="str">
        <f>INICIO!A44</f>
        <v>DEUTSCH</v>
      </c>
      <c r="L1" s="230" t="s">
        <v>1312</v>
      </c>
    </row>
    <row r="2" spans="1:13" ht="30" customHeight="1" thickBot="1" x14ac:dyDescent="0.3">
      <c r="A2" s="409"/>
      <c r="C2" s="227"/>
      <c r="D2" s="512" t="str">
        <f>"LINK "&amp;INICIO!A45</f>
        <v>LINK PERSONALIZAR DICCIONARIO</v>
      </c>
      <c r="E2" s="415" t="str">
        <f>IFERROR(INDEX(F2:K13,1,MATCH(E1,F13:K13,0)),IDIOMA)</f>
        <v>S</v>
      </c>
      <c r="F2" s="231" t="s">
        <v>125</v>
      </c>
      <c r="G2" s="231" t="s">
        <v>11</v>
      </c>
      <c r="H2" s="231" t="s">
        <v>123</v>
      </c>
      <c r="I2" s="231" t="s">
        <v>124</v>
      </c>
      <c r="J2" s="231" t="s">
        <v>122</v>
      </c>
      <c r="K2" s="231" t="s">
        <v>881</v>
      </c>
      <c r="L2" s="231"/>
    </row>
    <row r="3" spans="1:13" x14ac:dyDescent="0.25">
      <c r="A3" s="411" t="str">
        <f t="shared" ref="A3:A11" si="0">$A$1&amp;B3&amp;"_"&amp;C3&amp;"_"&amp;$A$2</f>
        <v>Z_IN_00_</v>
      </c>
      <c r="B3" s="411" t="s">
        <v>517</v>
      </c>
      <c r="C3" s="411" t="s">
        <v>197</v>
      </c>
      <c r="D3" s="576"/>
      <c r="E3" s="340" t="str">
        <f>IFERROR(IF(D3&lt;&gt;"",D3,HLOOKUP($E$2,$F$2:K3,ROW(D3)-1,0)),F3)</f>
        <v>INICIO</v>
      </c>
      <c r="F3" s="340" t="s">
        <v>518</v>
      </c>
      <c r="G3" s="340" t="s">
        <v>519</v>
      </c>
      <c r="H3" s="340" t="s">
        <v>520</v>
      </c>
      <c r="I3" s="340" t="s">
        <v>521</v>
      </c>
      <c r="J3" s="340" t="s">
        <v>519</v>
      </c>
      <c r="K3" s="340" t="s">
        <v>960</v>
      </c>
      <c r="L3" s="340" t="str">
        <f>E3</f>
        <v>INICIO</v>
      </c>
      <c r="M3" s="226" t="s">
        <v>117</v>
      </c>
    </row>
    <row r="4" spans="1:13" outlineLevel="1" x14ac:dyDescent="0.25">
      <c r="A4" s="412" t="str">
        <f t="shared" si="0"/>
        <v>Z_IN_01_</v>
      </c>
      <c r="B4" s="412" t="str">
        <f t="shared" ref="B4:B13" si="1">B3</f>
        <v>IN</v>
      </c>
      <c r="C4" s="412" t="s">
        <v>198</v>
      </c>
      <c r="D4" s="577"/>
      <c r="E4" s="341" t="str">
        <f>IFERROR(IF(D4&lt;&gt;"",D4,HLOOKUP($E$2,$F$2:K4,ROW(D4)-1,0)),F4)</f>
        <v>Ir a DATOS GENERALES</v>
      </c>
      <c r="F4" s="341" t="s">
        <v>107</v>
      </c>
      <c r="G4" s="341" t="s">
        <v>523</v>
      </c>
      <c r="H4" s="341" t="s">
        <v>526</v>
      </c>
      <c r="I4" s="341" t="s">
        <v>529</v>
      </c>
      <c r="J4" s="341" t="s">
        <v>534</v>
      </c>
      <c r="K4" s="341" t="s">
        <v>961</v>
      </c>
      <c r="L4" s="341" t="str">
        <f t="shared" ref="L4:L67" si="2">E4</f>
        <v>Ir a DATOS GENERALES</v>
      </c>
      <c r="M4" s="226" t="s">
        <v>117</v>
      </c>
    </row>
    <row r="5" spans="1:13" outlineLevel="1" x14ac:dyDescent="0.25">
      <c r="A5" s="413" t="str">
        <f t="shared" si="0"/>
        <v>Z_IN_02_</v>
      </c>
      <c r="B5" s="413" t="str">
        <f t="shared" si="1"/>
        <v>IN</v>
      </c>
      <c r="C5" s="413" t="s">
        <v>199</v>
      </c>
      <c r="D5" s="578"/>
      <c r="E5" s="342" t="str">
        <f>IFERROR(IF(D5&lt;&gt;"",D5,HLOOKUP($E$2,$F$2:K5,ROW(D5)-1,0)),F5)</f>
        <v>CANAL YOUTUBE</v>
      </c>
      <c r="F5" s="342" t="s">
        <v>1613</v>
      </c>
      <c r="G5" s="342" t="s">
        <v>1614</v>
      </c>
      <c r="H5" s="342" t="s">
        <v>1615</v>
      </c>
      <c r="I5" s="342" t="s">
        <v>1616</v>
      </c>
      <c r="J5" s="342" t="s">
        <v>1617</v>
      </c>
      <c r="K5" s="342" t="s">
        <v>1618</v>
      </c>
      <c r="L5" s="342" t="str">
        <f t="shared" si="2"/>
        <v>CANAL YOUTUBE</v>
      </c>
      <c r="M5" s="226" t="s">
        <v>117</v>
      </c>
    </row>
    <row r="6" spans="1:13" outlineLevel="1" x14ac:dyDescent="0.25">
      <c r="A6" s="412" t="str">
        <f t="shared" si="0"/>
        <v>Z_IN_03_</v>
      </c>
      <c r="B6" s="412" t="str">
        <f t="shared" si="1"/>
        <v>IN</v>
      </c>
      <c r="C6" s="412" t="s">
        <v>200</v>
      </c>
      <c r="D6" s="591"/>
      <c r="E6" s="341" t="str">
        <f>IFERROR(IF(D6&lt;&gt;"",D6,HLOOKUP($E$2,$F$2:K6,ROW(D6)-1,0)),F6)</f>
        <v>NO FUNCIONA CON
VERSIONES DE EXCEL 
ANTERIORES A 2007
NI CON LA ÚLTIMA ACTUALIZACIÓN DE MAC</v>
      </c>
      <c r="F6" s="341" t="s">
        <v>522</v>
      </c>
      <c r="G6" s="341" t="s">
        <v>1381</v>
      </c>
      <c r="H6" s="341" t="s">
        <v>1382</v>
      </c>
      <c r="I6" s="341" t="s">
        <v>530</v>
      </c>
      <c r="J6" s="341" t="s">
        <v>535</v>
      </c>
      <c r="K6" s="341" t="s">
        <v>962</v>
      </c>
      <c r="L6" s="341" t="str">
        <f t="shared" si="2"/>
        <v>NO FUNCIONA CON
VERSIONES DE EXCEL 
ANTERIORES A 2007
NI CON LA ÚLTIMA ACTUALIZACIÓN DE MAC</v>
      </c>
      <c r="M6" s="226" t="s">
        <v>117</v>
      </c>
    </row>
    <row r="7" spans="1:13" outlineLevel="1" x14ac:dyDescent="0.25">
      <c r="A7" s="413" t="str">
        <f t="shared" si="0"/>
        <v>Z_IN_04_</v>
      </c>
      <c r="B7" s="413" t="str">
        <f t="shared" si="1"/>
        <v>IN</v>
      </c>
      <c r="C7" s="413" t="s">
        <v>201</v>
      </c>
      <c r="D7" s="578"/>
      <c r="E7" s="342" t="str">
        <f>IFERROR(IF(D7&lt;&gt;"",D7,HLOOKUP($E$2,$F$2:K7,ROW(D7)-1,0)),F7)</f>
        <v>LEER CON ATENCIÓN</v>
      </c>
      <c r="F7" s="342" t="s">
        <v>2</v>
      </c>
      <c r="G7" s="342" t="s">
        <v>524</v>
      </c>
      <c r="H7" s="342" t="s">
        <v>527</v>
      </c>
      <c r="I7" s="342" t="s">
        <v>531</v>
      </c>
      <c r="J7" s="342" t="s">
        <v>536</v>
      </c>
      <c r="K7" s="342" t="s">
        <v>963</v>
      </c>
      <c r="L7" s="342" t="str">
        <f t="shared" si="2"/>
        <v>LEER CON ATENCIÓN</v>
      </c>
      <c r="M7" s="226" t="s">
        <v>117</v>
      </c>
    </row>
    <row r="8" spans="1:13" outlineLevel="1" x14ac:dyDescent="0.25">
      <c r="A8" s="412" t="str">
        <f t="shared" si="0"/>
        <v>Z_IN_05_</v>
      </c>
      <c r="B8" s="412" t="str">
        <f t="shared" si="1"/>
        <v>IN</v>
      </c>
      <c r="C8" s="412" t="s">
        <v>202</v>
      </c>
      <c r="D8" s="577"/>
      <c r="E8" s="341" t="str">
        <f>IFERROR(IF(D8&lt;&gt;"",D8,HLOOKUP($E$2,$F$2:K8,ROW(D8)-1,0)),F8)</f>
        <v>Esta Aplicación ha sido desarrollada, en la primera versión, por:</v>
      </c>
      <c r="F8" s="341" t="s">
        <v>106</v>
      </c>
      <c r="G8" s="341" t="s">
        <v>1383</v>
      </c>
      <c r="H8" s="341" t="s">
        <v>1384</v>
      </c>
      <c r="I8" s="341" t="s">
        <v>532</v>
      </c>
      <c r="J8" s="341" t="s">
        <v>537</v>
      </c>
      <c r="K8" s="341" t="s">
        <v>964</v>
      </c>
      <c r="L8" s="341" t="str">
        <f t="shared" si="2"/>
        <v>Esta Aplicación ha sido desarrollada, en la primera versión, por:</v>
      </c>
      <c r="M8" s="226" t="s">
        <v>117</v>
      </c>
    </row>
    <row r="9" spans="1:13" outlineLevel="1" x14ac:dyDescent="0.25">
      <c r="A9" s="413" t="str">
        <f t="shared" si="0"/>
        <v>Z_IN_06_</v>
      </c>
      <c r="B9" s="413" t="str">
        <f t="shared" si="1"/>
        <v>IN</v>
      </c>
      <c r="C9" s="413" t="s">
        <v>203</v>
      </c>
      <c r="D9" s="578"/>
      <c r="E9" s="342" t="str">
        <f>IFERROR(IF(D9&lt;&gt;"",D9,HLOOKUP($E$2,$F$2:K9,ROW(D9)-1,0)),F9)</f>
        <v>Universidad de Cádiz</v>
      </c>
      <c r="F9" s="342" t="s">
        <v>1</v>
      </c>
      <c r="G9" s="342" t="s">
        <v>525</v>
      </c>
      <c r="H9" s="342" t="s">
        <v>528</v>
      </c>
      <c r="I9" s="342" t="s">
        <v>533</v>
      </c>
      <c r="J9" s="342" t="s">
        <v>538</v>
      </c>
      <c r="K9" s="342" t="s">
        <v>965</v>
      </c>
      <c r="L9" s="342" t="str">
        <f t="shared" si="2"/>
        <v>Universidad de Cádiz</v>
      </c>
      <c r="M9" s="226" t="s">
        <v>117</v>
      </c>
    </row>
    <row r="10" spans="1:13" outlineLevel="1" x14ac:dyDescent="0.25">
      <c r="A10" s="412" t="str">
        <f t="shared" si="0"/>
        <v>Z_IN_07_</v>
      </c>
      <c r="B10" s="412" t="str">
        <f t="shared" si="1"/>
        <v>IN</v>
      </c>
      <c r="C10" s="412" t="s">
        <v>204</v>
      </c>
      <c r="D10" s="591"/>
      <c r="E10" s="341" t="str">
        <f>IFERROR(IF(D10&lt;&gt;"",D10,HLOOKUP($E$2,$F$2:K10,ROW(D10)-1,0)),F10)</f>
        <v>1. Esta aplicación se ha desarrollado gracias a un Proyecto de Innovación Docente aprobado por la Unidad de Innovación Docente de la Universidad de Cádiz.
2. El usuario final es aquel docente que quiera usar los CUESTIONARIOS de la plataforma MOODLE. También la puede usar quien quiera tener sus Preguntas almacenados en un mismo sitio y con orden o quiera exportarlas a un documento de TEXTO.
3. La idea principal es facilitar la creación de un BANCO DE PREGUNTAS para los cuestionarios, por lo que el usuario final, deberá repasar que las preguntas se suben bien (al menos las primeras veces) y que ha rellenado los datos de manera adecuada, como si lo estuviera haciendo en Moodle.
   Si pinchas en cada uno de los tipos que se indican a continuación, podrás ver video tutoriales sobre cómo se crean en MOODLE.</v>
      </c>
      <c r="F10" s="341" t="s">
        <v>539</v>
      </c>
      <c r="G10" s="341" t="s">
        <v>1511</v>
      </c>
      <c r="H10" s="341" t="s">
        <v>1385</v>
      </c>
      <c r="I10" s="341" t="s">
        <v>540</v>
      </c>
      <c r="J10" s="341" t="s">
        <v>541</v>
      </c>
      <c r="K10" s="341" t="s">
        <v>966</v>
      </c>
      <c r="L10" s="341" t="str">
        <f t="shared" si="2"/>
        <v>1. Esta aplicación se ha desarrollado gracias a un Proyecto de Innovación Docente aprobado por la Unidad de Innovación Docente de la Universidad de Cádiz.
2. El usuario final es aquel docente que quiera usar los CUESTIONARIOS de la plataforma MOODLE. También la puede usar quien quiera tener sus Preguntas almacenados en un mismo sitio y con orden o quiera exportarlas a un documento de TEXTO.
3. La idea principal es facilitar la creación de un BANCO DE PREGUNTAS para los cuestionarios, por lo que el usuario final, deberá repasar que las preguntas se suben bien (al menos las primeras veces) y que ha rellenado los datos de manera adecuada, como si lo estuviera haciendo en Moodle.
   Si pinchas en cada uno de los tipos que se indican a continuación, podrás ver video tutoriales sobre cómo se crean en MOODLE.</v>
      </c>
      <c r="M10" s="226" t="s">
        <v>117</v>
      </c>
    </row>
    <row r="11" spans="1:13" outlineLevel="1" x14ac:dyDescent="0.25">
      <c r="A11" s="413" t="str">
        <f t="shared" si="0"/>
        <v>Z_IN_08_</v>
      </c>
      <c r="B11" s="413" t="str">
        <f t="shared" si="1"/>
        <v>IN</v>
      </c>
      <c r="C11" s="413" t="s">
        <v>205</v>
      </c>
      <c r="D11" s="592"/>
      <c r="E11" s="342" t="str">
        <f>IFERROR(IF(D11&lt;&gt;"",D11,HLOOKUP($E$2,$F$2:K11,ROW(D11)-1,0)),F11)</f>
        <v>Actualmente están Activos los Cuestionarios Tipo: 
- Opción Múltiple (1 y Varias Respuesta)               - Ensayo
- Verdadero Falso                                                    - Palabra Perdida            
- Emparejar                                                               - Respuesta Corta
- Cloze: permite cálculos numéricos e intercalar distintos tipos de cuestiones en una sola pregunta. Muy útil para hacer muchos problemas con distintos datos muy rápidamente.</v>
      </c>
      <c r="F11" s="342" t="s">
        <v>18678</v>
      </c>
      <c r="G11" s="342" t="s">
        <v>18679</v>
      </c>
      <c r="H11" s="342" t="s">
        <v>18680</v>
      </c>
      <c r="I11" s="342" t="s">
        <v>18681</v>
      </c>
      <c r="J11" s="342" t="s">
        <v>18682</v>
      </c>
      <c r="K11" s="342" t="s">
        <v>18683</v>
      </c>
      <c r="L11" s="342" t="str">
        <f t="shared" si="2"/>
        <v>Actualmente están Activos los Cuestionarios Tipo: 
- Opción Múltiple (1 y Varias Respuesta)               - Ensayo
- Verdadero Falso                                                    - Palabra Perdida            
- Emparejar                                                               - Respuesta Corta
- Cloze: permite cálculos numéricos e intercalar distintos tipos de cuestiones en una sola pregunta. Muy útil para hacer muchos problemas con distintos datos muy rápidamente.</v>
      </c>
      <c r="M11" s="226" t="s">
        <v>117</v>
      </c>
    </row>
    <row r="12" spans="1:13" outlineLevel="1" x14ac:dyDescent="0.25">
      <c r="A12" s="412" t="str">
        <f>$A$1&amp;B12&amp;"_"&amp;C12&amp;"_"&amp;$A$2</f>
        <v>Z_IN_09_</v>
      </c>
      <c r="B12" s="412" t="str">
        <f t="shared" si="1"/>
        <v>IN</v>
      </c>
      <c r="C12" s="412" t="s">
        <v>206</v>
      </c>
      <c r="D12" s="577"/>
      <c r="E12" s="341" t="str">
        <f>IFERROR(IF(D12&lt;&gt;"",D12,HLOOKUP($E$2,$F$2:K12,ROW(D12)-1,0)),F12)</f>
        <v>ÍNDICE</v>
      </c>
      <c r="F12" s="341" t="s">
        <v>1619</v>
      </c>
      <c r="G12" s="341" t="s">
        <v>886</v>
      </c>
      <c r="H12" s="341" t="s">
        <v>175</v>
      </c>
      <c r="I12" s="341" t="s">
        <v>1619</v>
      </c>
      <c r="J12" s="341" t="s">
        <v>175</v>
      </c>
      <c r="K12" s="341" t="s">
        <v>886</v>
      </c>
      <c r="L12" s="341" t="str">
        <f t="shared" si="2"/>
        <v>ÍNDICE</v>
      </c>
      <c r="M12" s="226" t="s">
        <v>117</v>
      </c>
    </row>
    <row r="13" spans="1:13" outlineLevel="1" x14ac:dyDescent="0.25">
      <c r="A13" s="413" t="str">
        <f>$A$1&amp;B13&amp;"_"&amp;C13&amp;"_"&amp;$A$2</f>
        <v>Z_IN_10_</v>
      </c>
      <c r="B13" s="413" t="str">
        <f t="shared" si="1"/>
        <v>IN</v>
      </c>
      <c r="C13" s="414">
        <v>10</v>
      </c>
      <c r="D13" s="578"/>
      <c r="E13" s="342" t="str">
        <f>IFERROR(IF(D13&lt;&gt;"",D13,HLOOKUP($E$2,$F$2:K13,ROW(D13)-1,0)),F13)</f>
        <v>PERSONALIZAR DICCIONARIO</v>
      </c>
      <c r="F13" s="342" t="s">
        <v>1620</v>
      </c>
      <c r="G13" s="342" t="s">
        <v>1621</v>
      </c>
      <c r="H13" s="342" t="s">
        <v>1622</v>
      </c>
      <c r="I13" s="342" t="s">
        <v>1623</v>
      </c>
      <c r="J13" s="342" t="s">
        <v>1624</v>
      </c>
      <c r="K13" s="342" t="s">
        <v>1625</v>
      </c>
      <c r="L13" s="342" t="str">
        <f t="shared" si="2"/>
        <v>PERSONALIZAR DICCIONARIO</v>
      </c>
      <c r="M13" s="226" t="s">
        <v>117</v>
      </c>
    </row>
    <row r="14" spans="1:13" x14ac:dyDescent="0.25">
      <c r="A14" s="411" t="str">
        <f>$A$1&amp;B14&amp;"_"&amp;C14&amp;"_"&amp;$A$2</f>
        <v>Z_ML_00_</v>
      </c>
      <c r="B14" s="411" t="s">
        <v>154</v>
      </c>
      <c r="C14" s="411" t="s">
        <v>197</v>
      </c>
      <c r="D14" s="576"/>
      <c r="E14" s="340" t="str">
        <f>IFERROR(IF(D14&lt;&gt;"",D14,HLOOKUP($E$2,$F$2:K14,ROW(D14)-1,0)),F14)</f>
        <v>MENÚS LATERALES</v>
      </c>
      <c r="F14" s="340" t="s">
        <v>126</v>
      </c>
      <c r="G14" s="340" t="s">
        <v>130</v>
      </c>
      <c r="H14" s="340" t="s">
        <v>311</v>
      </c>
      <c r="I14" s="340" t="s">
        <v>381</v>
      </c>
      <c r="J14" s="340" t="s">
        <v>339</v>
      </c>
      <c r="K14" s="340" t="s">
        <v>883</v>
      </c>
      <c r="L14" s="340" t="str">
        <f t="shared" si="2"/>
        <v>MENÚS LATERALES</v>
      </c>
      <c r="M14" s="226" t="s">
        <v>117</v>
      </c>
    </row>
    <row r="15" spans="1:13" outlineLevel="1" x14ac:dyDescent="0.25">
      <c r="A15" s="412" t="str">
        <f t="shared" ref="A15:A20" si="3">$A$1&amp;B15&amp;"_"&amp;C15&amp;"_"&amp;$A$2</f>
        <v>Z_ML_01_</v>
      </c>
      <c r="B15" s="412" t="str">
        <f t="shared" ref="B15:B32" si="4">B14</f>
        <v>ML</v>
      </c>
      <c r="C15" s="412" t="s">
        <v>198</v>
      </c>
      <c r="D15" s="591"/>
      <c r="E15" s="341" t="str">
        <f>IFERROR(IF(D15&lt;&gt;"",D15,HLOOKUP($E$2,$F$2:K15,ROW(D15)-1,0)),F15)</f>
        <v>CÓDIGOS 
ESPECIALES</v>
      </c>
      <c r="F15" s="341" t="s">
        <v>465</v>
      </c>
      <c r="G15" s="341" t="s">
        <v>1329</v>
      </c>
      <c r="H15" s="341" t="s">
        <v>423</v>
      </c>
      <c r="I15" s="341" t="s">
        <v>424</v>
      </c>
      <c r="J15" s="341" t="s">
        <v>425</v>
      </c>
      <c r="K15" s="341" t="s">
        <v>898</v>
      </c>
      <c r="L15" s="341" t="str">
        <f t="shared" si="2"/>
        <v>CÓDIGOS 
ESPECIALES</v>
      </c>
      <c r="M15" s="226" t="s">
        <v>117</v>
      </c>
    </row>
    <row r="16" spans="1:13" outlineLevel="1" x14ac:dyDescent="0.25">
      <c r="A16" s="413" t="str">
        <f t="shared" si="3"/>
        <v>Z_ML_02_</v>
      </c>
      <c r="B16" s="413" t="str">
        <f t="shared" si="4"/>
        <v>ML</v>
      </c>
      <c r="C16" s="413" t="s">
        <v>199</v>
      </c>
      <c r="D16" s="578"/>
      <c r="E16" s="342" t="str">
        <f>IFERROR(IF(D16&lt;&gt;"",D16,HLOOKUP($E$2,$F$2:K16,ROW(D16)-1,0)),F16)</f>
        <v>FÓRMULA</v>
      </c>
      <c r="F16" s="342" t="s">
        <v>112</v>
      </c>
      <c r="G16" s="342" t="s">
        <v>188</v>
      </c>
      <c r="H16" s="342" t="s">
        <v>173</v>
      </c>
      <c r="I16" s="342" t="s">
        <v>112</v>
      </c>
      <c r="J16" s="342" t="s">
        <v>188</v>
      </c>
      <c r="K16" s="342" t="s">
        <v>884</v>
      </c>
      <c r="L16" s="342" t="str">
        <f t="shared" si="2"/>
        <v>FÓRMULA</v>
      </c>
      <c r="M16" s="226" t="s">
        <v>117</v>
      </c>
    </row>
    <row r="17" spans="1:13" outlineLevel="1" x14ac:dyDescent="0.25">
      <c r="A17" s="412" t="str">
        <f t="shared" si="3"/>
        <v>Z_ML_03_</v>
      </c>
      <c r="B17" s="412" t="str">
        <f t="shared" si="4"/>
        <v>ML</v>
      </c>
      <c r="C17" s="412" t="s">
        <v>200</v>
      </c>
      <c r="D17" s="577"/>
      <c r="E17" s="341" t="str">
        <f>IFERROR(IF(D17&lt;&gt;"",D17,HLOOKUP($E$2,$F$2:K17,ROW(D17)-1,0)),F17)</f>
        <v>SUPERÍNDICE</v>
      </c>
      <c r="F17" s="341" t="s">
        <v>110</v>
      </c>
      <c r="G17" s="341" t="s">
        <v>163</v>
      </c>
      <c r="H17" s="341" t="s">
        <v>174</v>
      </c>
      <c r="I17" s="341" t="s">
        <v>832</v>
      </c>
      <c r="J17" s="341" t="s">
        <v>189</v>
      </c>
      <c r="K17" s="341" t="s">
        <v>885</v>
      </c>
      <c r="L17" s="341" t="str">
        <f t="shared" si="2"/>
        <v>SUPERÍNDICE</v>
      </c>
      <c r="M17" s="226" t="s">
        <v>117</v>
      </c>
    </row>
    <row r="18" spans="1:13" outlineLevel="1" x14ac:dyDescent="0.25">
      <c r="A18" s="413" t="str">
        <f t="shared" si="3"/>
        <v>Z_ML_04_</v>
      </c>
      <c r="B18" s="413" t="str">
        <f t="shared" si="4"/>
        <v>ML</v>
      </c>
      <c r="C18" s="413" t="s">
        <v>201</v>
      </c>
      <c r="D18" s="578"/>
      <c r="E18" s="342" t="str">
        <f>IFERROR(IF(D18&lt;&gt;"",D18,HLOOKUP($E$2,$F$2:K18,ROW(D18)-1,0)),F18)</f>
        <v>SUBÍNDICE</v>
      </c>
      <c r="F18" s="342" t="s">
        <v>111</v>
      </c>
      <c r="G18" s="342" t="s">
        <v>164</v>
      </c>
      <c r="H18" s="342" t="s">
        <v>175</v>
      </c>
      <c r="I18" s="342" t="s">
        <v>180</v>
      </c>
      <c r="J18" s="342" t="s">
        <v>190</v>
      </c>
      <c r="K18" s="342" t="s">
        <v>886</v>
      </c>
      <c r="L18" s="342" t="str">
        <f t="shared" si="2"/>
        <v>SUBÍNDICE</v>
      </c>
      <c r="M18" s="226" t="s">
        <v>117</v>
      </c>
    </row>
    <row r="19" spans="1:13" outlineLevel="1" x14ac:dyDescent="0.25">
      <c r="A19" s="412" t="str">
        <f t="shared" si="3"/>
        <v>Z_ML_05_</v>
      </c>
      <c r="B19" s="412" t="str">
        <f t="shared" si="4"/>
        <v>ML</v>
      </c>
      <c r="C19" s="412" t="s">
        <v>202</v>
      </c>
      <c r="D19" s="577"/>
      <c r="E19" s="341" t="str">
        <f>IFERROR(IF(D19&lt;&gt;"",D19,HLOOKUP($E$2,$F$2:K19,ROW(D19)-1,0)),F19)</f>
        <v>SALTO LÍNEA</v>
      </c>
      <c r="F19" s="341" t="s">
        <v>160</v>
      </c>
      <c r="G19" s="341" t="s">
        <v>165</v>
      </c>
      <c r="H19" s="341" t="s">
        <v>1332</v>
      </c>
      <c r="I19" s="341" t="s">
        <v>181</v>
      </c>
      <c r="J19" s="341" t="s">
        <v>426</v>
      </c>
      <c r="K19" s="341" t="s">
        <v>887</v>
      </c>
      <c r="L19" s="341" t="str">
        <f t="shared" si="2"/>
        <v>SALTO LÍNEA</v>
      </c>
      <c r="M19" s="226" t="s">
        <v>117</v>
      </c>
    </row>
    <row r="20" spans="1:13" outlineLevel="1" x14ac:dyDescent="0.25">
      <c r="A20" s="413" t="str">
        <f t="shared" si="3"/>
        <v>Z_ML_06_</v>
      </c>
      <c r="B20" s="413" t="str">
        <f t="shared" si="4"/>
        <v>ML</v>
      </c>
      <c r="C20" s="413" t="s">
        <v>203</v>
      </c>
      <c r="D20" s="578"/>
      <c r="E20" s="342" t="str">
        <f>IFERROR(IF(D20&lt;&gt;"",D20,HLOOKUP($E$2,$F$2:K20,ROW(D20)-1,0)),F20)</f>
        <v>CONCATENAR</v>
      </c>
      <c r="F20" s="342" t="s">
        <v>109</v>
      </c>
      <c r="G20" s="342" t="s">
        <v>166</v>
      </c>
      <c r="H20" s="342" t="s">
        <v>1333</v>
      </c>
      <c r="I20" s="342" t="s">
        <v>109</v>
      </c>
      <c r="J20" s="342" t="s">
        <v>191</v>
      </c>
      <c r="K20" s="342" t="s">
        <v>888</v>
      </c>
      <c r="L20" s="342" t="str">
        <f t="shared" si="2"/>
        <v>CONCATENAR</v>
      </c>
      <c r="M20" s="226" t="s">
        <v>117</v>
      </c>
    </row>
    <row r="21" spans="1:13" outlineLevel="1" x14ac:dyDescent="0.25">
      <c r="A21" s="412" t="str">
        <f>$A$1&amp;B21&amp;"_"&amp;C21&amp;"_"&amp;$A$2</f>
        <v>Z_ML_07_</v>
      </c>
      <c r="B21" s="412" t="str">
        <f t="shared" si="4"/>
        <v>ML</v>
      </c>
      <c r="C21" s="412" t="s">
        <v>204</v>
      </c>
      <c r="D21" s="577"/>
      <c r="E21" s="341" t="str">
        <f>IFERROR(IF(D21&lt;&gt;"",D21,HLOOKUP($E$2,$F$2:K21,ROW(D21)-1,0)),F21)</f>
        <v>NEGRITA</v>
      </c>
      <c r="F21" s="341" t="s">
        <v>170</v>
      </c>
      <c r="G21" s="341" t="s">
        <v>172</v>
      </c>
      <c r="H21" s="341" t="s">
        <v>1334</v>
      </c>
      <c r="I21" s="341" t="s">
        <v>182</v>
      </c>
      <c r="J21" s="341" t="s">
        <v>172</v>
      </c>
      <c r="K21" s="341" t="s">
        <v>889</v>
      </c>
      <c r="L21" s="341" t="str">
        <f t="shared" si="2"/>
        <v>NEGRITA</v>
      </c>
      <c r="M21" s="226" t="s">
        <v>117</v>
      </c>
    </row>
    <row r="22" spans="1:13" outlineLevel="1" x14ac:dyDescent="0.25">
      <c r="A22" s="413" t="str">
        <f>$A$1&amp;B22&amp;"_"&amp;C22&amp;"_"&amp;$A$2</f>
        <v>Z_ML_08_</v>
      </c>
      <c r="B22" s="413" t="str">
        <f t="shared" si="4"/>
        <v>ML</v>
      </c>
      <c r="C22" s="413" t="s">
        <v>205</v>
      </c>
      <c r="D22" s="578"/>
      <c r="E22" s="342" t="str">
        <f>IFERROR(IF(D22&lt;&gt;"",D22,HLOOKUP($E$2,$F$2:K22,ROW(D22)-1,0)),F22)</f>
        <v>ESPACIOS (+1)</v>
      </c>
      <c r="F22" s="342" t="s">
        <v>171</v>
      </c>
      <c r="G22" s="342" t="s">
        <v>890</v>
      </c>
      <c r="H22" s="342" t="s">
        <v>176</v>
      </c>
      <c r="I22" s="342" t="s">
        <v>183</v>
      </c>
      <c r="J22" s="342" t="s">
        <v>192</v>
      </c>
      <c r="K22" s="342" t="s">
        <v>890</v>
      </c>
      <c r="L22" s="342" t="str">
        <f t="shared" si="2"/>
        <v>ESPACIOS (+1)</v>
      </c>
      <c r="M22" s="226" t="s">
        <v>117</v>
      </c>
    </row>
    <row r="23" spans="1:13" outlineLevel="1" x14ac:dyDescent="0.25">
      <c r="A23" s="412" t="str">
        <f>$A$1&amp;B23&amp;"_"&amp;C23&amp;"_"&amp;$A$2</f>
        <v>Z_ML_09_</v>
      </c>
      <c r="B23" s="412" t="str">
        <f t="shared" si="4"/>
        <v>ML</v>
      </c>
      <c r="C23" s="412" t="s">
        <v>206</v>
      </c>
      <c r="D23" s="577"/>
      <c r="E23" s="341" t="str">
        <f>IFERROR(IF(D23&lt;&gt;"",D23,HLOOKUP($E$2,$F$2:K23,ROW(D23)-1,0)),F23)</f>
        <v>TEXTO ROJO</v>
      </c>
      <c r="F23" s="341" t="s">
        <v>839</v>
      </c>
      <c r="G23" s="341" t="s">
        <v>842</v>
      </c>
      <c r="H23" s="341" t="s">
        <v>1335</v>
      </c>
      <c r="I23" s="341" t="s">
        <v>846</v>
      </c>
      <c r="J23" s="341" t="s">
        <v>848</v>
      </c>
      <c r="K23" s="341" t="s">
        <v>891</v>
      </c>
      <c r="L23" s="341" t="str">
        <f t="shared" si="2"/>
        <v>TEXTO ROJO</v>
      </c>
      <c r="M23" s="226" t="s">
        <v>117</v>
      </c>
    </row>
    <row r="24" spans="1:13" outlineLevel="1" x14ac:dyDescent="0.25">
      <c r="A24" s="413" t="str">
        <f t="shared" ref="A24:A32" si="5">$A$1&amp;B24&amp;"_"&amp;C24&amp;"_"&amp;$A$2</f>
        <v>Z_ML_10_</v>
      </c>
      <c r="B24" s="413" t="str">
        <f t="shared" si="4"/>
        <v>ML</v>
      </c>
      <c r="C24" s="413" t="s">
        <v>207</v>
      </c>
      <c r="D24" s="578"/>
      <c r="E24" s="342" t="str">
        <f>IFERROR(IF(D24&lt;&gt;"",D24,HLOOKUP($E$2,$F$2:K24,ROW(D24)-1,0)),F24)</f>
        <v>TEXTO AZUL</v>
      </c>
      <c r="F24" s="342" t="s">
        <v>840</v>
      </c>
      <c r="G24" s="342" t="s">
        <v>843</v>
      </c>
      <c r="H24" s="342" t="s">
        <v>1336</v>
      </c>
      <c r="I24" s="342" t="s">
        <v>840</v>
      </c>
      <c r="J24" s="342" t="s">
        <v>849</v>
      </c>
      <c r="K24" s="342" t="s">
        <v>892</v>
      </c>
      <c r="L24" s="342" t="str">
        <f t="shared" si="2"/>
        <v>TEXTO AZUL</v>
      </c>
      <c r="M24" s="226" t="s">
        <v>117</v>
      </c>
    </row>
    <row r="25" spans="1:13" outlineLevel="1" x14ac:dyDescent="0.25">
      <c r="A25" s="412" t="str">
        <f t="shared" si="5"/>
        <v>Z_ML_11_</v>
      </c>
      <c r="B25" s="412" t="str">
        <f t="shared" si="4"/>
        <v>ML</v>
      </c>
      <c r="C25" s="412" t="s">
        <v>208</v>
      </c>
      <c r="D25" s="577"/>
      <c r="E25" s="341" t="str">
        <f>IFERROR(IF(D25&lt;&gt;"",D25,HLOOKUP($E$2,$F$2:K25,ROW(D25)-1,0)),F25)</f>
        <v>OTRO COLOR</v>
      </c>
      <c r="F25" s="341" t="s">
        <v>841</v>
      </c>
      <c r="G25" s="341" t="s">
        <v>844</v>
      </c>
      <c r="H25" s="341" t="s">
        <v>845</v>
      </c>
      <c r="I25" s="341" t="s">
        <v>847</v>
      </c>
      <c r="J25" s="341" t="s">
        <v>850</v>
      </c>
      <c r="K25" s="341" t="s">
        <v>893</v>
      </c>
      <c r="L25" s="341" t="str">
        <f t="shared" si="2"/>
        <v>OTRO COLOR</v>
      </c>
      <c r="M25" s="226" t="s">
        <v>117</v>
      </c>
    </row>
    <row r="26" spans="1:13" outlineLevel="1" x14ac:dyDescent="0.25">
      <c r="A26" s="413" t="str">
        <f t="shared" si="5"/>
        <v>Z_ML_12_</v>
      </c>
      <c r="B26" s="413" t="str">
        <f t="shared" si="4"/>
        <v>ML</v>
      </c>
      <c r="C26" s="413" t="s">
        <v>209</v>
      </c>
      <c r="D26" s="592"/>
      <c r="E26" s="342" t="str">
        <f>IFERROR(IF(D26&lt;&gt;"",D26,HLOOKUP($E$2,$F$2:K26,ROW(D26)-1,0)),F26)</f>
        <v>INSERTAR
IMÁGENES</v>
      </c>
      <c r="F26" s="342" t="s">
        <v>419</v>
      </c>
      <c r="G26" s="342" t="s">
        <v>420</v>
      </c>
      <c r="H26" s="342" t="s">
        <v>418</v>
      </c>
      <c r="I26" s="342" t="s">
        <v>421</v>
      </c>
      <c r="J26" s="342" t="s">
        <v>422</v>
      </c>
      <c r="K26" s="342" t="s">
        <v>899</v>
      </c>
      <c r="L26" s="342" t="str">
        <f t="shared" si="2"/>
        <v>INSERTAR
IMÁGENES</v>
      </c>
      <c r="M26" s="226" t="s">
        <v>117</v>
      </c>
    </row>
    <row r="27" spans="1:13" outlineLevel="1" x14ac:dyDescent="0.25">
      <c r="A27" s="412" t="str">
        <f t="shared" si="5"/>
        <v>Z_ML_13_</v>
      </c>
      <c r="B27" s="412" t="str">
        <f t="shared" si="4"/>
        <v>ML</v>
      </c>
      <c r="C27" s="412" t="s">
        <v>210</v>
      </c>
      <c r="D27" s="577"/>
      <c r="E27" s="341" t="str">
        <f>IFERROR(IF(D27&lt;&gt;"",D27,HLOOKUP($E$2,$F$2:K27,ROW(D27)-1,0)),F27)</f>
        <v>LISTA DESPLEGABLE CATEGORÍAS</v>
      </c>
      <c r="F27" s="341" t="s">
        <v>115</v>
      </c>
      <c r="G27" s="341" t="s">
        <v>1330</v>
      </c>
      <c r="H27" s="341" t="s">
        <v>1337</v>
      </c>
      <c r="I27" s="341" t="s">
        <v>184</v>
      </c>
      <c r="J27" s="341" t="s">
        <v>193</v>
      </c>
      <c r="K27" s="341" t="s">
        <v>894</v>
      </c>
      <c r="L27" s="341" t="str">
        <f t="shared" si="2"/>
        <v>LISTA DESPLEGABLE CATEGORÍAS</v>
      </c>
      <c r="M27" s="226" t="s">
        <v>117</v>
      </c>
    </row>
    <row r="28" spans="1:13" outlineLevel="1" x14ac:dyDescent="0.25">
      <c r="A28" s="413" t="str">
        <f t="shared" si="5"/>
        <v>Z_ML_14_</v>
      </c>
      <c r="B28" s="413" t="str">
        <f t="shared" si="4"/>
        <v>ML</v>
      </c>
      <c r="C28" s="413" t="s">
        <v>211</v>
      </c>
      <c r="D28" s="578"/>
      <c r="E28" s="342" t="str">
        <f>IFERROR(IF(D28&lt;&gt;"",D28,HLOOKUP($E$2,$F$2:K28,ROW(D28)-1,0)),F28)</f>
        <v>USAR DATOS VARIABLES</v>
      </c>
      <c r="F28" s="342" t="s">
        <v>131</v>
      </c>
      <c r="G28" s="342" t="s">
        <v>169</v>
      </c>
      <c r="H28" s="342" t="s">
        <v>179</v>
      </c>
      <c r="I28" s="342" t="s">
        <v>187</v>
      </c>
      <c r="J28" s="342" t="s">
        <v>196</v>
      </c>
      <c r="K28" s="342" t="s">
        <v>895</v>
      </c>
      <c r="L28" s="342" t="str">
        <f t="shared" si="2"/>
        <v>USAR DATOS VARIABLES</v>
      </c>
      <c r="M28" s="226" t="s">
        <v>117</v>
      </c>
    </row>
    <row r="29" spans="1:13" outlineLevel="1" x14ac:dyDescent="0.25">
      <c r="A29" s="412" t="str">
        <f t="shared" si="5"/>
        <v>Z_ML_15_</v>
      </c>
      <c r="B29" s="412" t="str">
        <f t="shared" si="4"/>
        <v>ML</v>
      </c>
      <c r="C29" s="412" t="s">
        <v>212</v>
      </c>
      <c r="D29" s="577"/>
      <c r="E29" s="341" t="str">
        <f>IFERROR(IF(D29&lt;&gt;"",D29,HLOOKUP($E$2,$F$2:K29,ROW(D29)-1,0)),F29)</f>
        <v>ACTIVAR</v>
      </c>
      <c r="F29" s="341" t="s">
        <v>113</v>
      </c>
      <c r="G29" s="341" t="s">
        <v>167</v>
      </c>
      <c r="H29" s="341" t="s">
        <v>177</v>
      </c>
      <c r="I29" s="341" t="s">
        <v>185</v>
      </c>
      <c r="J29" s="341" t="s">
        <v>194</v>
      </c>
      <c r="K29" s="341" t="s">
        <v>896</v>
      </c>
      <c r="L29" s="341" t="str">
        <f t="shared" si="2"/>
        <v>ACTIVAR</v>
      </c>
      <c r="M29" s="226" t="s">
        <v>117</v>
      </c>
    </row>
    <row r="30" spans="1:13" outlineLevel="1" x14ac:dyDescent="0.25">
      <c r="A30" s="413" t="str">
        <f>$A$1&amp;B30&amp;"_"&amp;C30&amp;"_"&amp;$A$2</f>
        <v>Z_ML_16_</v>
      </c>
      <c r="B30" s="413" t="str">
        <f t="shared" si="4"/>
        <v>ML</v>
      </c>
      <c r="C30" s="413" t="s">
        <v>213</v>
      </c>
      <c r="D30" s="578"/>
      <c r="E30" s="342" t="str">
        <f>IFERROR(IF(D30&lt;&gt;"",D30,HLOOKUP($E$2,$F$2:K30,ROW(D30)-1,0)),F30)</f>
        <v>DESACTIVAR</v>
      </c>
      <c r="F30" s="342" t="s">
        <v>114</v>
      </c>
      <c r="G30" s="342" t="s">
        <v>168</v>
      </c>
      <c r="H30" s="342" t="s">
        <v>178</v>
      </c>
      <c r="I30" s="342" t="s">
        <v>186</v>
      </c>
      <c r="J30" s="342" t="s">
        <v>195</v>
      </c>
      <c r="K30" s="342" t="s">
        <v>897</v>
      </c>
      <c r="L30" s="342" t="str">
        <f t="shared" si="2"/>
        <v>DESACTIVAR</v>
      </c>
      <c r="M30" s="226" t="s">
        <v>117</v>
      </c>
    </row>
    <row r="31" spans="1:13" outlineLevel="1" x14ac:dyDescent="0.25">
      <c r="A31" s="412" t="str">
        <f>$A$1&amp;B31&amp;"_"&amp;C31&amp;"_"&amp;$A$2</f>
        <v>Z_ML_17_</v>
      </c>
      <c r="B31" s="412" t="str">
        <f t="shared" si="4"/>
        <v>ML</v>
      </c>
      <c r="C31" s="412" t="s">
        <v>214</v>
      </c>
      <c r="D31" s="591"/>
      <c r="E31" s="341" t="str">
        <f>IFERROR(IF(D31&lt;&gt;"",D31,HLOOKUP($E$2,$F$2:K31,ROW(D31)-1,0)),F31)</f>
        <v>NO USAR CORTAR
[Ctrl + X]</v>
      </c>
      <c r="F31" s="341" t="s">
        <v>296</v>
      </c>
      <c r="G31" s="341" t="s">
        <v>1331</v>
      </c>
      <c r="H31" s="341" t="s">
        <v>1338</v>
      </c>
      <c r="I31" s="341" t="s">
        <v>382</v>
      </c>
      <c r="J31" s="341" t="s">
        <v>340</v>
      </c>
      <c r="K31" s="341" t="s">
        <v>900</v>
      </c>
      <c r="L31" s="341" t="str">
        <f t="shared" si="2"/>
        <v>NO USAR CORTAR
[Ctrl + X]</v>
      </c>
      <c r="M31" s="226" t="s">
        <v>117</v>
      </c>
    </row>
    <row r="32" spans="1:13" outlineLevel="1" x14ac:dyDescent="0.25">
      <c r="A32" s="413" t="str">
        <f t="shared" si="5"/>
        <v>Z_ML_18_</v>
      </c>
      <c r="B32" s="413" t="str">
        <f t="shared" si="4"/>
        <v>ML</v>
      </c>
      <c r="C32" s="413" t="s">
        <v>215</v>
      </c>
      <c r="D32" s="578"/>
      <c r="E32" s="342" t="str">
        <f>IFERROR(IF(D32&lt;&gt;"",D32,HLOOKUP($E$2,$F$2:K32,ROW(D32)-1,0)),F32)</f>
        <v>Ir a INICIO</v>
      </c>
      <c r="F32" s="342" t="s">
        <v>108</v>
      </c>
      <c r="G32" s="342" t="s">
        <v>264</v>
      </c>
      <c r="H32" s="342" t="s">
        <v>1339</v>
      </c>
      <c r="I32" s="342" t="s">
        <v>383</v>
      </c>
      <c r="J32" s="342" t="s">
        <v>341</v>
      </c>
      <c r="K32" s="342" t="s">
        <v>901</v>
      </c>
      <c r="L32" s="342" t="str">
        <f t="shared" si="2"/>
        <v>Ir a INICIO</v>
      </c>
      <c r="M32" s="226" t="s">
        <v>117</v>
      </c>
    </row>
    <row r="33" spans="1:13" x14ac:dyDescent="0.25">
      <c r="A33" s="411" t="str">
        <f t="shared" ref="A33:A70" si="6">$A$1&amp;B33&amp;"_"&amp;C33&amp;"_"&amp;$A$2</f>
        <v>Z_DG_00_</v>
      </c>
      <c r="B33" s="411" t="s">
        <v>153</v>
      </c>
      <c r="C33" s="411" t="s">
        <v>197</v>
      </c>
      <c r="D33" s="576"/>
      <c r="E33" s="340" t="str">
        <f>IFERROR(IF(D33&lt;&gt;"",D33,HLOOKUP($E$2,$F$2:K33,ROW(D33)-1,0)),F33)</f>
        <v>DATOS GENERALES</v>
      </c>
      <c r="F33" s="340" t="s">
        <v>127</v>
      </c>
      <c r="G33" s="340" t="s">
        <v>132</v>
      </c>
      <c r="H33" s="340" t="s">
        <v>313</v>
      </c>
      <c r="I33" s="340" t="s">
        <v>146</v>
      </c>
      <c r="J33" s="340" t="s">
        <v>343</v>
      </c>
      <c r="K33" s="340" t="s">
        <v>909</v>
      </c>
      <c r="L33" s="340" t="str">
        <f t="shared" si="2"/>
        <v>DATOS GENERALES</v>
      </c>
      <c r="M33" s="226" t="s">
        <v>117</v>
      </c>
    </row>
    <row r="34" spans="1:13" outlineLevel="1" x14ac:dyDescent="0.25">
      <c r="A34" s="412" t="str">
        <f t="shared" si="6"/>
        <v>Z_DG_01_</v>
      </c>
      <c r="B34" s="412" t="str">
        <f t="shared" ref="B34:B67" si="7">B33</f>
        <v>DG</v>
      </c>
      <c r="C34" s="412" t="s">
        <v>198</v>
      </c>
      <c r="D34" s="577"/>
      <c r="E34" s="341" t="str">
        <f>IFERROR(IF(D34&lt;&gt;"",D34,HLOOKUP($E$2,$F$2:K34,ROW(D34)-1,0)),F34)</f>
        <v>Tipo Pregunta</v>
      </c>
      <c r="F34" s="341" t="s">
        <v>267</v>
      </c>
      <c r="G34" s="341" t="s">
        <v>306</v>
      </c>
      <c r="H34" s="341" t="s">
        <v>314</v>
      </c>
      <c r="I34" s="341" t="s">
        <v>385</v>
      </c>
      <c r="J34" s="341" t="s">
        <v>344</v>
      </c>
      <c r="K34" s="341" t="s">
        <v>910</v>
      </c>
      <c r="L34" s="341" t="str">
        <f t="shared" si="2"/>
        <v>Tipo Pregunta</v>
      </c>
      <c r="M34" s="226" t="s">
        <v>117</v>
      </c>
    </row>
    <row r="35" spans="1:13" outlineLevel="1" x14ac:dyDescent="0.25">
      <c r="A35" s="413" t="str">
        <f t="shared" si="6"/>
        <v>Z_DG_02_</v>
      </c>
      <c r="B35" s="413" t="str">
        <f t="shared" si="7"/>
        <v>DG</v>
      </c>
      <c r="C35" s="413" t="s">
        <v>199</v>
      </c>
      <c r="D35" s="578"/>
      <c r="E35" s="342" t="str">
        <f>IFERROR(IF(D35&lt;&gt;"",D35,HLOOKUP($E$2,$F$2:K35,ROW(D35)-1,0)),F35)</f>
        <v>Título  CATEGORÍA</v>
      </c>
      <c r="F35" s="342" t="s">
        <v>266</v>
      </c>
      <c r="G35" s="342" t="s">
        <v>269</v>
      </c>
      <c r="H35" s="342" t="s">
        <v>1348</v>
      </c>
      <c r="I35" s="342" t="s">
        <v>386</v>
      </c>
      <c r="J35" s="342" t="s">
        <v>345</v>
      </c>
      <c r="K35" s="342" t="s">
        <v>911</v>
      </c>
      <c r="L35" s="342" t="str">
        <f t="shared" si="2"/>
        <v>Título  CATEGORÍA</v>
      </c>
      <c r="M35" s="226" t="s">
        <v>117</v>
      </c>
    </row>
    <row r="36" spans="1:13" outlineLevel="1" x14ac:dyDescent="0.25">
      <c r="A36" s="412" t="str">
        <f t="shared" si="6"/>
        <v>Z_DG_03_</v>
      </c>
      <c r="B36" s="412" t="str">
        <f t="shared" si="7"/>
        <v>DG</v>
      </c>
      <c r="C36" s="412" t="s">
        <v>200</v>
      </c>
      <c r="D36" s="577"/>
      <c r="E36" s="341" t="str">
        <f>IFERROR(IF(D36&lt;&gt;"",D36,HLOOKUP($E$2,$F$2:K36,ROW(D36)-1,0)),F36)</f>
        <v>Título SUBCATEGORÍA</v>
      </c>
      <c r="F36" s="341" t="s">
        <v>270</v>
      </c>
      <c r="G36" s="341" t="s">
        <v>271</v>
      </c>
      <c r="H36" s="341" t="s">
        <v>315</v>
      </c>
      <c r="I36" s="341" t="s">
        <v>387</v>
      </c>
      <c r="J36" s="341" t="s">
        <v>346</v>
      </c>
      <c r="K36" s="341" t="s">
        <v>912</v>
      </c>
      <c r="L36" s="341" t="str">
        <f t="shared" si="2"/>
        <v>Título SUBCATEGORÍA</v>
      </c>
      <c r="M36" s="226" t="s">
        <v>117</v>
      </c>
    </row>
    <row r="37" spans="1:13" outlineLevel="1" x14ac:dyDescent="0.25">
      <c r="A37" s="413" t="str">
        <f t="shared" si="6"/>
        <v>Z_DG_04_</v>
      </c>
      <c r="B37" s="413" t="str">
        <f t="shared" si="7"/>
        <v>DG</v>
      </c>
      <c r="C37" s="413" t="s">
        <v>201</v>
      </c>
      <c r="D37" s="578"/>
      <c r="E37" s="342" t="str">
        <f>IFERROR(IF(D37&lt;&gt;"",D37,HLOOKUP($E$2,$F$2:K37,ROW(D37)-1,0)),F37)</f>
        <v>Retroalimentación General</v>
      </c>
      <c r="F37" s="342" t="s">
        <v>272</v>
      </c>
      <c r="G37" s="342" t="s">
        <v>305</v>
      </c>
      <c r="H37" s="342" t="s">
        <v>316</v>
      </c>
      <c r="I37" s="342" t="s">
        <v>388</v>
      </c>
      <c r="J37" s="342" t="s">
        <v>347</v>
      </c>
      <c r="K37" s="342" t="s">
        <v>913</v>
      </c>
      <c r="L37" s="342" t="str">
        <f t="shared" si="2"/>
        <v>Retroalimentación General</v>
      </c>
      <c r="M37" s="226" t="s">
        <v>117</v>
      </c>
    </row>
    <row r="38" spans="1:13" outlineLevel="1" x14ac:dyDescent="0.25">
      <c r="A38" s="412" t="str">
        <f t="shared" si="6"/>
        <v>Z_DG_05_</v>
      </c>
      <c r="B38" s="412" t="str">
        <f t="shared" si="7"/>
        <v>DG</v>
      </c>
      <c r="C38" s="412" t="s">
        <v>202</v>
      </c>
      <c r="D38" s="577"/>
      <c r="E38" s="341" t="str">
        <f>IFERROR(IF(D38&lt;&gt;"",D38,HLOOKUP($E$2,$F$2:K38,ROW(D38)-1,0)),F38)</f>
        <v>Contraseña/Nº Identificación</v>
      </c>
      <c r="F38" s="341" t="s">
        <v>273</v>
      </c>
      <c r="G38" s="341" t="s">
        <v>304</v>
      </c>
      <c r="H38" s="341" t="s">
        <v>317</v>
      </c>
      <c r="I38" s="341" t="s">
        <v>389</v>
      </c>
      <c r="J38" s="341" t="s">
        <v>348</v>
      </c>
      <c r="K38" s="341" t="s">
        <v>914</v>
      </c>
      <c r="L38" s="341" t="str">
        <f t="shared" si="2"/>
        <v>Contraseña/Nº Identificación</v>
      </c>
      <c r="M38" s="226" t="s">
        <v>117</v>
      </c>
    </row>
    <row r="39" spans="1:13" outlineLevel="1" x14ac:dyDescent="0.25">
      <c r="A39" s="413" t="str">
        <f t="shared" si="6"/>
        <v>Z_DG_06_</v>
      </c>
      <c r="B39" s="413" t="str">
        <f t="shared" si="7"/>
        <v>DG</v>
      </c>
      <c r="C39" s="413" t="s">
        <v>203</v>
      </c>
      <c r="D39" s="578"/>
      <c r="E39" s="342" t="str">
        <f>IFERROR(IF(D39&lt;&gt;"",D39,HLOOKUP($E$2,$F$2:K39,ROW(D39)-1,0)),F39)</f>
        <v>Retroalimentación Respuesta Correcta</v>
      </c>
      <c r="F39" s="342" t="s">
        <v>274</v>
      </c>
      <c r="G39" s="342" t="s">
        <v>831</v>
      </c>
      <c r="H39" s="342" t="s">
        <v>318</v>
      </c>
      <c r="I39" s="342" t="s">
        <v>390</v>
      </c>
      <c r="J39" s="342" t="s">
        <v>349</v>
      </c>
      <c r="K39" s="342" t="s">
        <v>915</v>
      </c>
      <c r="L39" s="342" t="str">
        <f t="shared" si="2"/>
        <v>Retroalimentación Respuesta Correcta</v>
      </c>
      <c r="M39" s="226" t="s">
        <v>117</v>
      </c>
    </row>
    <row r="40" spans="1:13" outlineLevel="1" x14ac:dyDescent="0.25">
      <c r="A40" s="412" t="str">
        <f t="shared" si="6"/>
        <v>Z_DG_07_</v>
      </c>
      <c r="B40" s="412" t="str">
        <f t="shared" si="7"/>
        <v>DG</v>
      </c>
      <c r="C40" s="412" t="s">
        <v>204</v>
      </c>
      <c r="D40" s="577"/>
      <c r="E40" s="341" t="str">
        <f>IFERROR(IF(D40&lt;&gt;"",D40,HLOOKUP($E$2,$F$2:K40,ROW(D40)-1,0)),F40)</f>
        <v>Retroalimentación Respuesta Parcialmente Correcta</v>
      </c>
      <c r="F40" s="341" t="s">
        <v>275</v>
      </c>
      <c r="G40" s="341" t="s">
        <v>303</v>
      </c>
      <c r="H40" s="341" t="s">
        <v>319</v>
      </c>
      <c r="I40" s="341" t="s">
        <v>391</v>
      </c>
      <c r="J40" s="341" t="s">
        <v>350</v>
      </c>
      <c r="K40" s="341" t="s">
        <v>916</v>
      </c>
      <c r="L40" s="341" t="str">
        <f t="shared" si="2"/>
        <v>Retroalimentación Respuesta Parcialmente Correcta</v>
      </c>
      <c r="M40" s="226" t="s">
        <v>117</v>
      </c>
    </row>
    <row r="41" spans="1:13" outlineLevel="1" x14ac:dyDescent="0.25">
      <c r="A41" s="413" t="str">
        <f t="shared" si="6"/>
        <v>Z_DG_08_</v>
      </c>
      <c r="B41" s="413" t="str">
        <f t="shared" si="7"/>
        <v>DG</v>
      </c>
      <c r="C41" s="413" t="s">
        <v>205</v>
      </c>
      <c r="D41" s="578"/>
      <c r="E41" s="342" t="str">
        <f>IFERROR(IF(D41&lt;&gt;"",D41,HLOOKUP($E$2,$F$2:K41,ROW(D41)-1,0)),F41)</f>
        <v>Retroalimentación Respuesta Incorrecta</v>
      </c>
      <c r="F41" s="342" t="s">
        <v>276</v>
      </c>
      <c r="G41" s="342" t="s">
        <v>302</v>
      </c>
      <c r="H41" s="342" t="s">
        <v>320</v>
      </c>
      <c r="I41" s="342" t="s">
        <v>392</v>
      </c>
      <c r="J41" s="342" t="s">
        <v>351</v>
      </c>
      <c r="K41" s="342" t="s">
        <v>917</v>
      </c>
      <c r="L41" s="342" t="str">
        <f t="shared" si="2"/>
        <v>Retroalimentación Respuesta Incorrecta</v>
      </c>
      <c r="M41" s="226" t="s">
        <v>117</v>
      </c>
    </row>
    <row r="42" spans="1:13" outlineLevel="1" x14ac:dyDescent="0.25">
      <c r="A42" s="412" t="str">
        <f t="shared" si="6"/>
        <v>Z_DG_09_</v>
      </c>
      <c r="B42" s="412" t="str">
        <f t="shared" si="7"/>
        <v>DG</v>
      </c>
      <c r="C42" s="412" t="s">
        <v>206</v>
      </c>
      <c r="D42" s="577"/>
      <c r="E42" s="341" t="str">
        <f>IFERROR(IF(D42&lt;&gt;"",D42,HLOOKUP($E$2,$F$2:K42,ROW(D42)-1,0)),F42)</f>
        <v>Prefijo de las preguntas (no más de 15 caracteres)</v>
      </c>
      <c r="F42" s="341" t="s">
        <v>277</v>
      </c>
      <c r="G42" s="341" t="s">
        <v>278</v>
      </c>
      <c r="H42" s="341" t="s">
        <v>321</v>
      </c>
      <c r="I42" s="341" t="s">
        <v>393</v>
      </c>
      <c r="J42" s="341" t="s">
        <v>352</v>
      </c>
      <c r="K42" s="341" t="s">
        <v>918</v>
      </c>
      <c r="L42" s="341" t="str">
        <f t="shared" si="2"/>
        <v>Prefijo de las preguntas (no más de 15 caracteres)</v>
      </c>
      <c r="M42" s="226" t="s">
        <v>117</v>
      </c>
    </row>
    <row r="43" spans="1:13" outlineLevel="1" x14ac:dyDescent="0.25">
      <c r="A43" s="413" t="str">
        <f t="shared" si="6"/>
        <v>Z_DG_10_</v>
      </c>
      <c r="B43" s="413" t="str">
        <f t="shared" si="7"/>
        <v>DG</v>
      </c>
      <c r="C43" s="413" t="s">
        <v>207</v>
      </c>
      <c r="D43" s="578"/>
      <c r="E43" s="342" t="str">
        <f>IFERROR(IF(D43&lt;&gt;"",D43,HLOOKUP($E$2,$F$2:K43,ROW(D43)-1,0)),F43)</f>
        <v>Nº Inicial de pregunta a exportar</v>
      </c>
      <c r="F43" s="342" t="s">
        <v>279</v>
      </c>
      <c r="G43" s="342" t="s">
        <v>18295</v>
      </c>
      <c r="H43" s="342" t="s">
        <v>322</v>
      </c>
      <c r="I43" s="342" t="s">
        <v>394</v>
      </c>
      <c r="J43" s="342" t="s">
        <v>353</v>
      </c>
      <c r="K43" s="342" t="s">
        <v>919</v>
      </c>
      <c r="L43" s="342" t="str">
        <f t="shared" si="2"/>
        <v>Nº Inicial de pregunta a exportar</v>
      </c>
      <c r="M43" s="226" t="s">
        <v>117</v>
      </c>
    </row>
    <row r="44" spans="1:13" outlineLevel="1" x14ac:dyDescent="0.25">
      <c r="A44" s="412" t="str">
        <f t="shared" si="6"/>
        <v>Z_DG_11_</v>
      </c>
      <c r="B44" s="412" t="str">
        <f t="shared" si="7"/>
        <v>DG</v>
      </c>
      <c r="C44" s="412" t="s">
        <v>208</v>
      </c>
      <c r="D44" s="577"/>
      <c r="E44" s="341" t="str">
        <f>IFERROR(IF(D44&lt;&gt;"",D44,HLOOKUP($E$2,$F$2:K44,ROW(D44)-1,0)),F44)</f>
        <v>Nº Final de pregunta a exportar</v>
      </c>
      <c r="F44" s="341" t="s">
        <v>280</v>
      </c>
      <c r="G44" s="341" t="s">
        <v>1349</v>
      </c>
      <c r="H44" s="341" t="s">
        <v>323</v>
      </c>
      <c r="I44" s="341" t="s">
        <v>395</v>
      </c>
      <c r="J44" s="341" t="s">
        <v>354</v>
      </c>
      <c r="K44" s="341" t="s">
        <v>920</v>
      </c>
      <c r="L44" s="341" t="str">
        <f t="shared" si="2"/>
        <v>Nº Final de pregunta a exportar</v>
      </c>
      <c r="M44" s="226" t="s">
        <v>117</v>
      </c>
    </row>
    <row r="45" spans="1:13" outlineLevel="1" x14ac:dyDescent="0.25">
      <c r="A45" s="413" t="str">
        <f t="shared" si="6"/>
        <v>Z_DG_12_</v>
      </c>
      <c r="B45" s="413" t="str">
        <f t="shared" si="7"/>
        <v>DG</v>
      </c>
      <c r="C45" s="413" t="s">
        <v>209</v>
      </c>
      <c r="D45" s="578"/>
      <c r="E45" s="342" t="str">
        <f>IFERROR(IF(D45&lt;&gt;"",D45,HLOOKUP($E$2,$F$2:K45,ROW(D45)-1,0)),F45)</f>
        <v>Barajar respuestas en el cuestionario (SÍ= true)</v>
      </c>
      <c r="F45" s="342" t="s">
        <v>281</v>
      </c>
      <c r="G45" s="342" t="s">
        <v>1350</v>
      </c>
      <c r="H45" s="342" t="s">
        <v>1351</v>
      </c>
      <c r="I45" s="342" t="s">
        <v>1217</v>
      </c>
      <c r="J45" s="342" t="s">
        <v>355</v>
      </c>
      <c r="K45" s="342" t="s">
        <v>1218</v>
      </c>
      <c r="L45" s="342" t="str">
        <f t="shared" si="2"/>
        <v>Barajar respuestas en el cuestionario (SÍ= true)</v>
      </c>
      <c r="M45" s="226" t="s">
        <v>117</v>
      </c>
    </row>
    <row r="46" spans="1:13" outlineLevel="1" x14ac:dyDescent="0.25">
      <c r="A46" s="412" t="str">
        <f t="shared" si="6"/>
        <v>Z_DG_13_</v>
      </c>
      <c r="B46" s="412" t="str">
        <f t="shared" si="7"/>
        <v>DG</v>
      </c>
      <c r="C46" s="412" t="s">
        <v>210</v>
      </c>
      <c r="D46" s="577"/>
      <c r="E46" s="341" t="str">
        <f>IFERROR(IF(D46&lt;&gt;"",D46,HLOOKUP($E$2,$F$2:K46,ROW(D46)-1,0)),F46)</f>
        <v>¿Numerar las elecciones? (NINGUNA = none)</v>
      </c>
      <c r="F46" s="341" t="s">
        <v>1473</v>
      </c>
      <c r="G46" s="341" t="s">
        <v>1352</v>
      </c>
      <c r="H46" s="341" t="s">
        <v>1474</v>
      </c>
      <c r="I46" s="341" t="s">
        <v>396</v>
      </c>
      <c r="J46" s="341" t="s">
        <v>356</v>
      </c>
      <c r="K46" s="341" t="s">
        <v>921</v>
      </c>
      <c r="L46" s="341" t="str">
        <f t="shared" si="2"/>
        <v>¿Numerar las elecciones? (NINGUNA = none)</v>
      </c>
      <c r="M46" s="226" t="s">
        <v>117</v>
      </c>
    </row>
    <row r="47" spans="1:13" outlineLevel="1" x14ac:dyDescent="0.25">
      <c r="A47" s="413" t="str">
        <f t="shared" si="6"/>
        <v>Z_DG_14_</v>
      </c>
      <c r="B47" s="413" t="str">
        <f t="shared" si="7"/>
        <v>DG</v>
      </c>
      <c r="C47" s="413" t="s">
        <v>211</v>
      </c>
      <c r="D47" s="578"/>
      <c r="E47" s="342" t="str">
        <f>IFERROR(IF(D47&lt;&gt;"",D47,HLOOKUP($E$2,$F$2:K47,ROW(D47)-1,0)),F47)</f>
        <v>Cuestionario una sola opción de respuesta (SÍ=true)</v>
      </c>
      <c r="F47" s="342" t="s">
        <v>282</v>
      </c>
      <c r="G47" s="342" t="s">
        <v>1353</v>
      </c>
      <c r="H47" s="342" t="s">
        <v>1219</v>
      </c>
      <c r="I47" s="342" t="s">
        <v>1220</v>
      </c>
      <c r="J47" s="342" t="s">
        <v>1221</v>
      </c>
      <c r="K47" s="342" t="s">
        <v>1222</v>
      </c>
      <c r="L47" s="342" t="str">
        <f t="shared" si="2"/>
        <v>Cuestionario una sola opción de respuesta (SÍ=true)</v>
      </c>
      <c r="M47" s="226" t="s">
        <v>117</v>
      </c>
    </row>
    <row r="48" spans="1:13" outlineLevel="1" x14ac:dyDescent="0.25">
      <c r="A48" s="412" t="str">
        <f t="shared" si="6"/>
        <v>Z_DG_15_</v>
      </c>
      <c r="B48" s="412" t="str">
        <f t="shared" si="7"/>
        <v>DG</v>
      </c>
      <c r="C48" s="412" t="s">
        <v>212</v>
      </c>
      <c r="D48" s="577"/>
      <c r="E48" s="341" t="str">
        <f>IFERROR(IF(D48&lt;&gt;"",D48,HLOOKUP($E$2,$F$2:K48,ROW(D48)-1,0)),F48)</f>
        <v>Rango de preguntas almacenadas</v>
      </c>
      <c r="F48" s="341" t="s">
        <v>826</v>
      </c>
      <c r="G48" s="341" t="s">
        <v>307</v>
      </c>
      <c r="H48" s="341" t="s">
        <v>324</v>
      </c>
      <c r="I48" s="341" t="s">
        <v>397</v>
      </c>
      <c r="J48" s="341" t="s">
        <v>357</v>
      </c>
      <c r="K48" s="341" t="s">
        <v>922</v>
      </c>
      <c r="L48" s="341" t="str">
        <f t="shared" si="2"/>
        <v>Rango de preguntas almacenadas</v>
      </c>
      <c r="M48" s="226" t="s">
        <v>117</v>
      </c>
    </row>
    <row r="49" spans="1:13" outlineLevel="1" x14ac:dyDescent="0.25">
      <c r="A49" s="413" t="str">
        <f t="shared" si="6"/>
        <v>Z_DG_16_</v>
      </c>
      <c r="B49" s="413" t="str">
        <f t="shared" si="7"/>
        <v>DG</v>
      </c>
      <c r="C49" s="413" t="s">
        <v>213</v>
      </c>
      <c r="D49" s="578"/>
      <c r="E49" s="342" t="str">
        <f>IFERROR(IF(D49&lt;&gt;"",D49,HLOOKUP($E$2,$F$2:K49,ROW(D49)-1,0)),F49)</f>
        <v>Descripción</v>
      </c>
      <c r="F49" s="342" t="s">
        <v>283</v>
      </c>
      <c r="G49" s="342" t="s">
        <v>133</v>
      </c>
      <c r="H49" s="342" t="s">
        <v>133</v>
      </c>
      <c r="I49" s="342" t="s">
        <v>398</v>
      </c>
      <c r="J49" s="342" t="s">
        <v>358</v>
      </c>
      <c r="K49" s="342" t="s">
        <v>923</v>
      </c>
      <c r="L49" s="342" t="str">
        <f t="shared" si="2"/>
        <v>Descripción</v>
      </c>
      <c r="M49" s="226" t="s">
        <v>117</v>
      </c>
    </row>
    <row r="50" spans="1:13" outlineLevel="1" x14ac:dyDescent="0.25">
      <c r="A50" s="412" t="str">
        <f t="shared" si="6"/>
        <v>Z_DG_17_</v>
      </c>
      <c r="B50" s="412" t="str">
        <f t="shared" si="7"/>
        <v>DG</v>
      </c>
      <c r="C50" s="412" t="s">
        <v>214</v>
      </c>
      <c r="D50" s="577"/>
      <c r="E50" s="341" t="str">
        <f>IFERROR(IF(D50&lt;&gt;"",D50,HLOOKUP($E$2,$F$2:K50,ROW(D50)-1,0)),F50)</f>
        <v>Puntos</v>
      </c>
      <c r="F50" s="341" t="s">
        <v>293</v>
      </c>
      <c r="G50" s="341" t="s">
        <v>284</v>
      </c>
      <c r="H50" s="341" t="s">
        <v>284</v>
      </c>
      <c r="I50" s="341" t="s">
        <v>399</v>
      </c>
      <c r="J50" s="341" t="s">
        <v>359</v>
      </c>
      <c r="K50" s="341" t="s">
        <v>924</v>
      </c>
      <c r="L50" s="341" t="str">
        <f t="shared" si="2"/>
        <v>Puntos</v>
      </c>
      <c r="M50" s="226" t="s">
        <v>117</v>
      </c>
    </row>
    <row r="51" spans="1:13" outlineLevel="1" x14ac:dyDescent="0.25">
      <c r="A51" s="413" t="str">
        <f t="shared" si="6"/>
        <v>Z_DG_18_</v>
      </c>
      <c r="B51" s="413" t="str">
        <f t="shared" si="7"/>
        <v>DG</v>
      </c>
      <c r="C51" s="413" t="s">
        <v>215</v>
      </c>
      <c r="D51" s="578"/>
      <c r="E51" s="342" t="str">
        <f>IFERROR(IF(D51&lt;&gt;"",D51,HLOOKUP($E$2,$F$2:K51,ROW(D51)-1,0)),F51)</f>
        <v>Penalización intento, en caso de permitir más de uno.</v>
      </c>
      <c r="F51" s="342" t="s">
        <v>1354</v>
      </c>
      <c r="G51" s="342" t="s">
        <v>1355</v>
      </c>
      <c r="H51" s="342" t="s">
        <v>1356</v>
      </c>
      <c r="I51" s="342" t="s">
        <v>18296</v>
      </c>
      <c r="J51" s="342" t="s">
        <v>18297</v>
      </c>
      <c r="K51" s="342" t="s">
        <v>18298</v>
      </c>
      <c r="L51" s="342" t="str">
        <f t="shared" si="2"/>
        <v>Penalización intento, en caso de permitir más de uno.</v>
      </c>
      <c r="M51" s="226" t="s">
        <v>117</v>
      </c>
    </row>
    <row r="52" spans="1:13" outlineLevel="1" x14ac:dyDescent="0.25">
      <c r="A52" s="412" t="str">
        <f t="shared" si="6"/>
        <v>Z_DG_19_</v>
      </c>
      <c r="B52" s="412" t="str">
        <f t="shared" si="7"/>
        <v>DG</v>
      </c>
      <c r="C52" s="412" t="s">
        <v>216</v>
      </c>
      <c r="D52" s="577"/>
      <c r="E52" s="341" t="str">
        <f>IFERROR(IF(D52&lt;&gt;"",D52,HLOOKUP($E$2,$F$2:K52,ROW(D52)-1,0)),F52)</f>
        <v>Oculto</v>
      </c>
      <c r="F52" s="341" t="s">
        <v>262</v>
      </c>
      <c r="G52" s="341" t="s">
        <v>285</v>
      </c>
      <c r="H52" s="341" t="s">
        <v>325</v>
      </c>
      <c r="I52" s="341" t="s">
        <v>400</v>
      </c>
      <c r="J52" s="341" t="s">
        <v>360</v>
      </c>
      <c r="K52" s="341" t="s">
        <v>925</v>
      </c>
      <c r="L52" s="341" t="str">
        <f t="shared" si="2"/>
        <v>Oculto</v>
      </c>
      <c r="M52" s="226" t="s">
        <v>117</v>
      </c>
    </row>
    <row r="53" spans="1:13" outlineLevel="1" x14ac:dyDescent="0.25">
      <c r="A53" s="413" t="str">
        <f t="shared" si="6"/>
        <v>Z_DG_20_</v>
      </c>
      <c r="B53" s="413" t="str">
        <f t="shared" si="7"/>
        <v>DG</v>
      </c>
      <c r="C53" s="413" t="s">
        <v>217</v>
      </c>
      <c r="D53" s="578"/>
      <c r="E53" s="342" t="str">
        <f>IFERROR(IF(D53&lt;&gt;"",D53,HLOOKUP($E$2,$F$2:K53,ROW(D53)-1,0)),F53)</f>
        <v>FORMULARIO</v>
      </c>
      <c r="F53" s="342" t="s">
        <v>119</v>
      </c>
      <c r="G53" s="342" t="s">
        <v>265</v>
      </c>
      <c r="H53" s="342" t="s">
        <v>326</v>
      </c>
      <c r="I53" s="342" t="s">
        <v>401</v>
      </c>
      <c r="J53" s="342" t="s">
        <v>361</v>
      </c>
      <c r="K53" s="342" t="s">
        <v>926</v>
      </c>
      <c r="L53" s="342" t="str">
        <f t="shared" si="2"/>
        <v>FORMULARIO</v>
      </c>
      <c r="M53" s="226" t="s">
        <v>117</v>
      </c>
    </row>
    <row r="54" spans="1:13" outlineLevel="1" x14ac:dyDescent="0.25">
      <c r="A54" s="412" t="str">
        <f t="shared" si="6"/>
        <v>Z_DG_21_</v>
      </c>
      <c r="B54" s="412" t="str">
        <f t="shared" si="7"/>
        <v>DG</v>
      </c>
      <c r="C54" s="412" t="s">
        <v>218</v>
      </c>
      <c r="D54" s="577"/>
      <c r="E54" s="341" t="str">
        <f>IFERROR(IF(D54&lt;&gt;"",D54,HLOOKUP($E$2,$F$2:K54,ROW(D54)-1,0)),F54)</f>
        <v>BANCO DE PREGUNTAS</v>
      </c>
      <c r="F54" s="341" t="s">
        <v>118</v>
      </c>
      <c r="G54" s="341" t="s">
        <v>286</v>
      </c>
      <c r="H54" s="341" t="s">
        <v>327</v>
      </c>
      <c r="I54" s="341" t="s">
        <v>402</v>
      </c>
      <c r="J54" s="341" t="s">
        <v>362</v>
      </c>
      <c r="K54" s="341" t="s">
        <v>927</v>
      </c>
      <c r="L54" s="341" t="str">
        <f t="shared" si="2"/>
        <v>BANCO DE PREGUNTAS</v>
      </c>
      <c r="M54" s="226" t="s">
        <v>117</v>
      </c>
    </row>
    <row r="55" spans="1:13" outlineLevel="1" x14ac:dyDescent="0.25">
      <c r="A55" s="413" t="str">
        <f t="shared" si="6"/>
        <v>Z_DG_22_</v>
      </c>
      <c r="B55" s="413" t="str">
        <f t="shared" si="7"/>
        <v>DG</v>
      </c>
      <c r="C55" s="413" t="s">
        <v>219</v>
      </c>
      <c r="D55" s="578"/>
      <c r="E55" s="342" t="str">
        <f>IFERROR(IF(D55&lt;&gt;"",D55,HLOOKUP($E$2,$F$2:K55,ROW(D55)-1,0)),F55)</f>
        <v>IMPORTAR DE LIBRO EXCEL</v>
      </c>
      <c r="F55" s="342" t="s">
        <v>236</v>
      </c>
      <c r="G55" s="342" t="s">
        <v>287</v>
      </c>
      <c r="H55" s="342" t="s">
        <v>328</v>
      </c>
      <c r="I55" s="342" t="s">
        <v>403</v>
      </c>
      <c r="J55" s="342" t="s">
        <v>363</v>
      </c>
      <c r="K55" s="342" t="s">
        <v>928</v>
      </c>
      <c r="L55" s="342" t="str">
        <f t="shared" si="2"/>
        <v>IMPORTAR DE LIBRO EXCEL</v>
      </c>
      <c r="M55" s="226" t="s">
        <v>117</v>
      </c>
    </row>
    <row r="56" spans="1:13" outlineLevel="1" x14ac:dyDescent="0.25">
      <c r="A56" s="412" t="str">
        <f t="shared" si="6"/>
        <v>Z_DG_23_</v>
      </c>
      <c r="B56" s="412" t="str">
        <f t="shared" si="7"/>
        <v>DG</v>
      </c>
      <c r="C56" s="412" t="s">
        <v>220</v>
      </c>
      <c r="D56" s="577"/>
      <c r="E56" s="341" t="str">
        <f>IFERROR(IF(D56&lt;&gt;"",D56,HLOOKUP($E$2,$F$2:K56,ROW(D56)-1,0)),F56)</f>
        <v>EXPORTAR A LIBRO EXCEL</v>
      </c>
      <c r="F56" s="341" t="s">
        <v>237</v>
      </c>
      <c r="G56" s="341" t="s">
        <v>288</v>
      </c>
      <c r="H56" s="341" t="s">
        <v>329</v>
      </c>
      <c r="I56" s="341" t="s">
        <v>404</v>
      </c>
      <c r="J56" s="341" t="s">
        <v>364</v>
      </c>
      <c r="K56" s="341" t="s">
        <v>929</v>
      </c>
      <c r="L56" s="341" t="str">
        <f t="shared" si="2"/>
        <v>EXPORTAR A LIBRO EXCEL</v>
      </c>
      <c r="M56" s="226" t="s">
        <v>117</v>
      </c>
    </row>
    <row r="57" spans="1:13" outlineLevel="1" x14ac:dyDescent="0.25">
      <c r="A57" s="413" t="str">
        <f t="shared" si="6"/>
        <v>Z_DG_24_</v>
      </c>
      <c r="B57" s="413" t="str">
        <f t="shared" si="7"/>
        <v>DG</v>
      </c>
      <c r="C57" s="413" t="s">
        <v>221</v>
      </c>
      <c r="D57" s="578"/>
      <c r="E57" s="342" t="str">
        <f>IFERROR(IF(D57&lt;&gt;"",D57,HLOOKUP($E$2,$F$2:K57,ROW(D57)-1,0)),F57)</f>
        <v>EXPORTAR A MOODLE</v>
      </c>
      <c r="F57" s="342" t="s">
        <v>238</v>
      </c>
      <c r="G57" s="342" t="s">
        <v>289</v>
      </c>
      <c r="H57" s="342" t="s">
        <v>330</v>
      </c>
      <c r="I57" s="342" t="s">
        <v>405</v>
      </c>
      <c r="J57" s="342" t="s">
        <v>365</v>
      </c>
      <c r="K57" s="342" t="s">
        <v>930</v>
      </c>
      <c r="L57" s="342" t="str">
        <f t="shared" si="2"/>
        <v>EXPORTAR A MOODLE</v>
      </c>
      <c r="M57" s="226" t="s">
        <v>117</v>
      </c>
    </row>
    <row r="58" spans="1:13" outlineLevel="1" x14ac:dyDescent="0.25">
      <c r="A58" s="412" t="str">
        <f t="shared" si="6"/>
        <v>Z_DG_25_</v>
      </c>
      <c r="B58" s="412" t="str">
        <f t="shared" si="7"/>
        <v>DG</v>
      </c>
      <c r="C58" s="412" t="s">
        <v>222</v>
      </c>
      <c r="D58" s="577"/>
      <c r="E58" s="341" t="str">
        <f>IFERROR(IF(D58&lt;&gt;"",D58,HLOOKUP($E$2,$F$2:K58,ROW(D58)-1,0)),F58)</f>
        <v>EXPORTAR A TEXTO (doc/txt)</v>
      </c>
      <c r="F58" s="341" t="s">
        <v>239</v>
      </c>
      <c r="G58" s="341" t="s">
        <v>297</v>
      </c>
      <c r="H58" s="341" t="s">
        <v>427</v>
      </c>
      <c r="I58" s="341" t="s">
        <v>428</v>
      </c>
      <c r="J58" s="341" t="s">
        <v>429</v>
      </c>
      <c r="K58" s="341" t="s">
        <v>931</v>
      </c>
      <c r="L58" s="341" t="str">
        <f t="shared" si="2"/>
        <v>EXPORTAR A TEXTO (doc/txt)</v>
      </c>
      <c r="M58" s="226" t="s">
        <v>117</v>
      </c>
    </row>
    <row r="59" spans="1:13" outlineLevel="1" x14ac:dyDescent="0.25">
      <c r="A59" s="413" t="str">
        <f t="shared" si="6"/>
        <v>Z_DG_26_</v>
      </c>
      <c r="B59" s="413" t="str">
        <f t="shared" si="7"/>
        <v>DG</v>
      </c>
      <c r="C59" s="413" t="s">
        <v>223</v>
      </c>
      <c r="D59" s="578"/>
      <c r="E59" s="342" t="str">
        <f>IFERROR(IF(D59&lt;&gt;"",D59,HLOOKUP($E$2,$F$2:K59,ROW(D59)-1,0)),F59)</f>
        <v>EXPORTAR A JUEGO</v>
      </c>
      <c r="F59" s="342" t="s">
        <v>295</v>
      </c>
      <c r="G59" s="342" t="s">
        <v>290</v>
      </c>
      <c r="H59" s="342" t="s">
        <v>331</v>
      </c>
      <c r="I59" s="342" t="s">
        <v>406</v>
      </c>
      <c r="J59" s="342" t="s">
        <v>366</v>
      </c>
      <c r="K59" s="342" t="s">
        <v>932</v>
      </c>
      <c r="L59" s="342" t="str">
        <f t="shared" si="2"/>
        <v>EXPORTAR A JUEGO</v>
      </c>
      <c r="M59" s="226" t="s">
        <v>117</v>
      </c>
    </row>
    <row r="60" spans="1:13" outlineLevel="1" x14ac:dyDescent="0.25">
      <c r="A60" s="412" t="str">
        <f t="shared" si="6"/>
        <v>Z_DG_27_</v>
      </c>
      <c r="B60" s="412" t="str">
        <f t="shared" si="7"/>
        <v>DG</v>
      </c>
      <c r="C60" s="412" t="s">
        <v>224</v>
      </c>
      <c r="D60" s="577"/>
      <c r="E60" s="341" t="str">
        <f>IFERROR(IF(D60&lt;&gt;"",D60,HLOOKUP($E$2,$F$2:K60,ROW(D60)-1,0)),F60)</f>
        <v xml:space="preserve">Opción Múltiple 1R </v>
      </c>
      <c r="F60" s="341" t="s">
        <v>18652</v>
      </c>
      <c r="G60" s="341" t="s">
        <v>18653</v>
      </c>
      <c r="H60" s="341" t="s">
        <v>18661</v>
      </c>
      <c r="I60" s="341" t="s">
        <v>18690</v>
      </c>
      <c r="J60" s="341" t="s">
        <v>18658</v>
      </c>
      <c r="K60" s="341" t="s">
        <v>18653</v>
      </c>
      <c r="L60" s="341" t="str">
        <f t="shared" si="2"/>
        <v xml:space="preserve">Opción Múltiple 1R </v>
      </c>
      <c r="M60" s="226" t="s">
        <v>117</v>
      </c>
    </row>
    <row r="61" spans="1:13" outlineLevel="1" x14ac:dyDescent="0.25">
      <c r="A61" s="413" t="str">
        <f t="shared" si="6"/>
        <v>Z_DG_28_</v>
      </c>
      <c r="B61" s="413" t="str">
        <f t="shared" si="7"/>
        <v>DG</v>
      </c>
      <c r="C61" s="413" t="s">
        <v>225</v>
      </c>
      <c r="D61" s="578"/>
      <c r="E61" s="342" t="str">
        <f>IFERROR(IF(D61&lt;&gt;"",D61,HLOOKUP($E$2,$F$2:K61,ROW(D61)-1,0)),F61)</f>
        <v xml:space="preserve">Opción Múltiple +R </v>
      </c>
      <c r="F61" s="342" t="s">
        <v>18665</v>
      </c>
      <c r="G61" s="342" t="s">
        <v>18666</v>
      </c>
      <c r="H61" s="342" t="s">
        <v>18667</v>
      </c>
      <c r="I61" s="342" t="s">
        <v>18668</v>
      </c>
      <c r="J61" s="342" t="s">
        <v>18669</v>
      </c>
      <c r="K61" s="342" t="s">
        <v>18670</v>
      </c>
      <c r="L61" s="342" t="str">
        <f t="shared" si="2"/>
        <v xml:space="preserve">Opción Múltiple +R </v>
      </c>
      <c r="M61" s="226" t="s">
        <v>117</v>
      </c>
    </row>
    <row r="62" spans="1:13" outlineLevel="1" x14ac:dyDescent="0.25">
      <c r="A62" s="412" t="str">
        <f t="shared" si="6"/>
        <v>Z_DG_29_</v>
      </c>
      <c r="B62" s="412" t="str">
        <f t="shared" si="7"/>
        <v>DG</v>
      </c>
      <c r="C62" s="412" t="s">
        <v>226</v>
      </c>
      <c r="D62" s="577"/>
      <c r="E62" s="341" t="str">
        <f>IFERROR(IF(D62&lt;&gt;"",D62,HLOOKUP($E$2,$F$2:K62,ROW(D62)-1,0)),F62)</f>
        <v>Verdadero/Falso</v>
      </c>
      <c r="F62" s="341" t="s">
        <v>18685</v>
      </c>
      <c r="G62" s="341" t="s">
        <v>18684</v>
      </c>
      <c r="H62" s="341" t="s">
        <v>18686</v>
      </c>
      <c r="I62" s="341" t="s">
        <v>18687</v>
      </c>
      <c r="J62" s="341" t="s">
        <v>18688</v>
      </c>
      <c r="K62" s="341" t="s">
        <v>18689</v>
      </c>
      <c r="L62" s="341" t="str">
        <f t="shared" si="2"/>
        <v>Verdadero/Falso</v>
      </c>
      <c r="M62" s="226" t="s">
        <v>117</v>
      </c>
    </row>
    <row r="63" spans="1:13" outlineLevel="1" x14ac:dyDescent="0.25">
      <c r="A63" s="413" t="str">
        <f t="shared" si="6"/>
        <v>Z_DG_30_</v>
      </c>
      <c r="B63" s="413" t="str">
        <f t="shared" si="7"/>
        <v>DG</v>
      </c>
      <c r="C63" s="413" t="s">
        <v>227</v>
      </c>
      <c r="D63" s="578"/>
      <c r="E63" s="342" t="str">
        <f>IFERROR(IF(D63&lt;&gt;"",D63,HLOOKUP($E$2,$F$2:K63,ROW(D63)-1,0)),F63)</f>
        <v>Emparejar</v>
      </c>
      <c r="F63" s="342" t="s">
        <v>10</v>
      </c>
      <c r="G63" s="342" t="s">
        <v>18664</v>
      </c>
      <c r="H63" s="342" t="s">
        <v>18662</v>
      </c>
      <c r="I63" s="342" t="s">
        <v>407</v>
      </c>
      <c r="J63" s="342" t="s">
        <v>18659</v>
      </c>
      <c r="K63" s="342" t="s">
        <v>18657</v>
      </c>
      <c r="L63" s="342" t="str">
        <f t="shared" si="2"/>
        <v>Emparejar</v>
      </c>
      <c r="M63" s="226" t="s">
        <v>117</v>
      </c>
    </row>
    <row r="64" spans="1:13" outlineLevel="1" x14ac:dyDescent="0.25">
      <c r="A64" s="412" t="str">
        <f t="shared" si="6"/>
        <v>Z_DG_31_</v>
      </c>
      <c r="B64" s="412" t="str">
        <f t="shared" si="7"/>
        <v>DG</v>
      </c>
      <c r="C64" s="412" t="s">
        <v>228</v>
      </c>
      <c r="D64" s="577"/>
      <c r="E64" s="341" t="str">
        <f>IFERROR(IF(D64&lt;&gt;"",D64,HLOOKUP($E$2,$F$2:K64,ROW(D64)-1,0)),F64)</f>
        <v>Respuesta Corta</v>
      </c>
      <c r="F64" s="341" t="s">
        <v>13</v>
      </c>
      <c r="G64" s="341" t="s">
        <v>301</v>
      </c>
      <c r="H64" s="341" t="s">
        <v>18299</v>
      </c>
      <c r="I64" s="341" t="s">
        <v>18300</v>
      </c>
      <c r="J64" s="341" t="s">
        <v>18301</v>
      </c>
      <c r="K64" s="341" t="s">
        <v>18654</v>
      </c>
      <c r="L64" s="341" t="str">
        <f t="shared" si="2"/>
        <v>Respuesta Corta</v>
      </c>
      <c r="M64" s="226" t="s">
        <v>117</v>
      </c>
    </row>
    <row r="65" spans="1:13" outlineLevel="1" x14ac:dyDescent="0.25">
      <c r="A65" s="413" t="str">
        <f t="shared" si="6"/>
        <v>Z_DG_32_</v>
      </c>
      <c r="B65" s="413" t="str">
        <f t="shared" si="7"/>
        <v>DG</v>
      </c>
      <c r="C65" s="413" t="s">
        <v>229</v>
      </c>
      <c r="D65" s="578"/>
      <c r="E65" s="342" t="str">
        <f>IFERROR(IF(D65&lt;&gt;"",D65,HLOOKUP($E$2,$F$2:K65,ROW(D65)-1,0)),F65)</f>
        <v>Palabra Perdida</v>
      </c>
      <c r="F65" s="342" t="s">
        <v>17</v>
      </c>
      <c r="G65" s="342" t="s">
        <v>300</v>
      </c>
      <c r="H65" s="342" t="s">
        <v>18663</v>
      </c>
      <c r="I65" s="342" t="s">
        <v>18302</v>
      </c>
      <c r="J65" s="342" t="s">
        <v>18660</v>
      </c>
      <c r="K65" s="342" t="s">
        <v>18656</v>
      </c>
      <c r="L65" s="342" t="str">
        <f t="shared" si="2"/>
        <v>Palabra Perdida</v>
      </c>
      <c r="M65" s="226" t="s">
        <v>117</v>
      </c>
    </row>
    <row r="66" spans="1:13" outlineLevel="1" x14ac:dyDescent="0.25">
      <c r="A66" s="412" t="str">
        <f t="shared" si="6"/>
        <v>Z_DG_33_</v>
      </c>
      <c r="B66" s="412" t="str">
        <f t="shared" si="7"/>
        <v>DG</v>
      </c>
      <c r="C66" s="412" t="s">
        <v>230</v>
      </c>
      <c r="D66" s="577"/>
      <c r="E66" s="341" t="str">
        <f>IFERROR(IF(D66&lt;&gt;"",D66,HLOOKUP($E$2,$F$2:K66,ROW(D66)-1,0)),F66)</f>
        <v>Cloze</v>
      </c>
      <c r="F66" s="341" t="s">
        <v>136</v>
      </c>
      <c r="G66" s="341" t="s">
        <v>136</v>
      </c>
      <c r="H66" s="341" t="s">
        <v>136</v>
      </c>
      <c r="I66" s="341" t="s">
        <v>136</v>
      </c>
      <c r="J66" s="341" t="s">
        <v>136</v>
      </c>
      <c r="K66" s="341" t="s">
        <v>933</v>
      </c>
      <c r="L66" s="341" t="str">
        <f t="shared" si="2"/>
        <v>Cloze</v>
      </c>
      <c r="M66" s="226" t="s">
        <v>117</v>
      </c>
    </row>
    <row r="67" spans="1:13" outlineLevel="1" x14ac:dyDescent="0.25">
      <c r="A67" s="413" t="str">
        <f t="shared" si="6"/>
        <v>Z_DG_33_2_</v>
      </c>
      <c r="B67" s="413" t="str">
        <f t="shared" si="7"/>
        <v>DG</v>
      </c>
      <c r="C67" s="413" t="s">
        <v>1279</v>
      </c>
      <c r="D67" s="578"/>
      <c r="E67" s="342" t="str">
        <f>IFERROR(IF(D67&lt;&gt;"",D67,HLOOKUP($E$2,$F$2:K67,ROW(D67)-1,0)),F67)</f>
        <v>Ensayo</v>
      </c>
      <c r="F67" s="342" t="s">
        <v>1092</v>
      </c>
      <c r="G67" s="342" t="s">
        <v>1093</v>
      </c>
      <c r="H67" s="342" t="s">
        <v>1094</v>
      </c>
      <c r="I67" s="342" t="s">
        <v>1097</v>
      </c>
      <c r="J67" s="342" t="s">
        <v>1095</v>
      </c>
      <c r="K67" s="342" t="s">
        <v>18655</v>
      </c>
      <c r="L67" s="342" t="str">
        <f t="shared" si="2"/>
        <v>Ensayo</v>
      </c>
      <c r="M67" s="226" t="s">
        <v>117</v>
      </c>
    </row>
    <row r="68" spans="1:13" outlineLevel="1" x14ac:dyDescent="0.25">
      <c r="A68" s="412" t="str">
        <f t="shared" si="6"/>
        <v>Z_DG_34_</v>
      </c>
      <c r="B68" s="412" t="str">
        <f>B66</f>
        <v>DG</v>
      </c>
      <c r="C68" s="412" t="s">
        <v>231</v>
      </c>
      <c r="D68" s="577"/>
      <c r="E68" s="341" t="str">
        <f>IFERROR(IF(D68&lt;&gt;"",D68,HLOOKUP($E$2,$F$2:K68,ROW(D68)-1,0)),F68)</f>
        <v>Las respuestas se barajarán.</v>
      </c>
      <c r="F68" s="341" t="s">
        <v>240</v>
      </c>
      <c r="G68" s="341" t="s">
        <v>308</v>
      </c>
      <c r="H68" s="341" t="s">
        <v>332</v>
      </c>
      <c r="I68" s="341" t="s">
        <v>408</v>
      </c>
      <c r="J68" s="341" t="s">
        <v>367</v>
      </c>
      <c r="K68" s="341" t="s">
        <v>934</v>
      </c>
      <c r="L68" s="341" t="str">
        <f t="shared" ref="L68:L131" si="8">E68</f>
        <v>Las respuestas se barajarán.</v>
      </c>
      <c r="M68" s="226" t="s">
        <v>117</v>
      </c>
    </row>
    <row r="69" spans="1:13" outlineLevel="1" x14ac:dyDescent="0.25">
      <c r="A69" s="413" t="str">
        <f t="shared" si="6"/>
        <v>Z_DG_35_</v>
      </c>
      <c r="B69" s="413" t="str">
        <f>B68</f>
        <v>DG</v>
      </c>
      <c r="C69" s="413" t="s">
        <v>232</v>
      </c>
      <c r="D69" s="578"/>
      <c r="E69" s="342" t="str">
        <f>IFERROR(IF(D69&lt;&gt;"",D69,HLOOKUP($E$2,$F$2:K69,ROW(D69)-1,0)),F69)</f>
        <v>Las respuestas NO se barajarán.</v>
      </c>
      <c r="F69" s="342" t="s">
        <v>241</v>
      </c>
      <c r="G69" s="342" t="s">
        <v>309</v>
      </c>
      <c r="H69" s="342" t="s">
        <v>333</v>
      </c>
      <c r="I69" s="342" t="s">
        <v>409</v>
      </c>
      <c r="J69" s="342" t="s">
        <v>368</v>
      </c>
      <c r="K69" s="342" t="s">
        <v>935</v>
      </c>
      <c r="L69" s="342" t="str">
        <f t="shared" si="8"/>
        <v>Las respuestas NO se barajarán.</v>
      </c>
      <c r="M69" s="226" t="s">
        <v>117</v>
      </c>
    </row>
    <row r="70" spans="1:13" outlineLevel="1" x14ac:dyDescent="0.25">
      <c r="A70" s="412" t="str">
        <f t="shared" si="6"/>
        <v>Z_DG_36_</v>
      </c>
      <c r="B70" s="412" t="str">
        <f>B69</f>
        <v>DG</v>
      </c>
      <c r="C70" s="412" t="s">
        <v>233</v>
      </c>
      <c r="D70" s="577"/>
      <c r="E70" s="341" t="str">
        <f>IFERROR(IF(D70&lt;&gt;"",D70,HLOOKUP($E$2,$F$2:K70,ROW(D70)-1,0)),F70)</f>
        <v>(una respuesta)</v>
      </c>
      <c r="F70" s="341" t="s">
        <v>103</v>
      </c>
      <c r="G70" s="341" t="s">
        <v>1357</v>
      </c>
      <c r="H70" s="341" t="s">
        <v>334</v>
      </c>
      <c r="I70" s="341" t="s">
        <v>410</v>
      </c>
      <c r="J70" s="341" t="s">
        <v>369</v>
      </c>
      <c r="K70" s="341" t="s">
        <v>936</v>
      </c>
      <c r="L70" s="341" t="str">
        <f t="shared" si="8"/>
        <v>(una respuesta)</v>
      </c>
      <c r="M70" s="226" t="s">
        <v>117</v>
      </c>
    </row>
    <row r="71" spans="1:13" outlineLevel="1" x14ac:dyDescent="0.25">
      <c r="A71" s="413" t="str">
        <f t="shared" ref="A71:A77" si="9">$A$1&amp;B71&amp;"_"&amp;C71&amp;"_"&amp;$A$2</f>
        <v>Z_DG_37_</v>
      </c>
      <c r="B71" s="413" t="str">
        <f>B70</f>
        <v>DG</v>
      </c>
      <c r="C71" s="413" t="s">
        <v>234</v>
      </c>
      <c r="D71" s="578"/>
      <c r="E71" s="342" t="str">
        <f>IFERROR(IF(D71&lt;&gt;"",D71,HLOOKUP($E$2,$F$2:K71,ROW(D71)-1,0)),F71)</f>
        <v>(varias respuestas)</v>
      </c>
      <c r="F71" s="342" t="s">
        <v>104</v>
      </c>
      <c r="G71" s="342" t="s">
        <v>310</v>
      </c>
      <c r="H71" s="342" t="s">
        <v>335</v>
      </c>
      <c r="I71" s="342" t="s">
        <v>411</v>
      </c>
      <c r="J71" s="342" t="s">
        <v>370</v>
      </c>
      <c r="K71" s="342" t="s">
        <v>937</v>
      </c>
      <c r="L71" s="342" t="str">
        <f t="shared" si="8"/>
        <v>(varias respuestas)</v>
      </c>
      <c r="M71" s="226" t="s">
        <v>117</v>
      </c>
    </row>
    <row r="72" spans="1:13" outlineLevel="1" x14ac:dyDescent="0.25">
      <c r="A72" s="412" t="str">
        <f t="shared" si="9"/>
        <v>Z_DG_38_</v>
      </c>
      <c r="B72" s="412" t="str">
        <f>B71</f>
        <v>DG</v>
      </c>
      <c r="C72" s="412" t="s">
        <v>235</v>
      </c>
      <c r="D72" s="577"/>
      <c r="E72" s="341" t="str">
        <f>IFERROR(IF(D72&lt;&gt;"",D72,HLOOKUP($E$2,$F$2:K72,ROW(D72)-1,0)),F72)</f>
        <v>Pincha aquí si quieres poner el rango completo de preguntas.</v>
      </c>
      <c r="F72" s="341" t="s">
        <v>459</v>
      </c>
      <c r="G72" s="341" t="s">
        <v>457</v>
      </c>
      <c r="H72" s="341" t="s">
        <v>455</v>
      </c>
      <c r="I72" s="341" t="s">
        <v>18303</v>
      </c>
      <c r="J72" s="341" t="s">
        <v>18304</v>
      </c>
      <c r="K72" s="341" t="s">
        <v>938</v>
      </c>
      <c r="L72" s="341" t="str">
        <f t="shared" si="8"/>
        <v>Pincha aquí si quieres poner el rango completo de preguntas.</v>
      </c>
      <c r="M72" s="226" t="s">
        <v>117</v>
      </c>
    </row>
    <row r="73" spans="1:13" outlineLevel="1" x14ac:dyDescent="0.25">
      <c r="A73" s="413" t="str">
        <f t="shared" si="9"/>
        <v>Z_DG_39_</v>
      </c>
      <c r="B73" s="413" t="str">
        <f>B72</f>
        <v>DG</v>
      </c>
      <c r="C73" s="413" t="s">
        <v>454</v>
      </c>
      <c r="D73" s="574"/>
      <c r="E73" s="342" t="str">
        <f>IFERROR(IF(D73&lt;&gt;"",D73,HLOOKUP($E$2,$F$2:K73,ROW(D73)-1,0)),F73)</f>
        <v>El rango de preguntas a exportar es diferente al rango de preguntas almacenadas.</v>
      </c>
      <c r="F73" s="342" t="s">
        <v>460</v>
      </c>
      <c r="G73" s="342" t="s">
        <v>458</v>
      </c>
      <c r="H73" s="342" t="s">
        <v>456</v>
      </c>
      <c r="I73" s="342" t="s">
        <v>18305</v>
      </c>
      <c r="J73" s="342" t="s">
        <v>18306</v>
      </c>
      <c r="K73" s="342" t="s">
        <v>939</v>
      </c>
      <c r="L73" s="342" t="str">
        <f t="shared" si="8"/>
        <v>El rango de preguntas a exportar es diferente al rango de preguntas almacenadas.</v>
      </c>
      <c r="M73" s="226" t="s">
        <v>117</v>
      </c>
    </row>
    <row r="74" spans="1:13" outlineLevel="1" x14ac:dyDescent="0.25">
      <c r="A74" s="412" t="str">
        <f t="shared" si="9"/>
        <v>Z_DG_40_</v>
      </c>
      <c r="B74" s="412" t="str">
        <f>B70</f>
        <v>DG</v>
      </c>
      <c r="C74" s="412">
        <v>40</v>
      </c>
      <c r="D74" s="577"/>
      <c r="E74" s="341" t="str">
        <f>IFERROR(IF(D74&lt;&gt;"",D74,HLOOKUP($E$2,$F$2:K74,ROW(D74)-1,0)),F74)</f>
        <v>INFORMACIÓN Códigos CLOZE</v>
      </c>
      <c r="F74" s="341" t="s">
        <v>1243</v>
      </c>
      <c r="G74" s="341" t="s">
        <v>1358</v>
      </c>
      <c r="H74" s="341" t="s">
        <v>1246</v>
      </c>
      <c r="I74" s="341" t="s">
        <v>1247</v>
      </c>
      <c r="J74" s="341" t="s">
        <v>1245</v>
      </c>
      <c r="K74" s="341" t="s">
        <v>1244</v>
      </c>
      <c r="L74" s="341" t="str">
        <f t="shared" si="8"/>
        <v>INFORMACIÓN Códigos CLOZE</v>
      </c>
      <c r="M74" s="226" t="s">
        <v>117</v>
      </c>
    </row>
    <row r="75" spans="1:13" outlineLevel="1" x14ac:dyDescent="0.25">
      <c r="A75" s="413" t="str">
        <f t="shared" si="9"/>
        <v>Z_DG_41_</v>
      </c>
      <c r="B75" s="413" t="str">
        <f>B71</f>
        <v>DG</v>
      </c>
      <c r="C75" s="413">
        <v>41</v>
      </c>
      <c r="D75" s="578"/>
      <c r="E75" s="342" t="str">
        <f>IFERROR(IF(D75&lt;&gt;"",D75,HLOOKUP($E$2,$F$2:K75,ROW(D75)-1,0)),F75)</f>
        <v>OPCIÓN MÚLTIPLE</v>
      </c>
      <c r="F75" s="342" t="s">
        <v>1214</v>
      </c>
      <c r="G75" s="342" t="s">
        <v>1251</v>
      </c>
      <c r="H75" s="342" t="s">
        <v>1254</v>
      </c>
      <c r="I75" s="342" t="s">
        <v>1248</v>
      </c>
      <c r="J75" s="342" t="s">
        <v>1257</v>
      </c>
      <c r="K75" s="342" t="s">
        <v>1260</v>
      </c>
      <c r="L75" s="342" t="str">
        <f t="shared" si="8"/>
        <v>OPCIÓN MÚLTIPLE</v>
      </c>
      <c r="M75" s="226" t="s">
        <v>117</v>
      </c>
    </row>
    <row r="76" spans="1:13" outlineLevel="1" x14ac:dyDescent="0.25">
      <c r="A76" s="412" t="str">
        <f t="shared" si="9"/>
        <v>Z_DG_42_</v>
      </c>
      <c r="B76" s="412" t="str">
        <f>B72</f>
        <v>DG</v>
      </c>
      <c r="C76" s="412">
        <v>42</v>
      </c>
      <c r="D76" s="577"/>
      <c r="E76" s="341" t="str">
        <f>IFERROR(IF(D76&lt;&gt;"",D76,HLOOKUP($E$2,$F$2:K76,ROW(D76)-1,0)),F76)</f>
        <v>RESPUESTA CORTA</v>
      </c>
      <c r="F76" s="341" t="s">
        <v>1215</v>
      </c>
      <c r="G76" s="341" t="s">
        <v>1252</v>
      </c>
      <c r="H76" s="341" t="s">
        <v>1255</v>
      </c>
      <c r="I76" s="341" t="s">
        <v>1249</v>
      </c>
      <c r="J76" s="341" t="s">
        <v>1258</v>
      </c>
      <c r="K76" s="341" t="s">
        <v>1261</v>
      </c>
      <c r="L76" s="341" t="str">
        <f t="shared" si="8"/>
        <v>RESPUESTA CORTA</v>
      </c>
      <c r="M76" s="226" t="s">
        <v>117</v>
      </c>
    </row>
    <row r="77" spans="1:13" outlineLevel="1" x14ac:dyDescent="0.25">
      <c r="A77" s="413" t="str">
        <f t="shared" si="9"/>
        <v>Z_DG_43_</v>
      </c>
      <c r="B77" s="413" t="str">
        <f>B73</f>
        <v>DG</v>
      </c>
      <c r="C77" s="413">
        <v>43</v>
      </c>
      <c r="D77" s="578"/>
      <c r="E77" s="342" t="str">
        <f>IFERROR(IF(D77&lt;&gt;"",D77,HLOOKUP($E$2,$F$2:K77,ROW(D77)-1,0)),F77)</f>
        <v>NUMÉRICA</v>
      </c>
      <c r="F77" s="342" t="s">
        <v>1216</v>
      </c>
      <c r="G77" s="342" t="s">
        <v>1253</v>
      </c>
      <c r="H77" s="342" t="s">
        <v>1256</v>
      </c>
      <c r="I77" s="342" t="s">
        <v>1250</v>
      </c>
      <c r="J77" s="342" t="s">
        <v>1259</v>
      </c>
      <c r="K77" s="342" t="s">
        <v>1262</v>
      </c>
      <c r="L77" s="342" t="str">
        <f t="shared" si="8"/>
        <v>NUMÉRICA</v>
      </c>
      <c r="M77" s="226" t="s">
        <v>117</v>
      </c>
    </row>
    <row r="78" spans="1:13" x14ac:dyDescent="0.25">
      <c r="A78" s="411" t="str">
        <f t="shared" ref="A78:A84" si="10">$A$1&amp;B78&amp;"_"&amp;C78&amp;"_"&amp;$A$2</f>
        <v>Z_MS_00_</v>
      </c>
      <c r="B78" s="411" t="s">
        <v>158</v>
      </c>
      <c r="C78" s="411" t="s">
        <v>197</v>
      </c>
      <c r="D78" s="576"/>
      <c r="E78" s="340" t="str">
        <f>IFERROR(IF(D78&lt;&gt;"",D78,HLOOKUP($E$2,$F$2:K78,ROW(D78)-1,0)),F78)</f>
        <v>MENÚ SUPERIOR</v>
      </c>
      <c r="F78" s="340" t="s">
        <v>159</v>
      </c>
      <c r="G78" s="340" t="s">
        <v>1472</v>
      </c>
      <c r="H78" s="340" t="s">
        <v>312</v>
      </c>
      <c r="I78" s="340" t="s">
        <v>384</v>
      </c>
      <c r="J78" s="340" t="s">
        <v>342</v>
      </c>
      <c r="K78" s="340" t="s">
        <v>902</v>
      </c>
      <c r="L78" s="340" t="str">
        <f t="shared" si="8"/>
        <v>MENÚ SUPERIOR</v>
      </c>
      <c r="M78" s="226" t="s">
        <v>117</v>
      </c>
    </row>
    <row r="79" spans="1:13" outlineLevel="1" x14ac:dyDescent="0.25">
      <c r="A79" s="412" t="str">
        <f t="shared" si="10"/>
        <v>Z_MS_01_</v>
      </c>
      <c r="B79" s="412" t="str">
        <f t="shared" ref="B79:B84" si="11">B78</f>
        <v>MS</v>
      </c>
      <c r="C79" s="412" t="s">
        <v>198</v>
      </c>
      <c r="D79" s="591"/>
      <c r="E79" s="341" t="str">
        <f>IFERROR(IF(D79&lt;&gt;"",D79,HLOOKUP($E$2,$F$2:K79,ROW(D79)-1,0)),F79)</f>
        <v>DATOS 
GENERALES</v>
      </c>
      <c r="F79" s="341" t="s">
        <v>466</v>
      </c>
      <c r="G79" s="341" t="s">
        <v>1340</v>
      </c>
      <c r="H79" s="341" t="s">
        <v>473</v>
      </c>
      <c r="I79" s="341" t="s">
        <v>476</v>
      </c>
      <c r="J79" s="341" t="s">
        <v>481</v>
      </c>
      <c r="K79" s="341" t="s">
        <v>903</v>
      </c>
      <c r="L79" s="341" t="str">
        <f t="shared" si="8"/>
        <v>DATOS 
GENERALES</v>
      </c>
      <c r="M79" s="226" t="s">
        <v>117</v>
      </c>
    </row>
    <row r="80" spans="1:13" outlineLevel="1" x14ac:dyDescent="0.25">
      <c r="A80" s="413" t="str">
        <f t="shared" si="10"/>
        <v>Z_MS_02_</v>
      </c>
      <c r="B80" s="413" t="str">
        <f t="shared" si="11"/>
        <v>MS</v>
      </c>
      <c r="C80" s="413" t="s">
        <v>199</v>
      </c>
      <c r="D80" s="592"/>
      <c r="E80" s="342" t="str">
        <f>IFERROR(IF(D80&lt;&gt;"",D80,HLOOKUP($E$2,$F$2:K80,ROW(D80)-1,0)),F80)</f>
        <v>BANCO 
PREGUNTAS</v>
      </c>
      <c r="F80" s="342" t="s">
        <v>467</v>
      </c>
      <c r="G80" s="342" t="s">
        <v>1341</v>
      </c>
      <c r="H80" s="342" t="s">
        <v>1345</v>
      </c>
      <c r="I80" s="342" t="s">
        <v>477</v>
      </c>
      <c r="J80" s="342" t="s">
        <v>482</v>
      </c>
      <c r="K80" s="342" t="s">
        <v>904</v>
      </c>
      <c r="L80" s="342" t="str">
        <f t="shared" si="8"/>
        <v>BANCO 
PREGUNTAS</v>
      </c>
      <c r="M80" s="226" t="s">
        <v>117</v>
      </c>
    </row>
    <row r="81" spans="1:13" outlineLevel="1" x14ac:dyDescent="0.25">
      <c r="A81" s="412" t="str">
        <f t="shared" si="10"/>
        <v>Z_MS_03_</v>
      </c>
      <c r="B81" s="412" t="str">
        <f t="shared" si="11"/>
        <v>MS</v>
      </c>
      <c r="C81" s="412" t="s">
        <v>200</v>
      </c>
      <c r="D81" s="591"/>
      <c r="E81" s="341" t="str">
        <f>IFERROR(IF(D81&lt;&gt;"",D81,HLOOKUP($E$2,$F$2:K81,ROW(D81)-1,0)),F81)</f>
        <v>LIMPIAR 
DATOS</v>
      </c>
      <c r="F81" s="341" t="s">
        <v>468</v>
      </c>
      <c r="G81" s="341" t="s">
        <v>472</v>
      </c>
      <c r="H81" s="341" t="s">
        <v>1346</v>
      </c>
      <c r="I81" s="341" t="s">
        <v>478</v>
      </c>
      <c r="J81" s="341" t="s">
        <v>483</v>
      </c>
      <c r="K81" s="341" t="s">
        <v>905</v>
      </c>
      <c r="L81" s="341" t="str">
        <f t="shared" si="8"/>
        <v>LIMPIAR 
DATOS</v>
      </c>
      <c r="M81" s="226" t="s">
        <v>117</v>
      </c>
    </row>
    <row r="82" spans="1:13" outlineLevel="1" x14ac:dyDescent="0.25">
      <c r="A82" s="413" t="str">
        <f t="shared" si="10"/>
        <v>Z_MS_04_</v>
      </c>
      <c r="B82" s="413" t="str">
        <f t="shared" si="11"/>
        <v>MS</v>
      </c>
      <c r="C82" s="413" t="s">
        <v>201</v>
      </c>
      <c r="D82" s="592"/>
      <c r="E82" s="342" t="str">
        <f>IFERROR(IF(D82&lt;&gt;"",D82,HLOOKUP($E$2,$F$2:K82,ROW(D82)-1,0)),F82)</f>
        <v>GUARDAR 
PREGUNTAS</v>
      </c>
      <c r="F82" s="342" t="s">
        <v>469</v>
      </c>
      <c r="G82" s="342" t="s">
        <v>1342</v>
      </c>
      <c r="H82" s="342" t="s">
        <v>474</v>
      </c>
      <c r="I82" s="342" t="s">
        <v>479</v>
      </c>
      <c r="J82" s="342" t="s">
        <v>484</v>
      </c>
      <c r="K82" s="342" t="s">
        <v>906</v>
      </c>
      <c r="L82" s="342" t="str">
        <f t="shared" si="8"/>
        <v>GUARDAR 
PREGUNTAS</v>
      </c>
      <c r="M82" s="226" t="s">
        <v>117</v>
      </c>
    </row>
    <row r="83" spans="1:13" outlineLevel="1" x14ac:dyDescent="0.25">
      <c r="A83" s="412" t="str">
        <f t="shared" si="10"/>
        <v>Z_MS_05_</v>
      </c>
      <c r="B83" s="412" t="str">
        <f t="shared" si="11"/>
        <v>MS</v>
      </c>
      <c r="C83" s="412" t="s">
        <v>202</v>
      </c>
      <c r="D83" s="591"/>
      <c r="E83" s="341" t="str">
        <f>IFERROR(IF(D83&lt;&gt;"",D83,HLOOKUP($E$2,$F$2:K83,ROW(D83)-1,0)),F83)</f>
        <v>BORRAR 
PREGUNTAS</v>
      </c>
      <c r="F83" s="341" t="s">
        <v>470</v>
      </c>
      <c r="G83" s="341" t="s">
        <v>1343</v>
      </c>
      <c r="H83" s="341" t="s">
        <v>475</v>
      </c>
      <c r="I83" s="341" t="s">
        <v>480</v>
      </c>
      <c r="J83" s="341" t="s">
        <v>485</v>
      </c>
      <c r="K83" s="341" t="s">
        <v>907</v>
      </c>
      <c r="L83" s="341" t="str">
        <f t="shared" si="8"/>
        <v>BORRAR 
PREGUNTAS</v>
      </c>
      <c r="M83" s="226" t="s">
        <v>117</v>
      </c>
    </row>
    <row r="84" spans="1:13" outlineLevel="1" x14ac:dyDescent="0.25">
      <c r="A84" s="413" t="str">
        <f t="shared" si="10"/>
        <v>Z_MS_06_</v>
      </c>
      <c r="B84" s="413" t="str">
        <f t="shared" si="11"/>
        <v>MS</v>
      </c>
      <c r="C84" s="413" t="s">
        <v>203</v>
      </c>
      <c r="D84" s="578"/>
      <c r="E84" s="342" t="str">
        <f>IFERROR(IF(D84&lt;&gt;"",D84,HLOOKUP($E$2,$F$2:K84,ROW(D84)-1,0)),F84)</f>
        <v>DAR 
FORMATO</v>
      </c>
      <c r="F84" s="342" t="s">
        <v>471</v>
      </c>
      <c r="G84" s="342" t="s">
        <v>1344</v>
      </c>
      <c r="H84" s="342" t="s">
        <v>1347</v>
      </c>
      <c r="I84" s="342" t="s">
        <v>471</v>
      </c>
      <c r="J84" s="342" t="s">
        <v>486</v>
      </c>
      <c r="K84" s="342" t="s">
        <v>908</v>
      </c>
      <c r="L84" s="342" t="str">
        <f t="shared" si="8"/>
        <v>DAR 
FORMATO</v>
      </c>
      <c r="M84" s="226" t="s">
        <v>117</v>
      </c>
    </row>
    <row r="85" spans="1:13" outlineLevel="1" x14ac:dyDescent="0.25">
      <c r="A85" s="412" t="str">
        <f>$A$1&amp;B85&amp;"_"&amp;C85&amp;"_"&amp;$A$2</f>
        <v>Z_MS_07_</v>
      </c>
      <c r="B85" s="412" t="str">
        <f>B82</f>
        <v>MS</v>
      </c>
      <c r="C85" s="412" t="s">
        <v>204</v>
      </c>
      <c r="D85" s="577"/>
      <c r="E85" s="341" t="str">
        <f>IFERROR(IF(D85&lt;&gt;"",D85,HLOOKUP($E$2,$F$2:K85,ROW(D85)-1,0)),F85)</f>
        <v>BORRAR VARIABLES</v>
      </c>
      <c r="F85" s="341" t="s">
        <v>1303</v>
      </c>
      <c r="G85" s="341" t="s">
        <v>1307</v>
      </c>
      <c r="H85" s="341" t="s">
        <v>1308</v>
      </c>
      <c r="I85" s="341" t="s">
        <v>1306</v>
      </c>
      <c r="J85" s="341" t="s">
        <v>1305</v>
      </c>
      <c r="K85" s="341" t="s">
        <v>1304</v>
      </c>
      <c r="L85" s="341" t="str">
        <f t="shared" si="8"/>
        <v>BORRAR VARIABLES</v>
      </c>
      <c r="M85" s="226" t="s">
        <v>117</v>
      </c>
    </row>
    <row r="86" spans="1:13" outlineLevel="1" x14ac:dyDescent="0.25">
      <c r="A86" s="413" t="str">
        <f>$A$1&amp;B86&amp;"_"&amp;C86&amp;"_"&amp;$A$2</f>
        <v>Z_MS_08_</v>
      </c>
      <c r="B86" s="413" t="str">
        <f>B83</f>
        <v>MS</v>
      </c>
      <c r="C86" s="413" t="s">
        <v>205</v>
      </c>
      <c r="D86" s="578"/>
      <c r="E86" s="342" t="str">
        <f>IFERROR(IF(D86&lt;&gt;"",D86,HLOOKUP($E$2,$F$2:K86,ROW(D86)-1,0)),F86)</f>
        <v>DATOS GENERALES</v>
      </c>
      <c r="F86" s="342" t="s">
        <v>127</v>
      </c>
      <c r="G86" s="342" t="s">
        <v>132</v>
      </c>
      <c r="H86" s="342" t="s">
        <v>313</v>
      </c>
      <c r="I86" s="342" t="s">
        <v>146</v>
      </c>
      <c r="J86" s="342" t="s">
        <v>343</v>
      </c>
      <c r="K86" s="342" t="s">
        <v>1512</v>
      </c>
      <c r="L86" s="342" t="str">
        <f t="shared" si="8"/>
        <v>DATOS GENERALES</v>
      </c>
      <c r="M86" s="226" t="s">
        <v>117</v>
      </c>
    </row>
    <row r="87" spans="1:13" outlineLevel="1" x14ac:dyDescent="0.25">
      <c r="A87" s="412" t="str">
        <f>$A$1&amp;B87&amp;"_"&amp;C87&amp;"_"&amp;$A$2</f>
        <v>Z_MS_09_</v>
      </c>
      <c r="B87" s="412" t="str">
        <f>B86</f>
        <v>MS</v>
      </c>
      <c r="C87" s="412" t="s">
        <v>206</v>
      </c>
      <c r="D87" s="577"/>
      <c r="E87" s="341" t="str">
        <f>IFERROR(IF(D87&lt;&gt;"",D87,HLOOKUP($E$2,$F$2:K87,ROW(D87)-1,0)),F87)</f>
        <v>DAR FORMATO</v>
      </c>
      <c r="F87" s="341" t="s">
        <v>1513</v>
      </c>
      <c r="G87" s="341" t="s">
        <v>1344</v>
      </c>
      <c r="H87" s="341" t="s">
        <v>1514</v>
      </c>
      <c r="I87" s="341" t="s">
        <v>1513</v>
      </c>
      <c r="J87" s="341" t="s">
        <v>1515</v>
      </c>
      <c r="K87" s="341" t="s">
        <v>1516</v>
      </c>
      <c r="L87" s="341" t="str">
        <f t="shared" si="8"/>
        <v>DAR FORMATO</v>
      </c>
      <c r="M87" s="226" t="s">
        <v>117</v>
      </c>
    </row>
    <row r="88" spans="1:13" x14ac:dyDescent="0.25">
      <c r="A88" s="411" t="str">
        <f t="shared" ref="A88:A112" si="12">$A$1&amp;B88&amp;"_"&amp;C88&amp;"_"&amp;$A$2</f>
        <v>Z_OM_00_</v>
      </c>
      <c r="B88" s="411" t="s">
        <v>6</v>
      </c>
      <c r="C88" s="411" t="s">
        <v>197</v>
      </c>
      <c r="D88" s="576"/>
      <c r="E88" s="340" t="str">
        <f>IFERROR(IF(D88&lt;&gt;"",D88,HLOOKUP($E$2,$F$2:K88,ROW(D88)-1,0)),F88)</f>
        <v>FORMULARIO OPCIÓN MÚLTIPLE 1R/+R</v>
      </c>
      <c r="F88" s="340" t="s">
        <v>18671</v>
      </c>
      <c r="G88" s="340" t="s">
        <v>18650</v>
      </c>
      <c r="H88" s="340" t="s">
        <v>18672</v>
      </c>
      <c r="I88" s="340" t="s">
        <v>18673</v>
      </c>
      <c r="J88" s="340" t="s">
        <v>18674</v>
      </c>
      <c r="K88" s="340" t="s">
        <v>18675</v>
      </c>
      <c r="L88" s="340" t="str">
        <f t="shared" si="8"/>
        <v>FORMULARIO OPCIÓN MÚLTIPLE 1R/+R</v>
      </c>
      <c r="M88" s="226" t="s">
        <v>117</v>
      </c>
    </row>
    <row r="89" spans="1:13" outlineLevel="1" x14ac:dyDescent="0.25">
      <c r="A89" s="412" t="str">
        <f t="shared" si="12"/>
        <v>Z_OM_01_</v>
      </c>
      <c r="B89" s="412" t="str">
        <f>B88</f>
        <v>OM</v>
      </c>
      <c r="C89" s="412" t="s">
        <v>198</v>
      </c>
      <c r="D89" s="577"/>
      <c r="E89" s="341" t="str">
        <f>IFERROR(IF(D89&lt;&gt;"",D89,HLOOKUP($E$2,$F$2:K89,ROW(D89)-1,0)),F89)</f>
        <v>Nº Inicial del Banco de Preguntas</v>
      </c>
      <c r="F89" s="341" t="s">
        <v>291</v>
      </c>
      <c r="G89" s="341" t="s">
        <v>1359</v>
      </c>
      <c r="H89" s="341" t="s">
        <v>557</v>
      </c>
      <c r="I89" s="341" t="s">
        <v>558</v>
      </c>
      <c r="J89" s="341" t="s">
        <v>559</v>
      </c>
      <c r="K89" s="341" t="s">
        <v>940</v>
      </c>
      <c r="L89" s="341" t="str">
        <f t="shared" si="8"/>
        <v>Nº Inicial del Banco de Preguntas</v>
      </c>
      <c r="M89" s="226" t="s">
        <v>117</v>
      </c>
    </row>
    <row r="90" spans="1:13" outlineLevel="1" x14ac:dyDescent="0.25">
      <c r="A90" s="413" t="str">
        <f t="shared" si="12"/>
        <v>Z_OM_02_</v>
      </c>
      <c r="B90" s="413" t="str">
        <f t="shared" ref="B90:B101" si="13">B89</f>
        <v>OM</v>
      </c>
      <c r="C90" s="413" t="s">
        <v>199</v>
      </c>
      <c r="D90" s="578"/>
      <c r="E90" s="342" t="str">
        <f>IFERROR(IF(D90&lt;&gt;"",D90,HLOOKUP($E$2,$F$2:K90,ROW(D90)-1,0)),F90)</f>
        <v>Pregunta Nº</v>
      </c>
      <c r="F90" s="342" t="s">
        <v>551</v>
      </c>
      <c r="G90" s="342" t="s">
        <v>336</v>
      </c>
      <c r="H90" s="342" t="s">
        <v>336</v>
      </c>
      <c r="I90" s="342" t="s">
        <v>560</v>
      </c>
      <c r="J90" s="342" t="s">
        <v>561</v>
      </c>
      <c r="K90" s="342" t="s">
        <v>941</v>
      </c>
      <c r="L90" s="342" t="str">
        <f t="shared" si="8"/>
        <v>Pregunta Nº</v>
      </c>
      <c r="M90" s="226" t="s">
        <v>117</v>
      </c>
    </row>
    <row r="91" spans="1:13" outlineLevel="1" x14ac:dyDescent="0.25">
      <c r="A91" s="412" t="str">
        <f t="shared" si="12"/>
        <v>Z_OM_03_</v>
      </c>
      <c r="B91" s="412" t="str">
        <f t="shared" si="13"/>
        <v>OM</v>
      </c>
      <c r="C91" s="412" t="s">
        <v>200</v>
      </c>
      <c r="D91" s="577"/>
      <c r="E91" s="341" t="str">
        <f>IFERROR(IF(D91&lt;&gt;"",D91,HLOOKUP($E$2,$F$2:K91,ROW(D91)-1,0)),F91)</f>
        <v>Num. elecc.</v>
      </c>
      <c r="F91" s="341" t="s">
        <v>1360</v>
      </c>
      <c r="G91" s="341" t="s">
        <v>1361</v>
      </c>
      <c r="H91" s="341" t="s">
        <v>1362</v>
      </c>
      <c r="I91" s="341" t="s">
        <v>412</v>
      </c>
      <c r="J91" s="341" t="s">
        <v>371</v>
      </c>
      <c r="K91" s="341" t="s">
        <v>942</v>
      </c>
      <c r="L91" s="341" t="str">
        <f t="shared" si="8"/>
        <v>Num. elecc.</v>
      </c>
      <c r="M91" s="226" t="s">
        <v>117</v>
      </c>
    </row>
    <row r="92" spans="1:13" outlineLevel="1" x14ac:dyDescent="0.25">
      <c r="A92" s="413" t="str">
        <f t="shared" si="12"/>
        <v>Z_OM_04_</v>
      </c>
      <c r="B92" s="413" t="str">
        <f t="shared" si="13"/>
        <v>OM</v>
      </c>
      <c r="C92" s="413" t="s">
        <v>201</v>
      </c>
      <c r="D92" s="578"/>
      <c r="E92" s="342" t="str">
        <f>IFERROR(IF(D92&lt;&gt;"",D92,HLOOKUP($E$2,$F$2:K92,ROW(D92)-1,0)),F92)</f>
        <v>Nombre de la pregunta</v>
      </c>
      <c r="F92" s="342" t="s">
        <v>28</v>
      </c>
      <c r="G92" s="342" t="s">
        <v>137</v>
      </c>
      <c r="H92" s="342" t="s">
        <v>337</v>
      </c>
      <c r="I92" s="342" t="s">
        <v>554</v>
      </c>
      <c r="J92" s="342" t="s">
        <v>372</v>
      </c>
      <c r="K92" s="342" t="s">
        <v>943</v>
      </c>
      <c r="L92" s="342" t="str">
        <f t="shared" si="8"/>
        <v>Nombre de la pregunta</v>
      </c>
      <c r="M92" s="226" t="s">
        <v>117</v>
      </c>
    </row>
    <row r="93" spans="1:13" outlineLevel="1" x14ac:dyDescent="0.25">
      <c r="A93" s="412" t="str">
        <f t="shared" si="12"/>
        <v>Z_OM_05_</v>
      </c>
      <c r="B93" s="412" t="str">
        <f t="shared" si="13"/>
        <v>OM</v>
      </c>
      <c r="C93" s="412" t="s">
        <v>202</v>
      </c>
      <c r="D93" s="577"/>
      <c r="E93" s="341" t="str">
        <f>IFERROR(IF(D93&lt;&gt;"",D93,HLOOKUP($E$2,$F$2:K93,ROW(D93)-1,0)),F93)</f>
        <v>Descripción</v>
      </c>
      <c r="F93" s="341" t="s">
        <v>283</v>
      </c>
      <c r="G93" s="341" t="s">
        <v>133</v>
      </c>
      <c r="H93" s="341" t="s">
        <v>133</v>
      </c>
      <c r="I93" s="341" t="s">
        <v>398</v>
      </c>
      <c r="J93" s="341" t="s">
        <v>358</v>
      </c>
      <c r="K93" s="341" t="s">
        <v>923</v>
      </c>
      <c r="L93" s="341" t="str">
        <f t="shared" si="8"/>
        <v>Descripción</v>
      </c>
      <c r="M93" s="226" t="s">
        <v>117</v>
      </c>
    </row>
    <row r="94" spans="1:13" outlineLevel="1" x14ac:dyDescent="0.25">
      <c r="A94" s="413" t="str">
        <f t="shared" si="12"/>
        <v>Z_OM_06_</v>
      </c>
      <c r="B94" s="413" t="str">
        <f t="shared" si="13"/>
        <v>OM</v>
      </c>
      <c r="C94" s="413" t="s">
        <v>203</v>
      </c>
      <c r="D94" s="578"/>
      <c r="E94" s="342" t="str">
        <f>IFERROR(IF(D94&lt;&gt;"",D94,HLOOKUP($E$2,$F$2:K94,ROW(D94)-1,0)),F94)</f>
        <v>R. Incorrectas</v>
      </c>
      <c r="F94" s="342" t="s">
        <v>292</v>
      </c>
      <c r="G94" s="342" t="s">
        <v>1363</v>
      </c>
      <c r="H94" s="342" t="s">
        <v>1364</v>
      </c>
      <c r="I94" s="342" t="s">
        <v>413</v>
      </c>
      <c r="J94" s="342" t="s">
        <v>373</v>
      </c>
      <c r="K94" s="342" t="s">
        <v>944</v>
      </c>
      <c r="L94" s="342" t="str">
        <f t="shared" si="8"/>
        <v>R. Incorrectas</v>
      </c>
      <c r="M94" s="226" t="s">
        <v>117</v>
      </c>
    </row>
    <row r="95" spans="1:13" outlineLevel="1" x14ac:dyDescent="0.25">
      <c r="A95" s="412" t="str">
        <f t="shared" si="12"/>
        <v>Z_OM_07_</v>
      </c>
      <c r="B95" s="412" t="str">
        <f t="shared" si="13"/>
        <v>OM</v>
      </c>
      <c r="C95" s="412" t="s">
        <v>204</v>
      </c>
      <c r="D95" s="577"/>
      <c r="E95" s="341" t="str">
        <f>IFERROR(IF(D95&lt;&gt;"",D95,HLOOKUP($E$2,$F$2:K95,ROW(D95)-1,0)),F95)</f>
        <v>Enunciado de la pregunta</v>
      </c>
      <c r="F95" s="341" t="s">
        <v>268</v>
      </c>
      <c r="G95" s="341" t="s">
        <v>552</v>
      </c>
      <c r="H95" s="341" t="s">
        <v>338</v>
      </c>
      <c r="I95" s="341" t="s">
        <v>555</v>
      </c>
      <c r="J95" s="341" t="s">
        <v>374</v>
      </c>
      <c r="K95" s="341" t="s">
        <v>945</v>
      </c>
      <c r="L95" s="341" t="str">
        <f t="shared" si="8"/>
        <v>Enunciado de la pregunta</v>
      </c>
      <c r="M95" s="226" t="s">
        <v>117</v>
      </c>
    </row>
    <row r="96" spans="1:13" outlineLevel="1" x14ac:dyDescent="0.25">
      <c r="A96" s="413" t="str">
        <f t="shared" si="12"/>
        <v>Z_OM_08_</v>
      </c>
      <c r="B96" s="413" t="str">
        <f t="shared" si="13"/>
        <v>OM</v>
      </c>
      <c r="C96" s="413" t="s">
        <v>205</v>
      </c>
      <c r="D96" s="578"/>
      <c r="E96" s="342" t="str">
        <f>IFERROR(IF(D96&lt;&gt;"",D96,HLOOKUP($E$2,$F$2:K96,ROW(D96)-1,0)),F96)</f>
        <v>Respuesta Correcta</v>
      </c>
      <c r="F96" s="342" t="s">
        <v>549</v>
      </c>
      <c r="G96" s="342" t="s">
        <v>491</v>
      </c>
      <c r="H96" s="342" t="s">
        <v>493</v>
      </c>
      <c r="I96" s="342" t="s">
        <v>562</v>
      </c>
      <c r="J96" s="342" t="s">
        <v>563</v>
      </c>
      <c r="K96" s="342" t="s">
        <v>946</v>
      </c>
      <c r="L96" s="342" t="str">
        <f t="shared" si="8"/>
        <v>Respuesta Correcta</v>
      </c>
      <c r="M96" s="226" t="s">
        <v>117</v>
      </c>
    </row>
    <row r="97" spans="1:13" outlineLevel="1" x14ac:dyDescent="0.25">
      <c r="A97" s="412" t="str">
        <f t="shared" si="12"/>
        <v>Z_OM_09_</v>
      </c>
      <c r="B97" s="412" t="str">
        <f t="shared" si="13"/>
        <v>OM</v>
      </c>
      <c r="C97" s="412" t="s">
        <v>206</v>
      </c>
      <c r="D97" s="577"/>
      <c r="E97" s="341" t="str">
        <f>IFERROR(IF(D97&lt;&gt;"",D97,HLOOKUP($E$2,$F$2:K97,ROW(D97)-1,0)),F97)</f>
        <v>Respuesta Incorrecta</v>
      </c>
      <c r="F97" s="341" t="s">
        <v>550</v>
      </c>
      <c r="G97" s="341" t="s">
        <v>492</v>
      </c>
      <c r="H97" s="341" t="s">
        <v>564</v>
      </c>
      <c r="I97" s="341" t="s">
        <v>565</v>
      </c>
      <c r="J97" s="341" t="s">
        <v>566</v>
      </c>
      <c r="K97" s="341" t="s">
        <v>947</v>
      </c>
      <c r="L97" s="341" t="str">
        <f t="shared" si="8"/>
        <v>Respuesta Incorrecta</v>
      </c>
      <c r="M97" s="226" t="s">
        <v>117</v>
      </c>
    </row>
    <row r="98" spans="1:13" outlineLevel="1" x14ac:dyDescent="0.25">
      <c r="A98" s="413" t="str">
        <f t="shared" si="12"/>
        <v>Z_OM_10_</v>
      </c>
      <c r="B98" s="413" t="str">
        <f t="shared" si="13"/>
        <v>OM</v>
      </c>
      <c r="C98" s="413" t="s">
        <v>207</v>
      </c>
      <c r="D98" s="578"/>
      <c r="E98" s="342" t="str">
        <f>IFERROR(IF(D98&lt;&gt;"",D98,HLOOKUP($E$2,$F$2:K98,ROW(D98)-1,0)),F98)</f>
        <v>Retroalim.</v>
      </c>
      <c r="F98" s="342" t="s">
        <v>503</v>
      </c>
      <c r="G98" s="342" t="s">
        <v>139</v>
      </c>
      <c r="H98" s="342" t="s">
        <v>504</v>
      </c>
      <c r="I98" s="342" t="s">
        <v>414</v>
      </c>
      <c r="J98" s="342" t="s">
        <v>375</v>
      </c>
      <c r="K98" s="342" t="s">
        <v>139</v>
      </c>
      <c r="L98" s="342" t="str">
        <f t="shared" si="8"/>
        <v>Retroalim.</v>
      </c>
      <c r="M98" s="226" t="s">
        <v>117</v>
      </c>
    </row>
    <row r="99" spans="1:13" outlineLevel="1" x14ac:dyDescent="0.25">
      <c r="A99" s="412" t="str">
        <f t="shared" si="12"/>
        <v>Z_OM_11_</v>
      </c>
      <c r="B99" s="412" t="str">
        <f t="shared" si="13"/>
        <v>OM</v>
      </c>
      <c r="C99" s="412" t="s">
        <v>208</v>
      </c>
      <c r="D99" s="577"/>
      <c r="E99" s="341" t="str">
        <f>IFERROR(IF(D99&lt;&gt;"",D99,HLOOKUP($E$2,$F$2:K99,ROW(D99)-1,0)),F99)</f>
        <v>PISTA</v>
      </c>
      <c r="F99" s="341" t="s">
        <v>861</v>
      </c>
      <c r="G99" s="341" t="s">
        <v>862</v>
      </c>
      <c r="H99" s="341" t="s">
        <v>175</v>
      </c>
      <c r="I99" s="341" t="s">
        <v>863</v>
      </c>
      <c r="J99" s="341" t="s">
        <v>864</v>
      </c>
      <c r="K99" s="341" t="s">
        <v>948</v>
      </c>
      <c r="L99" s="341" t="str">
        <f t="shared" si="8"/>
        <v>PISTA</v>
      </c>
      <c r="M99" s="226" t="s">
        <v>117</v>
      </c>
    </row>
    <row r="100" spans="1:13" outlineLevel="1" x14ac:dyDescent="0.25">
      <c r="A100" s="413" t="str">
        <f t="shared" si="12"/>
        <v>Z_OM_12_</v>
      </c>
      <c r="B100" s="413" t="str">
        <f t="shared" si="13"/>
        <v>OM</v>
      </c>
      <c r="C100" s="413" t="s">
        <v>209</v>
      </c>
      <c r="D100" s="578"/>
      <c r="E100" s="342" t="str">
        <f>IFERROR(IF(D100&lt;&gt;"",D100,HLOOKUP($E$2,$F$2:K100,ROW(D100)-1,0)),F100)</f>
        <v xml:space="preserve">Rango de preguntas almacenadas: </v>
      </c>
      <c r="F100" s="342" t="s">
        <v>827</v>
      </c>
      <c r="G100" s="342" t="s">
        <v>1365</v>
      </c>
      <c r="H100" s="342" t="s">
        <v>553</v>
      </c>
      <c r="I100" s="342" t="s">
        <v>556</v>
      </c>
      <c r="J100" s="342" t="s">
        <v>18307</v>
      </c>
      <c r="K100" s="342" t="s">
        <v>18308</v>
      </c>
      <c r="L100" s="342" t="str">
        <f t="shared" si="8"/>
        <v xml:space="preserve">Rango de preguntas almacenadas: </v>
      </c>
      <c r="M100" s="226" t="s">
        <v>117</v>
      </c>
    </row>
    <row r="101" spans="1:13" outlineLevel="1" x14ac:dyDescent="0.25">
      <c r="A101" s="412" t="str">
        <f t="shared" ref="A101:A106" si="14">$A$1&amp;B101&amp;"_"&amp;C101&amp;"_"&amp;$A$2</f>
        <v>Z_OM_13_</v>
      </c>
      <c r="B101" s="412" t="str">
        <f t="shared" si="13"/>
        <v>OM</v>
      </c>
      <c r="C101" s="423">
        <v>13</v>
      </c>
      <c r="D101" s="577"/>
      <c r="E101" s="341" t="str">
        <f>IFERROR(IF(D101&lt;&gt;"",D101,HLOOKUP($E$2,$F$2:K101,ROW(D101)-1,0)),F101)</f>
        <v>R. Correctas</v>
      </c>
      <c r="F101" s="341" t="s">
        <v>490</v>
      </c>
      <c r="G101" s="341" t="s">
        <v>1366</v>
      </c>
      <c r="H101" s="341" t="s">
        <v>1367</v>
      </c>
      <c r="I101" s="341" t="s">
        <v>494</v>
      </c>
      <c r="J101" s="341" t="s">
        <v>494</v>
      </c>
      <c r="K101" s="341" t="s">
        <v>949</v>
      </c>
      <c r="L101" s="341" t="str">
        <f t="shared" si="8"/>
        <v>R. Correctas</v>
      </c>
      <c r="M101" s="226" t="s">
        <v>117</v>
      </c>
    </row>
    <row r="102" spans="1:13" outlineLevel="1" x14ac:dyDescent="0.25">
      <c r="A102" s="413" t="str">
        <f t="shared" si="14"/>
        <v>Z_OM_14_</v>
      </c>
      <c r="B102" s="413" t="str">
        <f>B100</f>
        <v>OM</v>
      </c>
      <c r="C102" s="414">
        <v>14</v>
      </c>
      <c r="D102" s="578"/>
      <c r="E102" s="342" t="str">
        <f>IFERROR(IF(D102&lt;&gt;"",D102,HLOOKUP($E$2,$F$2:K102,ROW(D102)-1,0)),F102)</f>
        <v>Imagen</v>
      </c>
      <c r="F102" s="342" t="s">
        <v>1314</v>
      </c>
      <c r="G102" s="342" t="s">
        <v>1315</v>
      </c>
      <c r="H102" s="342" t="s">
        <v>1318</v>
      </c>
      <c r="I102" s="342" t="s">
        <v>1316</v>
      </c>
      <c r="J102" s="342" t="s">
        <v>1313</v>
      </c>
      <c r="K102" s="342" t="s">
        <v>1317</v>
      </c>
      <c r="L102" s="342" t="str">
        <f t="shared" si="8"/>
        <v>Imagen</v>
      </c>
      <c r="M102" s="226" t="s">
        <v>117</v>
      </c>
    </row>
    <row r="103" spans="1:13" outlineLevel="1" x14ac:dyDescent="0.25">
      <c r="A103" s="412" t="str">
        <f t="shared" si="14"/>
        <v>Z_OM_15_</v>
      </c>
      <c r="B103" s="412" t="str">
        <f>B101</f>
        <v>OM</v>
      </c>
      <c r="C103" s="423">
        <v>15</v>
      </c>
      <c r="D103" s="577"/>
      <c r="E103" s="341" t="str">
        <f>IFERROR(IF(D103&lt;&gt;"",D103,HLOOKUP($E$2,$F$2:K103,ROW(D103)-1,0)),F103)</f>
        <v>Centrar Valores Tablas</v>
      </c>
      <c r="F103" s="341" t="s">
        <v>1311</v>
      </c>
      <c r="G103" s="341" t="s">
        <v>1322</v>
      </c>
      <c r="H103" s="341" t="s">
        <v>1368</v>
      </c>
      <c r="I103" s="341" t="s">
        <v>1321</v>
      </c>
      <c r="J103" s="341" t="s">
        <v>1320</v>
      </c>
      <c r="K103" s="341" t="s">
        <v>1319</v>
      </c>
      <c r="L103" s="341" t="str">
        <f t="shared" si="8"/>
        <v>Centrar Valores Tablas</v>
      </c>
      <c r="M103" s="226" t="s">
        <v>117</v>
      </c>
    </row>
    <row r="104" spans="1:13" x14ac:dyDescent="0.25">
      <c r="A104" s="411" t="str">
        <f t="shared" si="14"/>
        <v>Z_VF_00_</v>
      </c>
      <c r="B104" s="411" t="s">
        <v>8</v>
      </c>
      <c r="C104" s="411" t="s">
        <v>197</v>
      </c>
      <c r="D104" s="576"/>
      <c r="E104" s="340" t="str">
        <f>IFERROR(IF(D104&lt;&gt;"",D104,HLOOKUP($E$2,$F$2:K104,ROW(D104)-1,0)),F104)</f>
        <v>FORMULARIO VERDADERO FALSO</v>
      </c>
      <c r="F104" s="340" t="s">
        <v>542</v>
      </c>
      <c r="G104" s="340" t="s">
        <v>835</v>
      </c>
      <c r="H104" s="340" t="s">
        <v>836</v>
      </c>
      <c r="I104" s="340" t="s">
        <v>837</v>
      </c>
      <c r="J104" s="340" t="s">
        <v>838</v>
      </c>
      <c r="K104" s="340" t="s">
        <v>835</v>
      </c>
      <c r="L104" s="340" t="str">
        <f t="shared" si="8"/>
        <v>FORMULARIO VERDADERO FALSO</v>
      </c>
      <c r="M104" s="226" t="s">
        <v>117</v>
      </c>
    </row>
    <row r="105" spans="1:13" outlineLevel="1" x14ac:dyDescent="0.25">
      <c r="A105" s="412" t="str">
        <f t="shared" si="14"/>
        <v>Z_VF_01_</v>
      </c>
      <c r="B105" s="412" t="str">
        <f>B104</f>
        <v>VF</v>
      </c>
      <c r="C105" s="412" t="s">
        <v>198</v>
      </c>
      <c r="D105" s="577"/>
      <c r="E105" s="341" t="str">
        <f>IFERROR(IF(D105&lt;&gt;"",D105,HLOOKUP($E$2,$F$2:K105,ROW(D105)-1,0)),F105)</f>
        <v>VERDADERO</v>
      </c>
      <c r="F105" s="341" t="s">
        <v>834</v>
      </c>
      <c r="G105" s="341" t="s">
        <v>543</v>
      </c>
      <c r="H105" s="341" t="s">
        <v>545</v>
      </c>
      <c r="I105" s="341" t="s">
        <v>547</v>
      </c>
      <c r="J105" s="341" t="s">
        <v>548</v>
      </c>
      <c r="K105" s="341" t="s">
        <v>951</v>
      </c>
      <c r="L105" s="341" t="str">
        <f t="shared" si="8"/>
        <v>VERDADERO</v>
      </c>
      <c r="M105" s="226" t="s">
        <v>117</v>
      </c>
    </row>
    <row r="106" spans="1:13" outlineLevel="1" x14ac:dyDescent="0.25">
      <c r="A106" s="413" t="str">
        <f t="shared" si="14"/>
        <v>Z_VF_02_</v>
      </c>
      <c r="B106" s="413" t="str">
        <f>B105</f>
        <v>VF</v>
      </c>
      <c r="C106" s="413" t="s">
        <v>199</v>
      </c>
      <c r="D106" s="578"/>
      <c r="E106" s="342" t="str">
        <f>IFERROR(IF(D106&lt;&gt;"",D106,HLOOKUP($E$2,$F$2:K106,ROW(D106)-1,0)),F106)</f>
        <v>FALSO</v>
      </c>
      <c r="F106" s="342" t="s">
        <v>728</v>
      </c>
      <c r="G106" s="342" t="s">
        <v>544</v>
      </c>
      <c r="H106" s="342" t="s">
        <v>546</v>
      </c>
      <c r="I106" s="342" t="s">
        <v>728</v>
      </c>
      <c r="J106" s="342" t="s">
        <v>728</v>
      </c>
      <c r="K106" s="342" t="s">
        <v>952</v>
      </c>
      <c r="L106" s="342" t="str">
        <f t="shared" si="8"/>
        <v>FALSO</v>
      </c>
      <c r="M106" s="226" t="s">
        <v>117</v>
      </c>
    </row>
    <row r="107" spans="1:13" x14ac:dyDescent="0.25">
      <c r="A107" s="411" t="str">
        <f t="shared" si="12"/>
        <v>Z_EM_00_</v>
      </c>
      <c r="B107" s="411" t="s">
        <v>155</v>
      </c>
      <c r="C107" s="411" t="s">
        <v>197</v>
      </c>
      <c r="D107" s="576"/>
      <c r="E107" s="340" t="str">
        <f>IFERROR(IF(D107&lt;&gt;"",D107,HLOOKUP($E$2,$F$2:K107,ROW(D107)-1,0)),F107)</f>
        <v>FORMULARIO EMPAREJAR</v>
      </c>
      <c r="F107" s="340" t="s">
        <v>140</v>
      </c>
      <c r="G107" s="340" t="s">
        <v>141</v>
      </c>
      <c r="H107" s="340" t="s">
        <v>1468</v>
      </c>
      <c r="I107" s="340" t="s">
        <v>147</v>
      </c>
      <c r="J107" s="340" t="s">
        <v>376</v>
      </c>
      <c r="K107" s="340" t="s">
        <v>950</v>
      </c>
      <c r="L107" s="340" t="str">
        <f t="shared" si="8"/>
        <v>FORMULARIO EMPAREJAR</v>
      </c>
      <c r="M107" s="226" t="s">
        <v>117</v>
      </c>
    </row>
    <row r="108" spans="1:13" outlineLevel="1" x14ac:dyDescent="0.25">
      <c r="A108" s="412" t="str">
        <f t="shared" si="12"/>
        <v>Z_EM_01_</v>
      </c>
      <c r="B108" s="412" t="str">
        <f>B107</f>
        <v>EM</v>
      </c>
      <c r="C108" s="412" t="s">
        <v>198</v>
      </c>
      <c r="D108" s="577"/>
      <c r="E108" s="341" t="str">
        <f>IFERROR(IF(D108&lt;&gt;"",D108,HLOOKUP($E$2,$F$2:K108,ROW(D108)-1,0)),F108)</f>
        <v xml:space="preserve">Grupo </v>
      </c>
      <c r="F108" s="341" t="s">
        <v>242</v>
      </c>
      <c r="G108" s="341" t="s">
        <v>243</v>
      </c>
      <c r="H108" s="341" t="s">
        <v>18309</v>
      </c>
      <c r="I108" s="341" t="s">
        <v>242</v>
      </c>
      <c r="J108" s="341" t="s">
        <v>18310</v>
      </c>
      <c r="K108" s="341" t="s">
        <v>18311</v>
      </c>
      <c r="L108" s="341" t="str">
        <f t="shared" si="8"/>
        <v xml:space="preserve">Grupo </v>
      </c>
      <c r="M108" s="226" t="s">
        <v>117</v>
      </c>
    </row>
    <row r="109" spans="1:13" outlineLevel="1" x14ac:dyDescent="0.25">
      <c r="A109" s="413" t="str">
        <f t="shared" si="12"/>
        <v>Z_EM_02_</v>
      </c>
      <c r="B109" s="413" t="str">
        <f>B108</f>
        <v>EM</v>
      </c>
      <c r="C109" s="413" t="s">
        <v>199</v>
      </c>
      <c r="D109" s="578"/>
      <c r="E109" s="342" t="str">
        <f>IFERROR(IF(D109&lt;&gt;"",D109,HLOOKUP($E$2,$F$2:K109,ROW(D109)-1,0)),F109)</f>
        <v xml:space="preserve">Pareja </v>
      </c>
      <c r="F109" s="342" t="s">
        <v>157</v>
      </c>
      <c r="G109" s="342" t="s">
        <v>244</v>
      </c>
      <c r="H109" s="342" t="s">
        <v>18312</v>
      </c>
      <c r="I109" s="342" t="s">
        <v>18313</v>
      </c>
      <c r="J109" s="342" t="s">
        <v>18314</v>
      </c>
      <c r="K109" s="342" t="s">
        <v>18315</v>
      </c>
      <c r="L109" s="342" t="str">
        <f t="shared" si="8"/>
        <v xml:space="preserve">Pareja </v>
      </c>
      <c r="M109" s="226" t="s">
        <v>117</v>
      </c>
    </row>
    <row r="110" spans="1:13" x14ac:dyDescent="0.25">
      <c r="A110" s="411" t="str">
        <f t="shared" si="12"/>
        <v>Z_RC_00_</v>
      </c>
      <c r="B110" s="411" t="s">
        <v>14</v>
      </c>
      <c r="C110" s="411" t="s">
        <v>197</v>
      </c>
      <c r="D110" s="576"/>
      <c r="E110" s="340" t="str">
        <f>IFERROR(IF(D110&lt;&gt;"",D110,HLOOKUP($E$2,$F$2:K110,ROW(D110)-1,0)),F110)</f>
        <v>FORMULARIO RESPUESTA CORTA</v>
      </c>
      <c r="F110" s="340" t="s">
        <v>142</v>
      </c>
      <c r="G110" s="340" t="s">
        <v>143</v>
      </c>
      <c r="H110" s="340" t="s">
        <v>1469</v>
      </c>
      <c r="I110" s="340" t="s">
        <v>148</v>
      </c>
      <c r="J110" s="340" t="s">
        <v>377</v>
      </c>
      <c r="K110" s="340" t="s">
        <v>953</v>
      </c>
      <c r="L110" s="340" t="str">
        <f t="shared" si="8"/>
        <v>FORMULARIO RESPUESTA CORTA</v>
      </c>
      <c r="M110" s="226" t="s">
        <v>117</v>
      </c>
    </row>
    <row r="111" spans="1:13" outlineLevel="1" x14ac:dyDescent="0.25">
      <c r="A111" s="412" t="str">
        <f t="shared" si="12"/>
        <v>Z_RC_01_</v>
      </c>
      <c r="B111" s="412" t="str">
        <f>B110</f>
        <v>RC</v>
      </c>
      <c r="C111" s="412" t="s">
        <v>198</v>
      </c>
      <c r="D111" s="577"/>
      <c r="E111" s="341" t="str">
        <f>IFERROR(IF(D111&lt;&gt;"",D111,HLOOKUP($E$2,$F$2:K111,ROW(D111)-1,0)),F111)</f>
        <v>Respuesta</v>
      </c>
      <c r="F111" s="341" t="s">
        <v>299</v>
      </c>
      <c r="G111" s="341" t="s">
        <v>298</v>
      </c>
      <c r="H111" s="341" t="s">
        <v>1369</v>
      </c>
      <c r="I111" s="341" t="s">
        <v>415</v>
      </c>
      <c r="J111" s="341" t="s">
        <v>375</v>
      </c>
      <c r="K111" s="341" t="s">
        <v>954</v>
      </c>
      <c r="L111" s="341" t="str">
        <f t="shared" si="8"/>
        <v>Respuesta</v>
      </c>
      <c r="M111" s="226" t="s">
        <v>117</v>
      </c>
    </row>
    <row r="112" spans="1:13" outlineLevel="1" x14ac:dyDescent="0.25">
      <c r="A112" s="413" t="str">
        <f t="shared" si="12"/>
        <v>Z_RC_02_</v>
      </c>
      <c r="B112" s="413" t="str">
        <f>B111</f>
        <v>RC</v>
      </c>
      <c r="C112" s="413" t="s">
        <v>199</v>
      </c>
      <c r="D112" s="578"/>
      <c r="E112" s="342" t="str">
        <f>IFERROR(IF(D112&lt;&gt;"",D112,HLOOKUP($E$2,$F$2:K112,ROW(D112)-1,0)),F112)</f>
        <v>Diferencia entre Mayúsculas y Minúsculas (SI=1)</v>
      </c>
      <c r="F112" s="342" t="s">
        <v>1370</v>
      </c>
      <c r="G112" s="342" t="s">
        <v>18316</v>
      </c>
      <c r="H112" s="342" t="s">
        <v>18317</v>
      </c>
      <c r="I112" s="342" t="s">
        <v>416</v>
      </c>
      <c r="J112" s="342" t="s">
        <v>378</v>
      </c>
      <c r="K112" s="342" t="s">
        <v>955</v>
      </c>
      <c r="L112" s="342" t="str">
        <f t="shared" si="8"/>
        <v>Diferencia entre Mayúsculas y Minúsculas (SI=1)</v>
      </c>
      <c r="M112" s="226" t="s">
        <v>117</v>
      </c>
    </row>
    <row r="113" spans="1:13" outlineLevel="1" x14ac:dyDescent="0.25">
      <c r="A113" s="412" t="str">
        <f>$A$1&amp;B113&amp;"_"&amp;C113&amp;"_"&amp;$A$2</f>
        <v>Z_RC_03_</v>
      </c>
      <c r="B113" s="412" t="str">
        <f>B112</f>
        <v>RC</v>
      </c>
      <c r="C113" s="412" t="s">
        <v>200</v>
      </c>
      <c r="D113" s="577"/>
      <c r="E113" s="341" t="str">
        <f>IFERROR(IF(D113&lt;&gt;"",D113,HLOOKUP($E$2,$F$2:K113,ROW(D113)-1,0)),F113)</f>
        <v>Mayúsculas</v>
      </c>
      <c r="F113" s="341" t="s">
        <v>505</v>
      </c>
      <c r="G113" s="341" t="s">
        <v>1371</v>
      </c>
      <c r="H113" s="341" t="s">
        <v>506</v>
      </c>
      <c r="I113" s="341" t="s">
        <v>507</v>
      </c>
      <c r="J113" s="341" t="s">
        <v>508</v>
      </c>
      <c r="K113" s="341" t="s">
        <v>956</v>
      </c>
      <c r="L113" s="341" t="str">
        <f t="shared" si="8"/>
        <v>Mayúsculas</v>
      </c>
      <c r="M113" s="226" t="s">
        <v>117</v>
      </c>
    </row>
    <row r="114" spans="1:13" x14ac:dyDescent="0.25">
      <c r="A114" s="411" t="str">
        <f>$A$1&amp;B114&amp;"_"&amp;C114&amp;"_"&amp;$A$2</f>
        <v>Z_PP_00_</v>
      </c>
      <c r="B114" s="411" t="s">
        <v>18</v>
      </c>
      <c r="C114" s="411" t="s">
        <v>197</v>
      </c>
      <c r="D114" s="576"/>
      <c r="E114" s="340" t="str">
        <f>IFERROR(IF(D114&lt;&gt;"",D114,HLOOKUP($E$2,$F$2:K114,ROW(D114)-1,0)),F114)</f>
        <v>FORMULARIO PALABRA PERDIDA</v>
      </c>
      <c r="F114" s="340" t="s">
        <v>144</v>
      </c>
      <c r="G114" s="340" t="s">
        <v>145</v>
      </c>
      <c r="H114" s="340" t="s">
        <v>149</v>
      </c>
      <c r="I114" s="340" t="s">
        <v>150</v>
      </c>
      <c r="J114" s="340" t="s">
        <v>379</v>
      </c>
      <c r="K114" s="340" t="s">
        <v>957</v>
      </c>
      <c r="L114" s="340" t="str">
        <f t="shared" si="8"/>
        <v>FORMULARIO PALABRA PERDIDA</v>
      </c>
      <c r="M114" s="226" t="s">
        <v>117</v>
      </c>
    </row>
    <row r="115" spans="1:13" outlineLevel="1" x14ac:dyDescent="0.25">
      <c r="A115" s="412" t="str">
        <f>$A$1&amp;B115&amp;"_"&amp;C115&amp;"_"&amp;$A$2</f>
        <v>Z_PP_01_</v>
      </c>
      <c r="B115" s="412" t="str">
        <f>B114</f>
        <v>PP</v>
      </c>
      <c r="C115" s="412" t="s">
        <v>198</v>
      </c>
      <c r="D115" s="577"/>
      <c r="E115" s="341" t="str">
        <f>IFERROR(IF(D115&lt;&gt;"",D115,HLOOKUP($E$2,$F$2:K115,ROW(D115)-1,0)),F115)</f>
        <v xml:space="preserve">Palabra </v>
      </c>
      <c r="F115" s="341" t="s">
        <v>245</v>
      </c>
      <c r="G115" s="341" t="s">
        <v>246</v>
      </c>
      <c r="H115" s="341" t="s">
        <v>18318</v>
      </c>
      <c r="I115" s="341" t="s">
        <v>245</v>
      </c>
      <c r="J115" s="341" t="s">
        <v>18319</v>
      </c>
      <c r="K115" s="341" t="s">
        <v>18320</v>
      </c>
      <c r="L115" s="341" t="str">
        <f t="shared" si="8"/>
        <v xml:space="preserve">Palabra </v>
      </c>
      <c r="M115" s="226" t="s">
        <v>117</v>
      </c>
    </row>
    <row r="116" spans="1:13" x14ac:dyDescent="0.25">
      <c r="A116" s="411" t="str">
        <f t="shared" ref="A116:A122" si="15">$A$1&amp;B116&amp;"_"&amp;C116&amp;"_"&amp;$A$2</f>
        <v>Z_EN_00_</v>
      </c>
      <c r="B116" s="411" t="s">
        <v>1091</v>
      </c>
      <c r="C116" s="411" t="s">
        <v>197</v>
      </c>
      <c r="D116" s="576"/>
      <c r="E116" s="340" t="str">
        <f>IFERROR(IF(D116&lt;&gt;"",D116,HLOOKUP($E$2,$F$2:K116,ROW(D116)-1,0)),F116)</f>
        <v>FORMULARIO ENSAYO</v>
      </c>
      <c r="F116" s="340" t="s">
        <v>1111</v>
      </c>
      <c r="G116" s="340" t="s">
        <v>1470</v>
      </c>
      <c r="H116" s="340" t="s">
        <v>1471</v>
      </c>
      <c r="I116" s="340" t="s">
        <v>1198</v>
      </c>
      <c r="J116" s="340" t="s">
        <v>1197</v>
      </c>
      <c r="K116" s="340" t="s">
        <v>1096</v>
      </c>
      <c r="L116" s="340" t="str">
        <f t="shared" si="8"/>
        <v>FORMULARIO ENSAYO</v>
      </c>
      <c r="M116" s="226" t="s">
        <v>117</v>
      </c>
    </row>
    <row r="117" spans="1:13" outlineLevel="1" x14ac:dyDescent="0.25">
      <c r="A117" s="412" t="str">
        <f t="shared" si="15"/>
        <v>Z_EN_01_</v>
      </c>
      <c r="B117" s="412" t="str">
        <f t="shared" ref="B117:B122" si="16">B116</f>
        <v>EN</v>
      </c>
      <c r="C117" s="412" t="s">
        <v>198</v>
      </c>
      <c r="D117" s="577"/>
      <c r="E117" s="341" t="str">
        <f>IFERROR(IF(D117&lt;&gt;"",D117,HLOOKUP($E$2,$F$2:K117,ROW(D117)-1,0)),F117)</f>
        <v>Formato de la Respuesta</v>
      </c>
      <c r="F117" s="341" t="s">
        <v>1099</v>
      </c>
      <c r="G117" s="341" t="s">
        <v>1118</v>
      </c>
      <c r="H117" s="341" t="s">
        <v>1183</v>
      </c>
      <c r="I117" s="341" t="s">
        <v>1165</v>
      </c>
      <c r="J117" s="341" t="s">
        <v>1149</v>
      </c>
      <c r="K117" s="341" t="s">
        <v>1131</v>
      </c>
      <c r="L117" s="341" t="str">
        <f t="shared" si="8"/>
        <v>Formato de la Respuesta</v>
      </c>
      <c r="M117" s="226" t="s">
        <v>117</v>
      </c>
    </row>
    <row r="118" spans="1:13" outlineLevel="1" x14ac:dyDescent="0.25">
      <c r="A118" s="413" t="str">
        <f t="shared" si="15"/>
        <v>Z_EN_02_</v>
      </c>
      <c r="B118" s="413" t="str">
        <f t="shared" si="16"/>
        <v>EN</v>
      </c>
      <c r="C118" s="413" t="s">
        <v>199</v>
      </c>
      <c r="D118" s="578"/>
      <c r="E118" s="342" t="str">
        <f>IFERROR(IF(D118&lt;&gt;"",D118,HLOOKUP($E$2,$F$2:K118,ROW(D118)-1,0)),F118)</f>
        <v>Requerir texto</v>
      </c>
      <c r="F118" s="342" t="s">
        <v>1102</v>
      </c>
      <c r="G118" s="342" t="s">
        <v>1119</v>
      </c>
      <c r="H118" s="342" t="s">
        <v>1372</v>
      </c>
      <c r="I118" s="342" t="s">
        <v>1166</v>
      </c>
      <c r="J118" s="342" t="s">
        <v>1150</v>
      </c>
      <c r="K118" s="342" t="s">
        <v>1132</v>
      </c>
      <c r="L118" s="342" t="str">
        <f t="shared" si="8"/>
        <v>Requerir texto</v>
      </c>
      <c r="M118" s="226" t="s">
        <v>117</v>
      </c>
    </row>
    <row r="119" spans="1:13" outlineLevel="1" x14ac:dyDescent="0.25">
      <c r="A119" s="412" t="str">
        <f t="shared" si="15"/>
        <v>Z_EN_03_</v>
      </c>
      <c r="B119" s="412" t="str">
        <f t="shared" si="16"/>
        <v>EN</v>
      </c>
      <c r="C119" s="412" t="s">
        <v>200</v>
      </c>
      <c r="D119" s="577"/>
      <c r="E119" s="341" t="str">
        <f>IFERROR(IF(D119&lt;&gt;"",D119,HLOOKUP($E$2,$F$2:K119,ROW(D119)-1,0)),F119)</f>
        <v>Tamaño de la caja de entrada</v>
      </c>
      <c r="F119" s="341" t="s">
        <v>1103</v>
      </c>
      <c r="G119" s="341" t="s">
        <v>1120</v>
      </c>
      <c r="H119" s="341" t="s">
        <v>1184</v>
      </c>
      <c r="I119" s="341" t="s">
        <v>1167</v>
      </c>
      <c r="J119" s="341" t="s">
        <v>1151</v>
      </c>
      <c r="K119" s="341" t="s">
        <v>1133</v>
      </c>
      <c r="L119" s="341" t="str">
        <f t="shared" si="8"/>
        <v>Tamaño de la caja de entrada</v>
      </c>
      <c r="M119" s="226" t="s">
        <v>117</v>
      </c>
    </row>
    <row r="120" spans="1:13" outlineLevel="1" x14ac:dyDescent="0.25">
      <c r="A120" s="413" t="str">
        <f t="shared" si="15"/>
        <v>Z_EN_04_</v>
      </c>
      <c r="B120" s="413" t="str">
        <f t="shared" si="16"/>
        <v>EN</v>
      </c>
      <c r="C120" s="413" t="s">
        <v>201</v>
      </c>
      <c r="D120" s="578"/>
      <c r="E120" s="342" t="str">
        <f>IFERROR(IF(D120&lt;&gt;"",D120,HLOOKUP($E$2,$F$2:K120,ROW(D120)-1,0)),F120)</f>
        <v>líneas</v>
      </c>
      <c r="F120" s="342" t="s">
        <v>1104</v>
      </c>
      <c r="G120" s="342" t="s">
        <v>1121</v>
      </c>
      <c r="H120" s="342" t="s">
        <v>1185</v>
      </c>
      <c r="I120" s="342" t="s">
        <v>1168</v>
      </c>
      <c r="J120" s="342" t="s">
        <v>1152</v>
      </c>
      <c r="K120" s="342" t="s">
        <v>1134</v>
      </c>
      <c r="L120" s="342" t="str">
        <f t="shared" si="8"/>
        <v>líneas</v>
      </c>
      <c r="M120" s="226" t="s">
        <v>117</v>
      </c>
    </row>
    <row r="121" spans="1:13" outlineLevel="1" x14ac:dyDescent="0.25">
      <c r="A121" s="412" t="str">
        <f t="shared" si="15"/>
        <v>Z_EN_05_</v>
      </c>
      <c r="B121" s="412" t="str">
        <f t="shared" si="16"/>
        <v>EN</v>
      </c>
      <c r="C121" s="412" t="s">
        <v>202</v>
      </c>
      <c r="D121" s="577"/>
      <c r="E121" s="341" t="str">
        <f>IFERROR(IF(D121&lt;&gt;"",D121,HLOOKUP($E$2,$F$2:K121,ROW(D121)-1,0)),F121)</f>
        <v>Permitir archivos adjuntos</v>
      </c>
      <c r="F121" s="341" t="s">
        <v>1105</v>
      </c>
      <c r="G121" s="341" t="s">
        <v>1122</v>
      </c>
      <c r="H121" s="341" t="s">
        <v>1186</v>
      </c>
      <c r="I121" s="341" t="s">
        <v>1169</v>
      </c>
      <c r="J121" s="341" t="s">
        <v>1153</v>
      </c>
      <c r="K121" s="341" t="s">
        <v>1135</v>
      </c>
      <c r="L121" s="341" t="str">
        <f t="shared" si="8"/>
        <v>Permitir archivos adjuntos</v>
      </c>
      <c r="M121" s="226" t="s">
        <v>117</v>
      </c>
    </row>
    <row r="122" spans="1:13" outlineLevel="1" x14ac:dyDescent="0.25">
      <c r="A122" s="413" t="str">
        <f t="shared" si="15"/>
        <v>Z_EN_06_</v>
      </c>
      <c r="B122" s="413" t="str">
        <f t="shared" si="16"/>
        <v>EN</v>
      </c>
      <c r="C122" s="413" t="s">
        <v>203</v>
      </c>
      <c r="D122" s="578"/>
      <c r="E122" s="342" t="str">
        <f>IFERROR(IF(D122&lt;&gt;"",D122,HLOOKUP($E$2,$F$2:K122,ROW(D122)-1,0)),F122)</f>
        <v>Archivos adjuntos requeridos</v>
      </c>
      <c r="F122" s="342" t="s">
        <v>1107</v>
      </c>
      <c r="G122" s="342" t="s">
        <v>1123</v>
      </c>
      <c r="H122" s="342" t="s">
        <v>1373</v>
      </c>
      <c r="I122" s="342" t="s">
        <v>1170</v>
      </c>
      <c r="J122" s="342" t="s">
        <v>1154</v>
      </c>
      <c r="K122" s="342" t="s">
        <v>1136</v>
      </c>
      <c r="L122" s="342" t="str">
        <f t="shared" si="8"/>
        <v>Archivos adjuntos requeridos</v>
      </c>
      <c r="M122" s="226" t="s">
        <v>117</v>
      </c>
    </row>
    <row r="123" spans="1:13" outlineLevel="1" x14ac:dyDescent="0.25">
      <c r="A123" s="412" t="str">
        <f t="shared" ref="A123:A134" si="17">$A$1&amp;B123&amp;"_"&amp;C123&amp;"_"&amp;$A$2</f>
        <v>Z_EN_07_</v>
      </c>
      <c r="B123" s="412" t="str">
        <f t="shared" ref="B123:B133" si="18">B122</f>
        <v>EN</v>
      </c>
      <c r="C123" s="412" t="s">
        <v>204</v>
      </c>
      <c r="D123" s="577"/>
      <c r="E123" s="341" t="str">
        <f>IFERROR(IF(D123&lt;&gt;"",D123,HLOOKUP($E$2,$F$2:K123,ROW(D123)-1,0)),F123)</f>
        <v>Plantilla de Respuesta</v>
      </c>
      <c r="F123" s="341" t="s">
        <v>1112</v>
      </c>
      <c r="G123" s="341" t="s">
        <v>1124</v>
      </c>
      <c r="H123" s="341" t="s">
        <v>1187</v>
      </c>
      <c r="I123" s="341" t="s">
        <v>1171</v>
      </c>
      <c r="J123" s="341" t="s">
        <v>1155</v>
      </c>
      <c r="K123" s="341" t="s">
        <v>1137</v>
      </c>
      <c r="L123" s="341" t="str">
        <f t="shared" si="8"/>
        <v>Plantilla de Respuesta</v>
      </c>
      <c r="M123" s="226" t="s">
        <v>117</v>
      </c>
    </row>
    <row r="124" spans="1:13" outlineLevel="1" x14ac:dyDescent="0.25">
      <c r="A124" s="413" t="str">
        <f t="shared" si="17"/>
        <v>Z_EN_08_</v>
      </c>
      <c r="B124" s="413" t="str">
        <f t="shared" si="18"/>
        <v>EN</v>
      </c>
      <c r="C124" s="413" t="s">
        <v>205</v>
      </c>
      <c r="D124" s="578"/>
      <c r="E124" s="342" t="str">
        <f>IFERROR(IF(D124&lt;&gt;"",D124,HLOOKUP($E$2,$F$2:K124,ROW(D124)-1,0)),F124)</f>
        <v>Información para el evaluador</v>
      </c>
      <c r="F124" s="342" t="s">
        <v>1113</v>
      </c>
      <c r="G124" s="342" t="s">
        <v>1374</v>
      </c>
      <c r="H124" s="342" t="s">
        <v>1375</v>
      </c>
      <c r="I124" s="342" t="s">
        <v>1172</v>
      </c>
      <c r="J124" s="342" t="s">
        <v>1156</v>
      </c>
      <c r="K124" s="342" t="s">
        <v>1138</v>
      </c>
      <c r="L124" s="342" t="str">
        <f t="shared" si="8"/>
        <v>Información para el evaluador</v>
      </c>
      <c r="M124" s="226" t="s">
        <v>117</v>
      </c>
    </row>
    <row r="125" spans="1:13" outlineLevel="1" x14ac:dyDescent="0.25">
      <c r="A125" s="412" t="str">
        <f t="shared" si="17"/>
        <v>Z_EN_09_</v>
      </c>
      <c r="B125" s="412" t="str">
        <f t="shared" si="18"/>
        <v>EN</v>
      </c>
      <c r="C125" s="412" t="s">
        <v>206</v>
      </c>
      <c r="D125" s="577"/>
      <c r="E125" s="341" t="str">
        <f>IFERROR(IF(D125&lt;&gt;"",D125,HLOOKUP($E$2,$F$2:K125,ROW(D125)-1,0)),F125)</f>
        <v>Editor HTML</v>
      </c>
      <c r="F125" s="341" t="s">
        <v>1110</v>
      </c>
      <c r="G125" s="341" t="s">
        <v>1125</v>
      </c>
      <c r="H125" s="341" t="s">
        <v>1188</v>
      </c>
      <c r="I125" s="341" t="s">
        <v>1173</v>
      </c>
      <c r="J125" s="341" t="s">
        <v>1110</v>
      </c>
      <c r="K125" s="341" t="s">
        <v>1139</v>
      </c>
      <c r="L125" s="341" t="str">
        <f t="shared" si="8"/>
        <v>Editor HTML</v>
      </c>
      <c r="M125" s="226" t="s">
        <v>117</v>
      </c>
    </row>
    <row r="126" spans="1:13" outlineLevel="1" x14ac:dyDescent="0.25">
      <c r="A126" s="413" t="str">
        <f t="shared" si="17"/>
        <v>Z_EN_10_</v>
      </c>
      <c r="B126" s="413" t="str">
        <f t="shared" si="18"/>
        <v>EN</v>
      </c>
      <c r="C126" s="413" t="s">
        <v>207</v>
      </c>
      <c r="D126" s="578"/>
      <c r="E126" s="342" t="str">
        <f>IFERROR(IF(D126&lt;&gt;"",D126,HLOOKUP($E$2,$F$2:K126,ROW(D126)-1,0)),F126)</f>
        <v>Editor HTML con selector de archivos</v>
      </c>
      <c r="F126" s="342" t="s">
        <v>1114</v>
      </c>
      <c r="G126" s="342" t="s">
        <v>1376</v>
      </c>
      <c r="H126" s="342" t="s">
        <v>1189</v>
      </c>
      <c r="I126" s="342" t="s">
        <v>1174</v>
      </c>
      <c r="J126" s="342" t="s">
        <v>1157</v>
      </c>
      <c r="K126" s="342" t="s">
        <v>1140</v>
      </c>
      <c r="L126" s="342" t="str">
        <f t="shared" si="8"/>
        <v>Editor HTML con selector de archivos</v>
      </c>
      <c r="M126" s="226" t="s">
        <v>117</v>
      </c>
    </row>
    <row r="127" spans="1:13" outlineLevel="1" x14ac:dyDescent="0.25">
      <c r="A127" s="412" t="str">
        <f t="shared" si="17"/>
        <v>Z_EN_11_</v>
      </c>
      <c r="B127" s="412" t="str">
        <f t="shared" si="18"/>
        <v>EN</v>
      </c>
      <c r="C127" s="412" t="s">
        <v>208</v>
      </c>
      <c r="D127" s="577"/>
      <c r="E127" s="341" t="str">
        <f>IFERROR(IF(D127&lt;&gt;"",D127,HLOOKUP($E$2,$F$2:K127,ROW(D127)-1,0)),F127)</f>
        <v>Texto sin formato</v>
      </c>
      <c r="F127" s="341" t="s">
        <v>1115</v>
      </c>
      <c r="G127" s="341" t="s">
        <v>1126</v>
      </c>
      <c r="H127" s="341" t="s">
        <v>1190</v>
      </c>
      <c r="I127" s="341" t="s">
        <v>1175</v>
      </c>
      <c r="J127" s="341" t="s">
        <v>1158</v>
      </c>
      <c r="K127" s="341" t="s">
        <v>1141</v>
      </c>
      <c r="L127" s="341" t="str">
        <f t="shared" si="8"/>
        <v>Texto sin formato</v>
      </c>
      <c r="M127" s="226" t="s">
        <v>117</v>
      </c>
    </row>
    <row r="128" spans="1:13" outlineLevel="1" x14ac:dyDescent="0.25">
      <c r="A128" s="413" t="str">
        <f t="shared" si="17"/>
        <v>Z_EN_12_</v>
      </c>
      <c r="B128" s="413" t="str">
        <f t="shared" si="18"/>
        <v>EN</v>
      </c>
      <c r="C128" s="413" t="s">
        <v>209</v>
      </c>
      <c r="D128" s="578"/>
      <c r="E128" s="342" t="str">
        <f>IFERROR(IF(D128&lt;&gt;"",D128,HLOOKUP($E$2,$F$2:K128,ROW(D128)-1,0)),F128)</f>
        <v>Texto sin formato, tipografía monoespaciada</v>
      </c>
      <c r="F128" s="342" t="s">
        <v>1116</v>
      </c>
      <c r="G128" s="342" t="s">
        <v>1127</v>
      </c>
      <c r="H128" s="342" t="s">
        <v>1191</v>
      </c>
      <c r="I128" s="342" t="s">
        <v>1176</v>
      </c>
      <c r="J128" s="342" t="s">
        <v>1159</v>
      </c>
      <c r="K128" s="342" t="s">
        <v>1142</v>
      </c>
      <c r="L128" s="342" t="str">
        <f t="shared" si="8"/>
        <v>Texto sin formato, tipografía monoespaciada</v>
      </c>
      <c r="M128" s="226" t="s">
        <v>117</v>
      </c>
    </row>
    <row r="129" spans="1:13" outlineLevel="1" x14ac:dyDescent="0.25">
      <c r="A129" s="412" t="str">
        <f t="shared" si="17"/>
        <v>Z_EN_13_</v>
      </c>
      <c r="B129" s="412" t="str">
        <f t="shared" si="18"/>
        <v>EN</v>
      </c>
      <c r="C129" s="412" t="s">
        <v>210</v>
      </c>
      <c r="D129" s="577"/>
      <c r="E129" s="341" t="str">
        <f>IFERROR(IF(D129&lt;&gt;"",D129,HLOOKUP($E$2,$F$2:K129,ROW(D129)-1,0)),F129)</f>
        <v>Sin texto</v>
      </c>
      <c r="F129" s="341" t="s">
        <v>1109</v>
      </c>
      <c r="G129" s="341" t="s">
        <v>1377</v>
      </c>
      <c r="H129" s="341" t="s">
        <v>1378</v>
      </c>
      <c r="I129" s="341" t="s">
        <v>1177</v>
      </c>
      <c r="J129" s="341" t="s">
        <v>1160</v>
      </c>
      <c r="K129" s="341" t="s">
        <v>1143</v>
      </c>
      <c r="L129" s="341" t="str">
        <f t="shared" si="8"/>
        <v>Sin texto</v>
      </c>
      <c r="M129" s="226" t="s">
        <v>117</v>
      </c>
    </row>
    <row r="130" spans="1:13" outlineLevel="1" x14ac:dyDescent="0.25">
      <c r="A130" s="413" t="str">
        <f t="shared" si="17"/>
        <v>Z_EN_14_</v>
      </c>
      <c r="B130" s="413" t="str">
        <f t="shared" si="18"/>
        <v>EN</v>
      </c>
      <c r="C130" s="413" t="s">
        <v>211</v>
      </c>
      <c r="D130" s="578"/>
      <c r="E130" s="342" t="str">
        <f>IFERROR(IF(D130&lt;&gt;"",D130,HLOOKUP($E$2,$F$2:K130,ROW(D130)-1,0)),F130)</f>
        <v>Requerir al estudiante que introduzca texto</v>
      </c>
      <c r="F130" s="342" t="s">
        <v>1100</v>
      </c>
      <c r="G130" s="342" t="s">
        <v>1379</v>
      </c>
      <c r="H130" s="342" t="s">
        <v>1192</v>
      </c>
      <c r="I130" s="342" t="s">
        <v>1178</v>
      </c>
      <c r="J130" s="342" t="s">
        <v>1161</v>
      </c>
      <c r="K130" s="342" t="s">
        <v>1144</v>
      </c>
      <c r="L130" s="342" t="str">
        <f t="shared" si="8"/>
        <v>Requerir al estudiante que introduzca texto</v>
      </c>
      <c r="M130" s="226" t="s">
        <v>117</v>
      </c>
    </row>
    <row r="131" spans="1:13" outlineLevel="1" x14ac:dyDescent="0.25">
      <c r="A131" s="412" t="str">
        <f t="shared" si="17"/>
        <v>Z_EN_15_</v>
      </c>
      <c r="B131" s="412" t="str">
        <f t="shared" si="18"/>
        <v>EN</v>
      </c>
      <c r="C131" s="412" t="s">
        <v>212</v>
      </c>
      <c r="D131" s="577"/>
      <c r="E131" s="341" t="str">
        <f>IFERROR(IF(D131&lt;&gt;"",D131,HLOOKUP($E$2,$F$2:K131,ROW(D131)-1,0)),F131)</f>
        <v>El texto es opcional</v>
      </c>
      <c r="F131" s="341" t="s">
        <v>1101</v>
      </c>
      <c r="G131" s="341" t="s">
        <v>1128</v>
      </c>
      <c r="H131" s="341" t="s">
        <v>1193</v>
      </c>
      <c r="I131" s="341" t="s">
        <v>1179</v>
      </c>
      <c r="J131" s="341" t="s">
        <v>1162</v>
      </c>
      <c r="K131" s="341" t="s">
        <v>1145</v>
      </c>
      <c r="L131" s="341" t="str">
        <f t="shared" si="8"/>
        <v>El texto es opcional</v>
      </c>
      <c r="M131" s="226" t="s">
        <v>117</v>
      </c>
    </row>
    <row r="132" spans="1:13" outlineLevel="1" x14ac:dyDescent="0.25">
      <c r="A132" s="413" t="str">
        <f t="shared" si="17"/>
        <v>Z_EN_16_</v>
      </c>
      <c r="B132" s="413" t="str">
        <f t="shared" si="18"/>
        <v>EN</v>
      </c>
      <c r="C132" s="413" t="s">
        <v>213</v>
      </c>
      <c r="D132" s="578"/>
      <c r="E132" s="342" t="str">
        <f>IFERROR(IF(D132&lt;&gt;"",D132,HLOOKUP($E$2,$F$2:K132,ROW(D132)-1,0)),F132)</f>
        <v>NO</v>
      </c>
      <c r="F132" s="342" t="s">
        <v>1117</v>
      </c>
      <c r="G132" s="342" t="s">
        <v>1117</v>
      </c>
      <c r="H132" s="342" t="s">
        <v>1194</v>
      </c>
      <c r="I132" s="342" t="s">
        <v>1180</v>
      </c>
      <c r="J132" s="342" t="s">
        <v>1117</v>
      </c>
      <c r="K132" s="342" t="s">
        <v>1146</v>
      </c>
      <c r="L132" s="342" t="str">
        <f t="shared" ref="L132:L195" si="19">E132</f>
        <v>NO</v>
      </c>
      <c r="M132" s="226" t="s">
        <v>117</v>
      </c>
    </row>
    <row r="133" spans="1:13" outlineLevel="1" x14ac:dyDescent="0.25">
      <c r="A133" s="412" t="str">
        <f t="shared" si="17"/>
        <v>Z_EN_17_</v>
      </c>
      <c r="B133" s="412" t="str">
        <f t="shared" si="18"/>
        <v>EN</v>
      </c>
      <c r="C133" s="412" t="s">
        <v>214</v>
      </c>
      <c r="D133" s="577"/>
      <c r="E133" s="341" t="str">
        <f>IFERROR(IF(D133&lt;&gt;"",D133,HLOOKUP($E$2,$F$2:K133,ROW(D133)-1,0)),F133)</f>
        <v>Sin límites</v>
      </c>
      <c r="F133" s="341" t="s">
        <v>1106</v>
      </c>
      <c r="G133" s="341" t="s">
        <v>1129</v>
      </c>
      <c r="H133" s="341" t="s">
        <v>1195</v>
      </c>
      <c r="I133" s="341" t="s">
        <v>1181</v>
      </c>
      <c r="J133" s="341" t="s">
        <v>1163</v>
      </c>
      <c r="K133" s="341" t="s">
        <v>1147</v>
      </c>
      <c r="L133" s="341" t="str">
        <f t="shared" si="19"/>
        <v>Sin límites</v>
      </c>
      <c r="M133" s="226" t="s">
        <v>117</v>
      </c>
    </row>
    <row r="134" spans="1:13" outlineLevel="1" x14ac:dyDescent="0.25">
      <c r="A134" s="413" t="str">
        <f t="shared" si="17"/>
        <v>Z_EN_18_</v>
      </c>
      <c r="B134" s="413" t="str">
        <f>B133</f>
        <v>EN</v>
      </c>
      <c r="C134" s="413" t="s">
        <v>215</v>
      </c>
      <c r="D134" s="578"/>
      <c r="E134" s="342" t="str">
        <f>IFERROR(IF(D134&lt;&gt;"",D134,HLOOKUP($E$2,$F$2:K134,ROW(D134)-1,0)),F134)</f>
        <v>Los archivos adjuntos son opcionales</v>
      </c>
      <c r="F134" s="342" t="s">
        <v>1108</v>
      </c>
      <c r="G134" s="342" t="s">
        <v>1130</v>
      </c>
      <c r="H134" s="342" t="s">
        <v>1196</v>
      </c>
      <c r="I134" s="342" t="s">
        <v>1182</v>
      </c>
      <c r="J134" s="342" t="s">
        <v>1164</v>
      </c>
      <c r="K134" s="342" t="s">
        <v>1148</v>
      </c>
      <c r="L134" s="342" t="str">
        <f t="shared" si="19"/>
        <v>Los archivos adjuntos son opcionales</v>
      </c>
      <c r="M134" s="226" t="s">
        <v>117</v>
      </c>
    </row>
    <row r="135" spans="1:13" x14ac:dyDescent="0.25">
      <c r="A135" s="411" t="str">
        <f>$A$1&amp;B135&amp;"_"&amp;C135&amp;"_"&amp;$A$2</f>
        <v>Z_BP_00_</v>
      </c>
      <c r="B135" s="411" t="s">
        <v>156</v>
      </c>
      <c r="C135" s="411" t="s">
        <v>197</v>
      </c>
      <c r="D135" s="576"/>
      <c r="E135" s="340" t="str">
        <f>IFERROR(IF(D135&lt;&gt;"",D135,HLOOKUP($E$2,$F$2:K135,ROW(D135)-1,0)),F135)</f>
        <v>Banco de preguntas</v>
      </c>
      <c r="F135" s="340" t="s">
        <v>134</v>
      </c>
      <c r="G135" s="340" t="s">
        <v>135</v>
      </c>
      <c r="H135" s="340" t="s">
        <v>151</v>
      </c>
      <c r="I135" s="340" t="s">
        <v>152</v>
      </c>
      <c r="J135" s="340" t="s">
        <v>380</v>
      </c>
      <c r="K135" s="340" t="s">
        <v>958</v>
      </c>
      <c r="L135" s="340" t="str">
        <f t="shared" si="19"/>
        <v>Banco de preguntas</v>
      </c>
      <c r="M135" s="226" t="s">
        <v>117</v>
      </c>
    </row>
    <row r="136" spans="1:13" outlineLevel="1" x14ac:dyDescent="0.25">
      <c r="A136" s="412" t="str">
        <f>$A$1&amp;B136&amp;"_"&amp;C136&amp;"_"&amp;$A$2</f>
        <v>Z_BP_01_</v>
      </c>
      <c r="B136" s="412" t="str">
        <f>B135</f>
        <v>BP</v>
      </c>
      <c r="C136" s="412" t="s">
        <v>198</v>
      </c>
      <c r="D136" s="577"/>
      <c r="E136" s="341" t="str">
        <f>IFERROR(IF(D136&lt;&gt;"",D136,HLOOKUP($E$2,$F$2:K136,ROW(D136)-1,0)),F136)</f>
        <v>Preguntas Almacenadas</v>
      </c>
      <c r="F136" s="341" t="s">
        <v>487</v>
      </c>
      <c r="G136" s="341" t="s">
        <v>488</v>
      </c>
      <c r="H136" s="341" t="s">
        <v>1380</v>
      </c>
      <c r="I136" s="341" t="s">
        <v>417</v>
      </c>
      <c r="J136" s="341" t="s">
        <v>489</v>
      </c>
      <c r="K136" s="341" t="s">
        <v>959</v>
      </c>
      <c r="L136" s="341" t="str">
        <f t="shared" si="19"/>
        <v>Preguntas Almacenadas</v>
      </c>
      <c r="M136" s="226" t="s">
        <v>117</v>
      </c>
    </row>
    <row r="137" spans="1:13" outlineLevel="1" x14ac:dyDescent="0.25">
      <c r="A137" s="425" t="str">
        <f>$A$1&amp;B137&amp;"_"&amp;C137&amp;"_"&amp;$A$2</f>
        <v>Z_BP_02_</v>
      </c>
      <c r="B137" s="412" t="str">
        <f>B136</f>
        <v>BP</v>
      </c>
      <c r="C137" s="424" t="s">
        <v>199</v>
      </c>
      <c r="D137" s="577"/>
      <c r="E137" s="341" t="str">
        <f>IFERROR(IF(D137&lt;&gt;"",D137,HLOOKUP($E$2,$F$2:K137,ROW(D137)-1,0)),F137)</f>
        <v>INSERTAR PREGUNTA</v>
      </c>
      <c r="F137" s="341" t="s">
        <v>18213</v>
      </c>
      <c r="G137" s="341" t="s">
        <v>18215</v>
      </c>
      <c r="H137" s="341" t="s">
        <v>18217</v>
      </c>
      <c r="I137" s="341" t="s">
        <v>18218</v>
      </c>
      <c r="J137" s="341" t="s">
        <v>18219</v>
      </c>
      <c r="K137" s="341" t="s">
        <v>18220</v>
      </c>
      <c r="L137" s="341" t="str">
        <f t="shared" si="19"/>
        <v>INSERTAR PREGUNTA</v>
      </c>
      <c r="M137" s="226" t="s">
        <v>117</v>
      </c>
    </row>
    <row r="138" spans="1:13" outlineLevel="1" x14ac:dyDescent="0.25">
      <c r="A138" s="425" t="str">
        <f>$A$1&amp;B138&amp;"_"&amp;C138&amp;"_"&amp;$A$2</f>
        <v>Z_BP_03_</v>
      </c>
      <c r="B138" s="412" t="str">
        <f>B137</f>
        <v>BP</v>
      </c>
      <c r="C138" s="424" t="s">
        <v>200</v>
      </c>
      <c r="D138" s="577"/>
      <c r="E138" s="341" t="str">
        <f>IFERROR(IF(D138&lt;&gt;"",D138,HLOOKUP($E$2,$F$2:K138,ROW(D138)-1,0)),F138)</f>
        <v>BORRAR PREGUNTA</v>
      </c>
      <c r="F138" s="341" t="s">
        <v>18214</v>
      </c>
      <c r="G138" s="341" t="s">
        <v>18216</v>
      </c>
      <c r="H138" s="341" t="s">
        <v>18221</v>
      </c>
      <c r="I138" s="341" t="s">
        <v>18222</v>
      </c>
      <c r="J138" s="341" t="s">
        <v>18223</v>
      </c>
      <c r="K138" s="341" t="s">
        <v>18224</v>
      </c>
      <c r="L138" s="341" t="str">
        <f t="shared" si="19"/>
        <v>BORRAR PREGUNTA</v>
      </c>
      <c r="M138" s="226" t="s">
        <v>117</v>
      </c>
    </row>
    <row r="139" spans="1:13" x14ac:dyDescent="0.25">
      <c r="A139" s="411" t="str">
        <f>"Z_"&amp;C139&amp;"_?_"&amp;$A$2</f>
        <v>Z_??_?_</v>
      </c>
      <c r="B139" s="411" t="s">
        <v>138</v>
      </c>
      <c r="C139" s="411" t="s">
        <v>263</v>
      </c>
      <c r="D139" s="576"/>
      <c r="E139" s="340" t="str">
        <f>IFERROR(IF(D139&lt;&gt;"",D139,HLOOKUP($E$2,$F$2:K139,ROW(D139)-1,0)),F139)</f>
        <v>AYUDA DATOS GENERALES</v>
      </c>
      <c r="F139" s="340" t="s">
        <v>509</v>
      </c>
      <c r="G139" s="340" t="s">
        <v>1386</v>
      </c>
      <c r="H139" s="340" t="s">
        <v>510</v>
      </c>
      <c r="I139" s="340" t="s">
        <v>511</v>
      </c>
      <c r="J139" s="340" t="s">
        <v>512</v>
      </c>
      <c r="K139" s="340" t="s">
        <v>967</v>
      </c>
      <c r="L139" s="340" t="str">
        <f t="shared" si="19"/>
        <v>AYUDA DATOS GENERALES</v>
      </c>
      <c r="M139" s="226" t="s">
        <v>117</v>
      </c>
    </row>
    <row r="140" spans="1:13" outlineLevel="1" x14ac:dyDescent="0.25">
      <c r="A140" s="412" t="str">
        <f>"Z_"&amp;C140&amp;"_?_"&amp;$A$2</f>
        <v>Z_Tit_Categ_?_</v>
      </c>
      <c r="B140" s="412" t="str">
        <f t="shared" ref="B140:B157" si="20">B139</f>
        <v>?</v>
      </c>
      <c r="C140" s="412" t="s">
        <v>247</v>
      </c>
      <c r="D140" s="593"/>
      <c r="E140" s="341" t="str">
        <f>IFERROR(IF(D140&lt;&gt;"",D140,HLOOKUP($E$2,$F$2:K140,ROW(D140)-1,0)),F140)</f>
        <v xml:space="preserve">Título de la CATEGORÍA
Si quieres crear una CATEGORÍA para las preguntas. Si no, lo dejas en blanco y las preg. Puedes crear tu lista desplegable o escribir el nombre que quieras. </v>
      </c>
      <c r="F140" s="341" t="s">
        <v>430</v>
      </c>
      <c r="G140" s="341" t="s">
        <v>1387</v>
      </c>
      <c r="H140" s="341" t="s">
        <v>1388</v>
      </c>
      <c r="I140" s="341" t="s">
        <v>446</v>
      </c>
      <c r="J140" s="341" t="s">
        <v>448</v>
      </c>
      <c r="K140" s="341" t="s">
        <v>968</v>
      </c>
      <c r="L140" s="341" t="str">
        <f t="shared" si="19"/>
        <v xml:space="preserve">Título de la CATEGORÍA
Si quieres crear una CATEGORÍA para las preguntas. Si no, lo dejas en blanco y las preg. Puedes crear tu lista desplegable o escribir el nombre que quieras. </v>
      </c>
      <c r="M140" s="226" t="s">
        <v>117</v>
      </c>
    </row>
    <row r="141" spans="1:13" outlineLevel="1" x14ac:dyDescent="0.25">
      <c r="A141" s="413" t="str">
        <f t="shared" ref="A141:A157" si="21">"Z_"&amp;C141&amp;"_?_"&amp;$A$2</f>
        <v>Z_Tit_Subcat_?_</v>
      </c>
      <c r="B141" s="413" t="str">
        <f t="shared" si="20"/>
        <v>?</v>
      </c>
      <c r="C141" s="413" t="s">
        <v>248</v>
      </c>
      <c r="D141" s="594"/>
      <c r="E141" s="342" t="str">
        <f>IFERROR(IF(D141&lt;&gt;"",D141,HLOOKUP($E$2,$F$2:K141,ROW(D141)-1,0)),F141)</f>
        <v>Título de la SUBCATEGORÍA
Si quieres crear una SUBCATEGORÍA para las preguntas. Si no, lo dejas en blanco. Puedes elegir de la lista desplegable o escribir el nombre que quieras.
Para incluir más subcategorías debes escribir el símbolo "/"
Ej. "subcat1/subcat2/subcat3".</v>
      </c>
      <c r="F141" s="342" t="s">
        <v>18325</v>
      </c>
      <c r="G141" s="342" t="s">
        <v>18324</v>
      </c>
      <c r="H141" s="342" t="s">
        <v>18323</v>
      </c>
      <c r="I141" s="342" t="s">
        <v>18322</v>
      </c>
      <c r="J141" s="342" t="s">
        <v>18321</v>
      </c>
      <c r="K141" s="342" t="s">
        <v>969</v>
      </c>
      <c r="L141" s="342" t="str">
        <f t="shared" si="19"/>
        <v>Título de la SUBCATEGORÍA
Si quieres crear una SUBCATEGORÍA para las preguntas. Si no, lo dejas en blanco. Puedes elegir de la lista desplegable o escribir el nombre que quieras.
Para incluir más subcategorías debes escribir el símbolo "/"
Ej. "subcat1/subcat2/subcat3".</v>
      </c>
      <c r="M141" s="226" t="s">
        <v>117</v>
      </c>
    </row>
    <row r="142" spans="1:13" outlineLevel="1" x14ac:dyDescent="0.25">
      <c r="A142" s="412" t="str">
        <f t="shared" si="21"/>
        <v>Z_Retroalim_GENERAL_?_</v>
      </c>
      <c r="B142" s="412" t="str">
        <f t="shared" si="20"/>
        <v>?</v>
      </c>
      <c r="C142" s="412" t="s">
        <v>249</v>
      </c>
      <c r="D142" s="593"/>
      <c r="E142" s="341" t="str">
        <f>IFERROR(IF(D142&lt;&gt;"",D142,HLOOKUP($E$2,$F$2:K142,ROW(D142)-1,0)),F142)</f>
        <v>RETROALIMENTACIÓN (HTML):
Escribe la respuesta genérica que quieres que se muestre al terminar el cuestionario.</v>
      </c>
      <c r="F142" s="341" t="s">
        <v>1486</v>
      </c>
      <c r="G142" s="341" t="s">
        <v>1487</v>
      </c>
      <c r="H142" s="341" t="s">
        <v>1488</v>
      </c>
      <c r="I142" s="341" t="s">
        <v>1489</v>
      </c>
      <c r="J142" s="341" t="s">
        <v>1490</v>
      </c>
      <c r="K142" s="341" t="s">
        <v>1491</v>
      </c>
      <c r="L142" s="341" t="str">
        <f t="shared" si="19"/>
        <v>RETROALIMENTACIÓN (HTML):
Escribe la respuesta genérica que quieres que se muestre al terminar el cuestionario.</v>
      </c>
      <c r="M142" s="226" t="s">
        <v>117</v>
      </c>
    </row>
    <row r="143" spans="1:13" outlineLevel="1" x14ac:dyDescent="0.25">
      <c r="A143" s="413" t="str">
        <f t="shared" si="21"/>
        <v>Z_CONTRASEN_A_?_</v>
      </c>
      <c r="B143" s="413" t="str">
        <f t="shared" si="20"/>
        <v>?</v>
      </c>
      <c r="C143" s="413" t="s">
        <v>251</v>
      </c>
      <c r="D143" s="594"/>
      <c r="E143" s="342" t="str">
        <f>IFERROR(IF(D143&lt;&gt;"",D143,HLOOKUP($E$2,$F$2:K143,ROW(D143)-1,0)),F143)</f>
        <v>CONTRASEÑA
Si introduces una contraseña o código, debes comunicarlo a los alumnos que van a rellenar el cuestionario.</v>
      </c>
      <c r="F143" s="342" t="s">
        <v>431</v>
      </c>
      <c r="G143" s="342" t="s">
        <v>1389</v>
      </c>
      <c r="H143" s="342" t="s">
        <v>442</v>
      </c>
      <c r="I143" s="342" t="s">
        <v>447</v>
      </c>
      <c r="J143" s="342" t="s">
        <v>18326</v>
      </c>
      <c r="K143" s="342" t="s">
        <v>970</v>
      </c>
      <c r="L143" s="342" t="str">
        <f t="shared" si="19"/>
        <v>CONTRASEÑA
Si introduces una contraseña o código, debes comunicarlo a los alumnos que van a rellenar el cuestionario.</v>
      </c>
      <c r="M143" s="226" t="s">
        <v>117</v>
      </c>
    </row>
    <row r="144" spans="1:13" outlineLevel="1" x14ac:dyDescent="0.25">
      <c r="A144" s="412" t="str">
        <f t="shared" si="21"/>
        <v>Z_R_CORRECTA_?_</v>
      </c>
      <c r="B144" s="412" t="str">
        <f t="shared" si="20"/>
        <v>?</v>
      </c>
      <c r="C144" s="412" t="s">
        <v>250</v>
      </c>
      <c r="D144" s="593"/>
      <c r="E144" s="341" t="str">
        <f>IFERROR(IF(D144&lt;&gt;"",D144,HLOOKUP($E$2,$F$2:K144,ROW(D144)-1,0)),F144)</f>
        <v>RESPUESTA CORRECTA (HTML):
Escribe lo que quieres que se muestre al responder correctamente. Si no quieres poner nada, déjalo en blanco.</v>
      </c>
      <c r="F144" s="341" t="s">
        <v>1492</v>
      </c>
      <c r="G144" s="341" t="s">
        <v>1493</v>
      </c>
      <c r="H144" s="341" t="s">
        <v>1494</v>
      </c>
      <c r="I144" s="341" t="s">
        <v>1495</v>
      </c>
      <c r="J144" s="341" t="s">
        <v>1496</v>
      </c>
      <c r="K144" s="341" t="s">
        <v>1497</v>
      </c>
      <c r="L144" s="341" t="str">
        <f t="shared" si="19"/>
        <v>RESPUESTA CORRECTA (HTML):
Escribe lo que quieres que se muestre al responder correctamente. Si no quieres poner nada, déjalo en blanco.</v>
      </c>
      <c r="M144" s="226" t="s">
        <v>117</v>
      </c>
    </row>
    <row r="145" spans="1:13" outlineLevel="1" x14ac:dyDescent="0.25">
      <c r="A145" s="413" t="str">
        <f t="shared" si="21"/>
        <v>Z_R_Par_CORRECTA_?_</v>
      </c>
      <c r="B145" s="413" t="str">
        <f t="shared" si="20"/>
        <v>?</v>
      </c>
      <c r="C145" s="413" t="s">
        <v>252</v>
      </c>
      <c r="D145" s="594"/>
      <c r="E145" s="342" t="str">
        <f>IFERROR(IF(D145&lt;&gt;"",D145,HLOOKUP($E$2,$F$2:K145,ROW(D145)-1,0)),F145)</f>
        <v>RESPUESTA NO DEL TODO CORRECTA (HTML):
Escribe lo que quieres que se muestre al responder de forma parcialmente correcta. Si no quieres poner nada, déjalo en blanco.</v>
      </c>
      <c r="F145" s="342" t="s">
        <v>1498</v>
      </c>
      <c r="G145" s="342" t="s">
        <v>1499</v>
      </c>
      <c r="H145" s="342" t="s">
        <v>1500</v>
      </c>
      <c r="I145" s="342" t="s">
        <v>1501</v>
      </c>
      <c r="J145" s="342" t="s">
        <v>1502</v>
      </c>
      <c r="K145" s="342" t="s">
        <v>1503</v>
      </c>
      <c r="L145" s="342" t="str">
        <f t="shared" si="19"/>
        <v>RESPUESTA NO DEL TODO CORRECTA (HTML):
Escribe lo que quieres que se muestre al responder de forma parcialmente correcta. Si no quieres poner nada, déjalo en blanco.</v>
      </c>
      <c r="M145" s="226" t="s">
        <v>117</v>
      </c>
    </row>
    <row r="146" spans="1:13" outlineLevel="1" x14ac:dyDescent="0.25">
      <c r="A146" s="412" t="str">
        <f t="shared" si="21"/>
        <v>Z_R_INCORRECTA_?_</v>
      </c>
      <c r="B146" s="412" t="str">
        <f t="shared" si="20"/>
        <v>?</v>
      </c>
      <c r="C146" s="412" t="s">
        <v>253</v>
      </c>
      <c r="D146" s="593"/>
      <c r="E146" s="341" t="str">
        <f>IFERROR(IF(D146&lt;&gt;"",D146,HLOOKUP($E$2,$F$2:K146,ROW(D146)-1,0)),F146)</f>
        <v>RESPUESTA INCORRECTA (HTML):
Escribe lo que quieres que se muestre al responder de manera incorrecta. Si no quieres poner nada, déjalo en blanco.</v>
      </c>
      <c r="F146" s="341" t="s">
        <v>1504</v>
      </c>
      <c r="G146" s="341" t="s">
        <v>1505</v>
      </c>
      <c r="H146" s="341" t="s">
        <v>1506</v>
      </c>
      <c r="I146" s="341" t="s">
        <v>1507</v>
      </c>
      <c r="J146" s="341" t="s">
        <v>1508</v>
      </c>
      <c r="K146" s="341" t="s">
        <v>1509</v>
      </c>
      <c r="L146" s="341" t="str">
        <f t="shared" si="19"/>
        <v>RESPUESTA INCORRECTA (HTML):
Escribe lo que quieres que se muestre al responder de manera incorrecta. Si no quieres poner nada, déjalo en blanco.</v>
      </c>
      <c r="M146" s="226" t="s">
        <v>117</v>
      </c>
    </row>
    <row r="147" spans="1:13" outlineLevel="1" x14ac:dyDescent="0.25">
      <c r="A147" s="413" t="str">
        <f t="shared" si="21"/>
        <v>Z_PREF_PREGUNTA_?_</v>
      </c>
      <c r="B147" s="413" t="str">
        <f t="shared" si="20"/>
        <v>?</v>
      </c>
      <c r="C147" s="413" t="s">
        <v>254</v>
      </c>
      <c r="D147" s="594"/>
      <c r="E147" s="342" t="str">
        <f>IFERROR(IF(D147&lt;&gt;"",D147,HLOOKUP($E$2,$F$2:K147,ROW(D147)-1,0)),F147)</f>
        <v>PREFIJO
Prefijo que tendrán todas las preguntas del cuestionario. Se numerarán correlativamente con ese prefijo y así te ayuda a tener las preguntas ordenadas. Si no quieres ningún prefijo, lo puedes dejar en blanco.</v>
      </c>
      <c r="F147" s="342" t="s">
        <v>432</v>
      </c>
      <c r="G147" s="342" t="s">
        <v>1390</v>
      </c>
      <c r="H147" s="342" t="s">
        <v>1391</v>
      </c>
      <c r="I147" s="342" t="s">
        <v>444</v>
      </c>
      <c r="J147" s="342" t="s">
        <v>449</v>
      </c>
      <c r="K147" s="342" t="s">
        <v>971</v>
      </c>
      <c r="L147" s="342" t="str">
        <f t="shared" si="19"/>
        <v>PREFIJO
Prefijo que tendrán todas las preguntas del cuestionario. Se numerarán correlativamente con ese prefijo y así te ayuda a tener las preguntas ordenadas. Si no quieres ningún prefijo, lo puedes dejar en blanco.</v>
      </c>
      <c r="M147" s="226" t="s">
        <v>117</v>
      </c>
    </row>
    <row r="148" spans="1:13" outlineLevel="1" x14ac:dyDescent="0.25">
      <c r="A148" s="412" t="str">
        <f t="shared" si="21"/>
        <v>Z_N_INICIAL_?_</v>
      </c>
      <c r="B148" s="412" t="str">
        <f t="shared" si="20"/>
        <v>?</v>
      </c>
      <c r="C148" s="412" t="s">
        <v>255</v>
      </c>
      <c r="D148" s="591"/>
      <c r="E148" s="341" t="str">
        <f>IFERROR(IF(D148&lt;&gt;"",D148,HLOOKUP($E$2,$F$2:K148,ROW(D148)-1,0)),F148)</f>
        <v>Nº INICIAL
Debes introducir el nº de la primera pregunta que quieres exportar.</v>
      </c>
      <c r="F148" s="341" t="s">
        <v>1026</v>
      </c>
      <c r="G148" s="341" t="s">
        <v>435</v>
      </c>
      <c r="H148" s="341" t="s">
        <v>1028</v>
      </c>
      <c r="I148" s="341" t="s">
        <v>1027</v>
      </c>
      <c r="J148" s="341" t="s">
        <v>1029</v>
      </c>
      <c r="K148" s="341" t="s">
        <v>1030</v>
      </c>
      <c r="L148" s="341" t="str">
        <f t="shared" si="19"/>
        <v>Nº INICIAL
Debes introducir el nº de la primera pregunta que quieres exportar.</v>
      </c>
      <c r="M148" s="226" t="s">
        <v>117</v>
      </c>
    </row>
    <row r="149" spans="1:13" outlineLevel="1" x14ac:dyDescent="0.25">
      <c r="A149" s="413" t="str">
        <f t="shared" si="21"/>
        <v>Z_N_FINAL_?_</v>
      </c>
      <c r="B149" s="413" t="str">
        <f t="shared" si="20"/>
        <v>?</v>
      </c>
      <c r="C149" s="413" t="s">
        <v>256</v>
      </c>
      <c r="D149" s="592"/>
      <c r="E149" s="342" t="str">
        <f>IFERROR(IF(D149&lt;&gt;"",D149,HLOOKUP($E$2,$F$2:K149,ROW(D149)-1,0)),F149)</f>
        <v xml:space="preserve">Nº FINAL PREGUNTA
Introduce el nº de la última pregunta que quieres exportar al cuestionario. </v>
      </c>
      <c r="F149" s="342" t="s">
        <v>1031</v>
      </c>
      <c r="G149" s="342" t="s">
        <v>436</v>
      </c>
      <c r="H149" s="342" t="s">
        <v>443</v>
      </c>
      <c r="I149" s="342" t="s">
        <v>445</v>
      </c>
      <c r="J149" s="342" t="s">
        <v>450</v>
      </c>
      <c r="K149" s="342" t="s">
        <v>972</v>
      </c>
      <c r="L149" s="342" t="str">
        <f t="shared" si="19"/>
        <v xml:space="preserve">Nº FINAL PREGUNTA
Introduce el nº de la última pregunta que quieres exportar al cuestionario. </v>
      </c>
      <c r="M149" s="226" t="s">
        <v>117</v>
      </c>
    </row>
    <row r="150" spans="1:13" outlineLevel="1" x14ac:dyDescent="0.25">
      <c r="A150" s="412" t="str">
        <f t="shared" si="21"/>
        <v>Z_BARAJAR_R_?_</v>
      </c>
      <c r="B150" s="412" t="str">
        <f t="shared" si="20"/>
        <v>?</v>
      </c>
      <c r="C150" s="412" t="s">
        <v>257</v>
      </c>
      <c r="D150" s="591"/>
      <c r="E150" s="341" t="str">
        <f>IFERROR(IF(D150&lt;&gt;"",D150,HLOOKUP($E$2,$F$2:K150,ROW(D150)-1,0)),F150)</f>
        <v>BARAJAR RESPUESTA
Si quieres barajar las respuestas, selecciona true.</v>
      </c>
      <c r="F150" s="341" t="s">
        <v>1032</v>
      </c>
      <c r="G150" s="341" t="s">
        <v>1392</v>
      </c>
      <c r="H150" s="341" t="s">
        <v>18327</v>
      </c>
      <c r="I150" s="341" t="s">
        <v>18328</v>
      </c>
      <c r="J150" s="341" t="s">
        <v>18329</v>
      </c>
      <c r="K150" s="341" t="s">
        <v>18330</v>
      </c>
      <c r="L150" s="341" t="str">
        <f t="shared" si="19"/>
        <v>BARAJAR RESPUESTA
Si quieres barajar las respuestas, selecciona true.</v>
      </c>
      <c r="M150" s="226" t="s">
        <v>117</v>
      </c>
    </row>
    <row r="151" spans="1:13" outlineLevel="1" x14ac:dyDescent="0.25">
      <c r="A151" s="413" t="str">
        <f>"Z_"&amp;C151&amp;"_?_"&amp;$A$2</f>
        <v>Z_NUMERAR_R_?_</v>
      </c>
      <c r="B151" s="413" t="str">
        <f t="shared" si="20"/>
        <v>?</v>
      </c>
      <c r="C151" s="413" t="s">
        <v>294</v>
      </c>
      <c r="D151" s="594"/>
      <c r="E151" s="342" t="str">
        <f>IFERROR(IF(D151&lt;&gt;"",D151,HLOOKUP($E$2,$F$2:K151,ROW(D151)-1,0)),F151)</f>
        <v>TIPO NUMERACIÓN
Selecciona el tipo de numeración de las respuestas, si no quieres numeración, selecciona NONE.</v>
      </c>
      <c r="F151" s="342" t="s">
        <v>1517</v>
      </c>
      <c r="G151" s="342" t="s">
        <v>1518</v>
      </c>
      <c r="H151" s="342" t="s">
        <v>18331</v>
      </c>
      <c r="I151" s="342" t="s">
        <v>18332</v>
      </c>
      <c r="J151" s="342" t="s">
        <v>18333</v>
      </c>
      <c r="K151" s="342" t="s">
        <v>18334</v>
      </c>
      <c r="L151" s="342" t="str">
        <f t="shared" si="19"/>
        <v>TIPO NUMERACIÓN
Selecciona el tipo de numeración de las respuestas, si no quieres numeración, selecciona NONE.</v>
      </c>
      <c r="M151" s="226" t="s">
        <v>117</v>
      </c>
    </row>
    <row r="152" spans="1:13" outlineLevel="1" x14ac:dyDescent="0.25">
      <c r="A152" s="412" t="str">
        <f>"Z_"&amp;C152&amp;"_?_"&amp;$A$2</f>
        <v>Z_Des_Categ_?_</v>
      </c>
      <c r="B152" s="412" t="str">
        <f t="shared" si="20"/>
        <v>?</v>
      </c>
      <c r="C152" s="412" t="s">
        <v>258</v>
      </c>
      <c r="D152" s="593"/>
      <c r="E152" s="341" t="str">
        <f>IFERROR(IF(D152&lt;&gt;"",D152,HLOOKUP($E$2,$F$2:K152,ROW(D152)-1,0)),F152)</f>
        <v>Descripción de la CATEGORÍA
Si quieres escribir algo sobre la categoría, sólo es un comentario. Si no quieres escribir nada, lo puedes dejar en blanco.</v>
      </c>
      <c r="F152" s="341" t="s">
        <v>433</v>
      </c>
      <c r="G152" s="341" t="s">
        <v>437</v>
      </c>
      <c r="H152" s="341" t="s">
        <v>1393</v>
      </c>
      <c r="I152" s="341" t="s">
        <v>441</v>
      </c>
      <c r="J152" s="341" t="s">
        <v>451</v>
      </c>
      <c r="K152" s="341" t="s">
        <v>18335</v>
      </c>
      <c r="L152" s="341" t="str">
        <f t="shared" si="19"/>
        <v>Descripción de la CATEGORÍA
Si quieres escribir algo sobre la categoría, sólo es un comentario. Si no quieres escribir nada, lo puedes dejar en blanco.</v>
      </c>
      <c r="M152" s="226" t="s">
        <v>117</v>
      </c>
    </row>
    <row r="153" spans="1:13" outlineLevel="1" x14ac:dyDescent="0.25">
      <c r="A153" s="413" t="str">
        <f>"Z_"&amp;C153&amp;"_?_"&amp;$A$2</f>
        <v>Z_Des_Subcat_?_</v>
      </c>
      <c r="B153" s="413" t="str">
        <f t="shared" si="20"/>
        <v>?</v>
      </c>
      <c r="C153" s="413" t="s">
        <v>259</v>
      </c>
      <c r="D153" s="594"/>
      <c r="E153" s="342" t="str">
        <f>IFERROR(IF(D153&lt;&gt;"",D153,HLOOKUP($E$2,$F$2:K153,ROW(D153)-1,0)),F153)</f>
        <v>Descripción de la SUBCATEGORÍA
Si quieres escribir algo sobre la subcategoría, sólo es un comentario. Si no quieres escribir nada, lo puedes dejar en blanco.</v>
      </c>
      <c r="F153" s="342" t="s">
        <v>1394</v>
      </c>
      <c r="G153" s="342" t="s">
        <v>1395</v>
      </c>
      <c r="H153" s="342" t="s">
        <v>1396</v>
      </c>
      <c r="I153" s="342" t="s">
        <v>440</v>
      </c>
      <c r="J153" s="342" t="s">
        <v>452</v>
      </c>
      <c r="K153" s="342" t="s">
        <v>973</v>
      </c>
      <c r="L153" s="342" t="str">
        <f t="shared" si="19"/>
        <v>Descripción de la SUBCATEGORÍA
Si quieres escribir algo sobre la subcategoría, sólo es un comentario. Si no quieres escribir nada, lo puedes dejar en blanco.</v>
      </c>
      <c r="M153" s="226" t="s">
        <v>117</v>
      </c>
    </row>
    <row r="154" spans="1:13" outlineLevel="1" x14ac:dyDescent="0.25">
      <c r="A154" s="412" t="str">
        <f t="shared" si="21"/>
        <v>Z_PUNTUACION_?_</v>
      </c>
      <c r="B154" s="412" t="str">
        <f t="shared" si="20"/>
        <v>?</v>
      </c>
      <c r="C154" s="412" t="s">
        <v>260</v>
      </c>
      <c r="D154" s="593"/>
      <c r="E154" s="341" t="str">
        <f>IFERROR(IF(D154&lt;&gt;"",D154,HLOOKUP($E$2,$F$2:K154,ROW(D154)-1,0)),F154)</f>
        <v>PUNTUACIÓN
Puntos que va a tener cada pregunta. Por defecto MOODLE pone uno, se puede modificar el valor cuando se crea el cuestionario.</v>
      </c>
      <c r="F154" s="341" t="s">
        <v>1033</v>
      </c>
      <c r="G154" s="341" t="s">
        <v>1397</v>
      </c>
      <c r="H154" s="341" t="s">
        <v>1398</v>
      </c>
      <c r="I154" s="341" t="s">
        <v>18336</v>
      </c>
      <c r="J154" s="341" t="s">
        <v>18337</v>
      </c>
      <c r="K154" s="341" t="s">
        <v>18338</v>
      </c>
      <c r="L154" s="341" t="str">
        <f t="shared" si="19"/>
        <v>PUNTUACIÓN
Puntos que va a tener cada pregunta. Por defecto MOODLE pone uno, se puede modificar el valor cuando se crea el cuestionario.</v>
      </c>
      <c r="M154" s="226" t="s">
        <v>117</v>
      </c>
    </row>
    <row r="155" spans="1:13" outlineLevel="1" x14ac:dyDescent="0.25">
      <c r="A155" s="413" t="str">
        <f t="shared" si="21"/>
        <v>Z_PENALIZACION_?_</v>
      </c>
      <c r="B155" s="413" t="str">
        <f t="shared" si="20"/>
        <v>?</v>
      </c>
      <c r="C155" s="413" t="s">
        <v>261</v>
      </c>
      <c r="D155" s="594"/>
      <c r="E155" s="342" t="str">
        <f>IFERROR(IF(D155&lt;&gt;"",D155,HLOOKUP($E$2,$F$2:K155,ROW(D155)-1,0)),F155)</f>
        <v>PENALIZACIÓN DEL INTENTO
Penalización para sucesivos intentos. Si no quieres penalizar las respuestas incorrectas, lo puedes configurar en el cuestionario.</v>
      </c>
      <c r="F155" s="342" t="s">
        <v>1034</v>
      </c>
      <c r="G155" s="342" t="s">
        <v>1036</v>
      </c>
      <c r="H155" s="342" t="s">
        <v>18339</v>
      </c>
      <c r="I155" s="342" t="s">
        <v>18340</v>
      </c>
      <c r="J155" s="342" t="s">
        <v>18341</v>
      </c>
      <c r="K155" s="342" t="s">
        <v>18342</v>
      </c>
      <c r="L155" s="342" t="str">
        <f t="shared" si="19"/>
        <v>PENALIZACIÓN DEL INTENTO
Penalización para sucesivos intentos. Si no quieres penalizar las respuestas incorrectas, lo puedes configurar en el cuestionario.</v>
      </c>
      <c r="M155" s="226" t="s">
        <v>117</v>
      </c>
    </row>
    <row r="156" spans="1:13" outlineLevel="1" x14ac:dyDescent="0.25">
      <c r="A156" s="412" t="str">
        <f t="shared" si="21"/>
        <v>Z_Oculto_?_</v>
      </c>
      <c r="B156" s="412" t="str">
        <f t="shared" si="20"/>
        <v>?</v>
      </c>
      <c r="C156" s="412" t="s">
        <v>262</v>
      </c>
      <c r="D156" s="593"/>
      <c r="E156" s="341" t="str">
        <f>IFERROR(IF(D156&lt;&gt;"",D156,HLOOKUP($E$2,$F$2:K156,ROW(D156)-1,0)),F156)</f>
        <v>OCULTO 
Valor para visible y oculto, por defecto hay que poner 0.</v>
      </c>
      <c r="F156" s="341" t="s">
        <v>434</v>
      </c>
      <c r="G156" s="341" t="s">
        <v>1035</v>
      </c>
      <c r="H156" s="341" t="s">
        <v>438</v>
      </c>
      <c r="I156" s="341" t="s">
        <v>439</v>
      </c>
      <c r="J156" s="341" t="s">
        <v>453</v>
      </c>
      <c r="K156" s="341" t="s">
        <v>974</v>
      </c>
      <c r="L156" s="341" t="str">
        <f t="shared" si="19"/>
        <v>OCULTO 
Valor para visible y oculto, por defecto hay que poner 0.</v>
      </c>
      <c r="M156" s="226" t="s">
        <v>117</v>
      </c>
    </row>
    <row r="157" spans="1:13" outlineLevel="1" x14ac:dyDescent="0.25">
      <c r="A157" s="413" t="str">
        <f t="shared" si="21"/>
        <v>Z_Marcar_RI_?_</v>
      </c>
      <c r="B157" s="413" t="str">
        <f t="shared" si="20"/>
        <v>?</v>
      </c>
      <c r="C157" s="413" t="s">
        <v>1519</v>
      </c>
      <c r="D157" s="594"/>
      <c r="E157" s="342" t="str">
        <f>IFERROR(IF(D157&lt;&gt;"",D157,HLOOKUP($E$2,$F$2:K157,ROW(D157)-1,0)),F157)</f>
        <v>MARCAR RESPUESTAS NO CORRECTAS
Con esta opción, es posible marcar las respuestas que se piense que no son correctas, para ir descartándolas.</v>
      </c>
      <c r="F157" s="342" t="s">
        <v>1520</v>
      </c>
      <c r="G157" s="342" t="s">
        <v>1626</v>
      </c>
      <c r="H157" s="342" t="s">
        <v>1627</v>
      </c>
      <c r="I157" s="342" t="s">
        <v>1521</v>
      </c>
      <c r="J157" s="342" t="s">
        <v>1523</v>
      </c>
      <c r="K157" s="342" t="s">
        <v>1522</v>
      </c>
      <c r="L157" s="342" t="str">
        <f t="shared" si="19"/>
        <v>MARCAR RESPUESTAS NO CORRECTAS
Con esta opción, es posible marcar las respuestas que se piense que no son correctas, para ir descartándolas.</v>
      </c>
      <c r="M157" s="226" t="s">
        <v>117</v>
      </c>
    </row>
    <row r="158" spans="1:13" x14ac:dyDescent="0.25">
      <c r="A158" s="411" t="str">
        <f>"Z_"&amp;C158&amp;"_?_"&amp;$A$2</f>
        <v>Z_??_?_</v>
      </c>
      <c r="B158" s="411" t="s">
        <v>138</v>
      </c>
      <c r="C158" s="411" t="s">
        <v>263</v>
      </c>
      <c r="D158" s="576"/>
      <c r="E158" s="340" t="str">
        <f>IFERROR(IF(D158&lt;&gt;"",D158,HLOOKUP($E$2,$F$2:K158,ROW(D158)-1,0)),F158)</f>
        <v>AYUDA FORMULARIOS</v>
      </c>
      <c r="F158" s="340" t="s">
        <v>513</v>
      </c>
      <c r="G158" s="340" t="s">
        <v>1399</v>
      </c>
      <c r="H158" s="340" t="s">
        <v>514</v>
      </c>
      <c r="I158" s="340" t="s">
        <v>515</v>
      </c>
      <c r="J158" s="340" t="s">
        <v>516</v>
      </c>
      <c r="K158" s="340" t="s">
        <v>975</v>
      </c>
      <c r="L158" s="340" t="str">
        <f t="shared" si="19"/>
        <v>AYUDA FORMULARIOS</v>
      </c>
      <c r="M158" s="226" t="s">
        <v>117</v>
      </c>
    </row>
    <row r="159" spans="1:13" outlineLevel="1" x14ac:dyDescent="0.25">
      <c r="A159" s="412" t="str">
        <f t="shared" ref="A159:A167" si="22">"Z_"&amp;C159&amp;"_?_"&amp;$A$2</f>
        <v>Z_L5_?_</v>
      </c>
      <c r="B159" s="412" t="str">
        <f t="shared" ref="B159:B177" si="23">B158</f>
        <v>?</v>
      </c>
      <c r="C159" s="412" t="s">
        <v>567</v>
      </c>
      <c r="D159" s="593"/>
      <c r="E159" s="341" t="str">
        <f>IFERROR(IF(D159&lt;&gt;"",D159,HLOOKUP($E$2,$F$2:K159,ROW(D159)-1,0)),F159)</f>
        <v>Nº PREGUNTA:
Número de la PREGUNTA que se está consultando. 
Si quieres que el primer número de este banco de preguntas sea mayor (11, 21, 31, …, 101, 201, 301, ...) incrementa el rango en la casilla Nº INICIAL del BANCO de PREGUNTAS.</v>
      </c>
      <c r="F159" s="341" t="s">
        <v>1400</v>
      </c>
      <c r="G159" s="341" t="s">
        <v>1401</v>
      </c>
      <c r="H159" s="341" t="s">
        <v>18343</v>
      </c>
      <c r="I159" s="341" t="s">
        <v>18345</v>
      </c>
      <c r="J159" s="341" t="s">
        <v>18344</v>
      </c>
      <c r="K159" s="341" t="s">
        <v>18346</v>
      </c>
      <c r="L159" s="341" t="str">
        <f t="shared" si="19"/>
        <v>Nº PREGUNTA:
Número de la PREGUNTA que se está consultando. 
Si quieres que el primer número de este banco de preguntas sea mayor (11, 21, 31, …, 101, 201, 301, ...) incrementa el rango en la casilla Nº INICIAL del BANCO de PREGUNTAS.</v>
      </c>
      <c r="M159" s="226" t="s">
        <v>117</v>
      </c>
    </row>
    <row r="160" spans="1:13" outlineLevel="1" x14ac:dyDescent="0.25">
      <c r="A160" s="413" t="str">
        <f t="shared" si="22"/>
        <v>Z_U7_?_</v>
      </c>
      <c r="B160" s="413" t="str">
        <f t="shared" si="23"/>
        <v>?</v>
      </c>
      <c r="C160" s="413" t="s">
        <v>872</v>
      </c>
      <c r="D160" s="594"/>
      <c r="E160" s="342" t="str">
        <f>IFERROR(IF(D160&lt;&gt;"",D160,HLOOKUP($E$2,$F$2:K160,ROW(D160)-1,0)),F160)</f>
        <v>Nº PREGUNTAS CORRECTAS:
Para el caso de Opción Múltiple donde haya más de una respuesta correcta, indicar cuántas respuestas correctas tiene esta pregunta.
Puede ser diferente para cada pregunta de un mismo banco de preguntas.</v>
      </c>
      <c r="F160" s="342" t="s">
        <v>1063</v>
      </c>
      <c r="G160" s="342" t="s">
        <v>1037</v>
      </c>
      <c r="H160" s="342" t="s">
        <v>18347</v>
      </c>
      <c r="I160" s="342" t="s">
        <v>18348</v>
      </c>
      <c r="J160" s="342" t="s">
        <v>18349</v>
      </c>
      <c r="K160" s="342" t="s">
        <v>18350</v>
      </c>
      <c r="L160" s="342" t="str">
        <f t="shared" si="19"/>
        <v>Nº PREGUNTAS CORRECTAS:
Para el caso de Opción Múltiple donde haya más de una respuesta correcta, indicar cuántas respuestas correctas tiene esta pregunta.
Puede ser diferente para cada pregunta de un mismo banco de preguntas.</v>
      </c>
      <c r="M160" s="226" t="s">
        <v>117</v>
      </c>
    </row>
    <row r="161" spans="1:13" outlineLevel="1" x14ac:dyDescent="0.25">
      <c r="A161" s="412" t="str">
        <f t="shared" si="22"/>
        <v>Z_Q17_?_</v>
      </c>
      <c r="B161" s="412" t="str">
        <f t="shared" si="23"/>
        <v>?</v>
      </c>
      <c r="C161" s="412" t="s">
        <v>1064</v>
      </c>
      <c r="D161" s="593"/>
      <c r="E161" s="341" t="str">
        <f>IFERROR(IF(D161&lt;&gt;"",D161,HLOOKUP($E$2,$F$2:K161,ROW(D161)-1,0)),F161)</f>
        <v>PUNTOS POR CADA RESPUESTA:
La puntuación que tendrá cada respuesta de la izquierda. Puedes escribirlo a mano o seleccionar un valor de la lista desplegable.
Si hay más de una respuesta correcta, la suma total debe ser 100.</v>
      </c>
      <c r="F161" s="341" t="s">
        <v>1065</v>
      </c>
      <c r="G161" s="341" t="s">
        <v>1402</v>
      </c>
      <c r="H161" s="341" t="s">
        <v>1403</v>
      </c>
      <c r="I161" s="341" t="s">
        <v>1067</v>
      </c>
      <c r="J161" s="341" t="s">
        <v>1068</v>
      </c>
      <c r="K161" s="341" t="s">
        <v>1066</v>
      </c>
      <c r="L161" s="341" t="str">
        <f t="shared" si="19"/>
        <v>PUNTOS POR CADA RESPUESTA:
La puntuación que tendrá cada respuesta de la izquierda. Puedes escribirlo a mano o seleccionar un valor de la lista desplegable.
Si hay más de una respuesta correcta, la suma total debe ser 100.</v>
      </c>
      <c r="M161" s="226" t="s">
        <v>117</v>
      </c>
    </row>
    <row r="162" spans="1:13" outlineLevel="1" x14ac:dyDescent="0.25">
      <c r="A162" s="412" t="str">
        <f t="shared" si="22"/>
        <v>Z_Q9_?_</v>
      </c>
      <c r="B162" s="412" t="str">
        <f>B161</f>
        <v>?</v>
      </c>
      <c r="C162" s="412" t="s">
        <v>1324</v>
      </c>
      <c r="D162" s="575"/>
      <c r="E162" s="341" t="str">
        <f>IFERROR(IF(D162&lt;&gt;"",D162,HLOOKUP($E$2,$F$2:K162,ROW(D162)-1,0)),F162)</f>
        <v>Número de caracteres para que TODAS las Respuestas Cortas tengan el mismo ANCHO.</v>
      </c>
      <c r="F162" s="341" t="s">
        <v>1291</v>
      </c>
      <c r="G162" s="341" t="s">
        <v>1292</v>
      </c>
      <c r="H162" s="341" t="s">
        <v>1293</v>
      </c>
      <c r="I162" s="341" t="s">
        <v>1294</v>
      </c>
      <c r="J162" s="341" t="s">
        <v>1295</v>
      </c>
      <c r="K162" s="341" t="s">
        <v>1296</v>
      </c>
      <c r="L162" s="341" t="str">
        <f t="shared" si="19"/>
        <v>Número de caracteres para que TODAS las Respuestas Cortas tengan el mismo ANCHO.</v>
      </c>
      <c r="M162" s="226" t="s">
        <v>117</v>
      </c>
    </row>
    <row r="163" spans="1:13" outlineLevel="1" x14ac:dyDescent="0.25">
      <c r="A163" s="413" t="str">
        <f t="shared" si="22"/>
        <v>Z_H9_?_</v>
      </c>
      <c r="B163" s="413" t="str">
        <f t="shared" si="23"/>
        <v>?</v>
      </c>
      <c r="C163" s="413" t="s">
        <v>568</v>
      </c>
      <c r="D163" s="594"/>
      <c r="E163" s="342" t="str">
        <f>IFERROR(IF(D163&lt;&gt;"",D163,HLOOKUP($E$2,$F$2:K163,ROW(D163)-1,0)),F163)</f>
        <v>DESCRIPCIÓN:
Escribe lo que quieras que aparezca en el NOMBRE de la pregunta. 
Se formará con el PREFIJO puesto en Datos Generales + el número de la pregunta + la Descripción.
El número de la pregunta aparece cuando está marcada la casilla de la derecha.</v>
      </c>
      <c r="F163" s="342" t="s">
        <v>1213</v>
      </c>
      <c r="G163" s="342" t="s">
        <v>18351</v>
      </c>
      <c r="H163" s="342" t="s">
        <v>18352</v>
      </c>
      <c r="I163" s="342" t="s">
        <v>18353</v>
      </c>
      <c r="J163" s="342" t="s">
        <v>18354</v>
      </c>
      <c r="K163" s="342" t="s">
        <v>18355</v>
      </c>
      <c r="L163" s="342" t="str">
        <f t="shared" si="19"/>
        <v>DESCRIPCIÓN:
Escribe lo que quieras que aparezca en el NOMBRE de la pregunta. 
Se formará con el PREFIJO puesto en Datos Generales + el número de la pregunta + la Descripción.
El número de la pregunta aparece cuando está marcada la casilla de la derecha.</v>
      </c>
      <c r="M163" s="226" t="s">
        <v>117</v>
      </c>
    </row>
    <row r="164" spans="1:13" outlineLevel="1" x14ac:dyDescent="0.25">
      <c r="A164" s="412" t="str">
        <f t="shared" si="22"/>
        <v>Z_H11_?_</v>
      </c>
      <c r="B164" s="412" t="str">
        <f t="shared" si="23"/>
        <v>?</v>
      </c>
      <c r="C164" s="412" t="s">
        <v>569</v>
      </c>
      <c r="D164" s="593"/>
      <c r="E164" s="341" t="str">
        <f>IFERROR(IF(D164&lt;&gt;"",D164,HLOOKUP($E$2,$F$2:K164,ROW(D164)-1,0)),F164)</f>
        <v>ENUNCIADO DE LA PREGUNTA (HTML):
Escribe el enunciado de la pregunta. 
Si quieres poner CÓDIGOS ESPECIALES, pincha F2 o haz "clic" dos veces con el ratón o usa el Editor Moodle.</v>
      </c>
      <c r="F164" s="341" t="s">
        <v>1524</v>
      </c>
      <c r="G164" s="341" t="s">
        <v>18356</v>
      </c>
      <c r="H164" s="341" t="s">
        <v>18357</v>
      </c>
      <c r="I164" s="341" t="s">
        <v>18358</v>
      </c>
      <c r="J164" s="341" t="s">
        <v>18359</v>
      </c>
      <c r="K164" s="341" t="s">
        <v>18360</v>
      </c>
      <c r="L164" s="341" t="str">
        <f t="shared" si="19"/>
        <v>ENUNCIADO DE LA PREGUNTA (HTML):
Escribe el enunciado de la pregunta. 
Si quieres poner CÓDIGOS ESPECIALES, pincha F2 o haz "clic" dos veces con el ratón o usa el Editor Moodle.</v>
      </c>
      <c r="M164" s="226" t="s">
        <v>117</v>
      </c>
    </row>
    <row r="165" spans="1:13" outlineLevel="1" x14ac:dyDescent="0.25">
      <c r="A165" s="413" t="str">
        <f t="shared" si="22"/>
        <v>Z_H17_?_</v>
      </c>
      <c r="B165" s="413" t="str">
        <f t="shared" si="23"/>
        <v>?</v>
      </c>
      <c r="C165" s="413" t="s">
        <v>870</v>
      </c>
      <c r="D165" s="594"/>
      <c r="E165" s="342" t="str">
        <f>IFERROR(IF(D165&lt;&gt;"",D165,HLOOKUP($E$2,$F$2:K165,ROW(D165)-1,0)),F165)</f>
        <v xml:space="preserve">RESPUESTAS (HTML):
Escribe la respuesta que deseas que aparezca en esta opción, debes asegurarte de darle la puntuación adecuada en la casilla de la derecha. </v>
      </c>
      <c r="F165" s="342" t="s">
        <v>1475</v>
      </c>
      <c r="G165" s="342" t="s">
        <v>18361</v>
      </c>
      <c r="H165" s="342" t="s">
        <v>1476</v>
      </c>
      <c r="I165" s="342" t="s">
        <v>1477</v>
      </c>
      <c r="J165" s="342" t="s">
        <v>1478</v>
      </c>
      <c r="K165" s="342" t="s">
        <v>1479</v>
      </c>
      <c r="L165" s="342" t="str">
        <f t="shared" si="19"/>
        <v xml:space="preserve">RESPUESTAS (HTML):
Escribe la respuesta que deseas que aparezca en esta opción, debes asegurarte de darle la puntuación adecuada en la casilla de la derecha. </v>
      </c>
      <c r="M165" s="226" t="s">
        <v>117</v>
      </c>
    </row>
    <row r="166" spans="1:13" outlineLevel="1" x14ac:dyDescent="0.25">
      <c r="A166" s="412" t="str">
        <f t="shared" si="22"/>
        <v>Z_T17_?_</v>
      </c>
      <c r="B166" s="412" t="str">
        <f t="shared" si="23"/>
        <v>?</v>
      </c>
      <c r="C166" s="412" t="s">
        <v>871</v>
      </c>
      <c r="D166" s="591"/>
      <c r="E166" s="341" t="str">
        <f>IFERROR(IF(D166&lt;&gt;"",D166,HLOOKUP($E$2,$F$2:K166,ROW(D166)-1,0)),F166)</f>
        <v>RETROALIMENTACIÓN (HTML):
Escribe el comentario que quieres que aparezca para cada respuesta.</v>
      </c>
      <c r="F166" s="341" t="s">
        <v>1480</v>
      </c>
      <c r="G166" s="341" t="s">
        <v>18362</v>
      </c>
      <c r="H166" s="341" t="s">
        <v>18363</v>
      </c>
      <c r="I166" s="341" t="s">
        <v>18364</v>
      </c>
      <c r="J166" s="341" t="s">
        <v>18365</v>
      </c>
      <c r="K166" s="341" t="s">
        <v>18366</v>
      </c>
      <c r="L166" s="341" t="str">
        <f t="shared" si="19"/>
        <v>RETROALIMENTACIÓN (HTML):
Escribe el comentario que quieres que aparezca para cada respuesta.</v>
      </c>
      <c r="M166" s="226" t="s">
        <v>117</v>
      </c>
    </row>
    <row r="167" spans="1:13" outlineLevel="1" x14ac:dyDescent="0.25">
      <c r="A167" s="413" t="str">
        <f t="shared" si="22"/>
        <v>Z_G33_?_</v>
      </c>
      <c r="B167" s="413" t="str">
        <f t="shared" si="23"/>
        <v>?</v>
      </c>
      <c r="C167" s="413" t="s">
        <v>869</v>
      </c>
      <c r="D167" s="594"/>
      <c r="E167" s="342" t="str">
        <f>IFERROR(IF(D167&lt;&gt;"",D167,HLOOKUP($E$2,$F$2:K167,ROW(D167)-1,0)),F167)</f>
        <v>PISTAS (HTML):
Comentario que aparece si configuras MOODLE para que pueda dar pistas cuando se permita hacer más de un intento.</v>
      </c>
      <c r="F167" s="342" t="s">
        <v>1481</v>
      </c>
      <c r="G167" s="342" t="s">
        <v>18367</v>
      </c>
      <c r="H167" s="342" t="s">
        <v>18368</v>
      </c>
      <c r="I167" s="342" t="s">
        <v>18369</v>
      </c>
      <c r="J167" s="342" t="s">
        <v>18370</v>
      </c>
      <c r="K167" s="342" t="s">
        <v>18371</v>
      </c>
      <c r="L167" s="342" t="str">
        <f t="shared" si="19"/>
        <v>PISTAS (HTML):
Comentario que aparece si configuras MOODLE para que pueda dar pistas cuando se permita hacer más de un intento.</v>
      </c>
      <c r="M167" s="226" t="s">
        <v>117</v>
      </c>
    </row>
    <row r="168" spans="1:13" outlineLevel="1" x14ac:dyDescent="0.25">
      <c r="A168" s="412" t="str">
        <f t="shared" ref="A168:A176" si="24">"Z_"&amp;C168&amp;"_?_"&amp;$A$2</f>
        <v>Z_P_01_1_?_</v>
      </c>
      <c r="B168" s="412" t="str">
        <f t="shared" si="23"/>
        <v>?</v>
      </c>
      <c r="C168" s="412" t="s">
        <v>570</v>
      </c>
      <c r="D168" s="591"/>
      <c r="E168" s="341" t="str">
        <f>IFERROR(IF(D168&lt;&gt;"",D168,HLOOKUP($E$2,$F$2:K168,ROW(D168)-1,0)),F168)</f>
        <v>G1 - PAREJA (HTML):
Primer elemento de la pareja.</v>
      </c>
      <c r="F168" s="341" t="s">
        <v>18373</v>
      </c>
      <c r="G168" s="341" t="s">
        <v>18375</v>
      </c>
      <c r="H168" s="341" t="s">
        <v>18376</v>
      </c>
      <c r="I168" s="341" t="s">
        <v>18377</v>
      </c>
      <c r="J168" s="341" t="s">
        <v>18378</v>
      </c>
      <c r="K168" s="341" t="s">
        <v>18372</v>
      </c>
      <c r="L168" s="341" t="str">
        <f t="shared" si="19"/>
        <v>G1 - PAREJA (HTML):
Primer elemento de la pareja.</v>
      </c>
      <c r="M168" s="226" t="s">
        <v>117</v>
      </c>
    </row>
    <row r="169" spans="1:13" outlineLevel="1" x14ac:dyDescent="0.25">
      <c r="A169" s="413" t="str">
        <f t="shared" si="24"/>
        <v>Z_P_01_2_?_</v>
      </c>
      <c r="B169" s="413" t="str">
        <f t="shared" si="23"/>
        <v>?</v>
      </c>
      <c r="C169" s="413" t="s">
        <v>571</v>
      </c>
      <c r="D169" s="592"/>
      <c r="E169" s="342" t="str">
        <f>IFERROR(IF(D169&lt;&gt;"",D169,HLOOKUP($E$2,$F$2:K169,ROW(D169)-1,0)),F169)</f>
        <v>G2 - PAREJA (Texto Plano):
Segundo elemento de la pareja.</v>
      </c>
      <c r="F169" s="342" t="s">
        <v>18374</v>
      </c>
      <c r="G169" s="342" t="s">
        <v>18379</v>
      </c>
      <c r="H169" s="342" t="s">
        <v>18380</v>
      </c>
      <c r="I169" s="342" t="s">
        <v>18381</v>
      </c>
      <c r="J169" s="342" t="s">
        <v>18382</v>
      </c>
      <c r="K169" s="342" t="s">
        <v>18383</v>
      </c>
      <c r="L169" s="342" t="str">
        <f t="shared" si="19"/>
        <v>G2 - PAREJA (Texto Plano):
Segundo elemento de la pareja.</v>
      </c>
      <c r="M169" s="226" t="s">
        <v>117</v>
      </c>
    </row>
    <row r="170" spans="1:13" outlineLevel="1" x14ac:dyDescent="0.25">
      <c r="A170" s="412" t="str">
        <f t="shared" si="24"/>
        <v>Z_RC_1_?_</v>
      </c>
      <c r="B170" s="412" t="str">
        <f t="shared" si="23"/>
        <v>?</v>
      </c>
      <c r="C170" s="412" t="s">
        <v>572</v>
      </c>
      <c r="D170" s="593"/>
      <c r="E170" s="341" t="str">
        <f>IFERROR(IF(D170&lt;&gt;"",D170,HLOOKUP($E$2,$F$2:K170,ROW(D170)-1,0)),F170)</f>
        <v>RESPUESTA (Texto Plano):
Posible respuesta corta.
Se usará '*' como comodín para cualquier carácter.
La primera respuesta que coincida se usará para determinar la puntuación y la retroalimentación.</v>
      </c>
      <c r="F170" s="341" t="s">
        <v>1510</v>
      </c>
      <c r="G170" s="341" t="s">
        <v>18384</v>
      </c>
      <c r="H170" s="341" t="s">
        <v>18385</v>
      </c>
      <c r="I170" s="341" t="s">
        <v>18386</v>
      </c>
      <c r="J170" s="341" t="s">
        <v>18387</v>
      </c>
      <c r="K170" s="341" t="s">
        <v>18388</v>
      </c>
      <c r="L170" s="341" t="str">
        <f t="shared" si="19"/>
        <v>RESPUESTA (Texto Plano):
Posible respuesta corta.
Se usará '*' como comodín para cualquier carácter.
La primera respuesta que coincida se usará para determinar la puntuación y la retroalimentación.</v>
      </c>
      <c r="M170" s="226" t="s">
        <v>117</v>
      </c>
    </row>
    <row r="171" spans="1:13" outlineLevel="1" x14ac:dyDescent="0.25">
      <c r="A171" s="413" t="str">
        <f t="shared" si="24"/>
        <v>Z_P_RC_1_?_</v>
      </c>
      <c r="B171" s="413" t="str">
        <f t="shared" si="23"/>
        <v>?</v>
      </c>
      <c r="C171" s="413" t="s">
        <v>573</v>
      </c>
      <c r="D171" s="592"/>
      <c r="E171" s="342" t="str">
        <f>IFERROR(IF(D171&lt;&gt;"",D171,HLOOKUP($E$2,$F$2:K171,ROW(D171)-1,0)),F171)</f>
        <v>PUNTOS:
Puntos para esta respuesta.</v>
      </c>
      <c r="F171" s="342" t="s">
        <v>1038</v>
      </c>
      <c r="G171" s="342" t="s">
        <v>18389</v>
      </c>
      <c r="H171" s="342" t="s">
        <v>18390</v>
      </c>
      <c r="I171" s="342" t="s">
        <v>18391</v>
      </c>
      <c r="J171" s="342" t="s">
        <v>18392</v>
      </c>
      <c r="K171" s="342" t="s">
        <v>18393</v>
      </c>
      <c r="L171" s="342" t="str">
        <f t="shared" si="19"/>
        <v>PUNTOS:
Puntos para esta respuesta.</v>
      </c>
      <c r="M171" s="226" t="s">
        <v>117</v>
      </c>
    </row>
    <row r="172" spans="1:13" outlineLevel="1" x14ac:dyDescent="0.25">
      <c r="A172" s="412" t="str">
        <f t="shared" si="24"/>
        <v>Z_R_RC_1_?_</v>
      </c>
      <c r="B172" s="412" t="str">
        <f t="shared" si="23"/>
        <v>?</v>
      </c>
      <c r="C172" s="412" t="s">
        <v>574</v>
      </c>
      <c r="D172" s="591"/>
      <c r="E172" s="341" t="str">
        <f>IFERROR(IF(D172&lt;&gt;"",D172,HLOOKUP($E$2,$F$2:K172,ROW(D172)-1,0)),F172)</f>
        <v>RETROALIMENTACIÓN (HTML):
Mensaje que aparece si se selecciona esta respuesta.</v>
      </c>
      <c r="F172" s="341" t="s">
        <v>1482</v>
      </c>
      <c r="G172" s="341" t="s">
        <v>18394</v>
      </c>
      <c r="H172" s="341" t="s">
        <v>18395</v>
      </c>
      <c r="I172" s="341" t="s">
        <v>18396</v>
      </c>
      <c r="J172" s="341" t="s">
        <v>18397</v>
      </c>
      <c r="K172" s="341" t="s">
        <v>18398</v>
      </c>
      <c r="L172" s="341" t="str">
        <f t="shared" si="19"/>
        <v>RETROALIMENTACIÓN (HTML):
Mensaje que aparece si se selecciona esta respuesta.</v>
      </c>
      <c r="M172" s="226" t="s">
        <v>117</v>
      </c>
    </row>
    <row r="173" spans="1:13" outlineLevel="1" x14ac:dyDescent="0.25">
      <c r="A173" s="413" t="str">
        <f t="shared" si="24"/>
        <v>Z_MAYUSCULAS_?_</v>
      </c>
      <c r="B173" s="413" t="str">
        <f t="shared" si="23"/>
        <v>?</v>
      </c>
      <c r="C173" s="413" t="s">
        <v>575</v>
      </c>
      <c r="D173" s="594"/>
      <c r="E173" s="342" t="str">
        <f>IFERROR(IF(D173&lt;&gt;"",D173,HLOOKUP($E$2,$F$2:K173,ROW(D173)-1,0)),F173)</f>
        <v>COINCIDENCIA:
Si quieres que tengan que coincidir las MAYÚSCULAS pon 1.</v>
      </c>
      <c r="F173" s="342" t="s">
        <v>1404</v>
      </c>
      <c r="G173" s="342" t="s">
        <v>18399</v>
      </c>
      <c r="H173" s="342" t="s">
        <v>18400</v>
      </c>
      <c r="I173" s="342" t="s">
        <v>18401</v>
      </c>
      <c r="J173" s="342" t="s">
        <v>18402</v>
      </c>
      <c r="K173" s="342" t="s">
        <v>976</v>
      </c>
      <c r="L173" s="342" t="str">
        <f t="shared" si="19"/>
        <v>COINCIDENCIA:
Si quieres que tengan que coincidir las MAYÚSCULAS pon 1.</v>
      </c>
      <c r="M173" s="226" t="s">
        <v>117</v>
      </c>
    </row>
    <row r="174" spans="1:13" outlineLevel="1" x14ac:dyDescent="0.25">
      <c r="A174" s="412" t="str">
        <f t="shared" si="24"/>
        <v>Z_Enun_PP_?_</v>
      </c>
      <c r="B174" s="412" t="str">
        <f t="shared" si="23"/>
        <v>?</v>
      </c>
      <c r="C174" s="412" t="s">
        <v>578</v>
      </c>
      <c r="D174" s="591"/>
      <c r="E174" s="341" t="str">
        <f>IFERROR(IF(D174&lt;&gt;"",D174,HLOOKUP($E$2,$F$2:K174,ROW(D174)-1,0)),F174)</f>
        <v>ENUNCIADO DE LA PREGUNTA (HTML):
Escribe el enunciado de la pregunta. 
Entre [[ ]] debes escribir el número de la palabra correspondiente a ese hueco.</v>
      </c>
      <c r="F174" s="341" t="s">
        <v>1483</v>
      </c>
      <c r="G174" s="341" t="s">
        <v>18403</v>
      </c>
      <c r="H174" s="341" t="s">
        <v>18404</v>
      </c>
      <c r="I174" s="341" t="s">
        <v>18405</v>
      </c>
      <c r="J174" s="341" t="s">
        <v>18406</v>
      </c>
      <c r="K174" s="341" t="s">
        <v>18407</v>
      </c>
      <c r="L174" s="341" t="str">
        <f t="shared" si="19"/>
        <v>ENUNCIADO DE LA PREGUNTA (HTML):
Escribe el enunciado de la pregunta. 
Entre [[ ]] debes escribir el número de la palabra correspondiente a ese hueco.</v>
      </c>
      <c r="M174" s="226" t="s">
        <v>117</v>
      </c>
    </row>
    <row r="175" spans="1:13" outlineLevel="1" x14ac:dyDescent="0.25">
      <c r="A175" s="413" t="str">
        <f t="shared" si="24"/>
        <v>Z_PP_01_1_?_</v>
      </c>
      <c r="B175" s="413" t="str">
        <f t="shared" si="23"/>
        <v>?</v>
      </c>
      <c r="C175" s="413" t="s">
        <v>576</v>
      </c>
      <c r="D175" s="592"/>
      <c r="E175" s="342" t="str">
        <f>IFERROR(IF(D175&lt;&gt;"",D175,HLOOKUP($E$2,$F$2:K175,ROW(D175)-1,0)),F175)</f>
        <v>GRUPO DE PALABRA:
Nº del grupo para esta palabra.</v>
      </c>
      <c r="F175" s="342" t="s">
        <v>1039</v>
      </c>
      <c r="G175" s="342" t="s">
        <v>18408</v>
      </c>
      <c r="H175" s="342" t="s">
        <v>18409</v>
      </c>
      <c r="I175" s="342" t="s">
        <v>18676</v>
      </c>
      <c r="J175" s="342" t="s">
        <v>18410</v>
      </c>
      <c r="K175" s="342" t="s">
        <v>18411</v>
      </c>
      <c r="L175" s="342" t="str">
        <f t="shared" si="19"/>
        <v>GRUPO DE PALABRA:
Nº del grupo para esta palabra.</v>
      </c>
      <c r="M175" s="226" t="s">
        <v>117</v>
      </c>
    </row>
    <row r="176" spans="1:13" outlineLevel="1" x14ac:dyDescent="0.25">
      <c r="A176" s="412" t="str">
        <f t="shared" si="24"/>
        <v>Z_PP_01_2_?_</v>
      </c>
      <c r="B176" s="412" t="str">
        <f t="shared" si="23"/>
        <v>?</v>
      </c>
      <c r="C176" s="412" t="s">
        <v>577</v>
      </c>
      <c r="D176" s="591"/>
      <c r="E176" s="341" t="str">
        <f>IFERROR(IF(D176&lt;&gt;"",D176,HLOOKUP($E$2,$F$2:K176,ROW(D176)-1,0)),F176)</f>
        <v>PALABRA (Texto plano):
Palabra perdida que se listará en el grupo asignado.</v>
      </c>
      <c r="F176" s="341" t="s">
        <v>1484</v>
      </c>
      <c r="G176" s="341" t="s">
        <v>18412</v>
      </c>
      <c r="H176" s="341" t="s">
        <v>18413</v>
      </c>
      <c r="I176" s="341" t="s">
        <v>18414</v>
      </c>
      <c r="J176" s="341" t="s">
        <v>18415</v>
      </c>
      <c r="K176" s="341" t="s">
        <v>1485</v>
      </c>
      <c r="L176" s="341" t="str">
        <f t="shared" si="19"/>
        <v>PALABRA (Texto plano):
Palabra perdida que se listará en el grupo asignado.</v>
      </c>
      <c r="M176" s="226" t="s">
        <v>117</v>
      </c>
    </row>
    <row r="177" spans="1:13" outlineLevel="1" x14ac:dyDescent="0.25">
      <c r="A177" s="413" t="str">
        <f t="shared" ref="A177:A188" si="25">"Z_"&amp;C177&amp;"_?_"&amp;$A$2</f>
        <v>Z_Q7_?_</v>
      </c>
      <c r="B177" s="413" t="str">
        <f t="shared" si="23"/>
        <v>?</v>
      </c>
      <c r="C177" s="413" t="s">
        <v>1290</v>
      </c>
      <c r="D177" s="594"/>
      <c r="E177" s="342" t="str">
        <f>IFERROR(IF(D177&lt;&gt;"",D177,HLOOKUP($E$2,$F$2:K177,ROW(D177)-1,0)),F177)</f>
        <v>IMAGEN:
Si se quiere incluir una imagen antes del enunciado, poner aquí el código para incrustar la imagen.
          &lt;img src="https://….     /&gt; 
Está incluido un salto de línea.</v>
      </c>
      <c r="F177" s="342" t="s">
        <v>1405</v>
      </c>
      <c r="G177" s="342" t="s">
        <v>1406</v>
      </c>
      <c r="H177" s="342" t="s">
        <v>18416</v>
      </c>
      <c r="I177" s="342" t="s">
        <v>1325</v>
      </c>
      <c r="J177" s="342" t="s">
        <v>1326</v>
      </c>
      <c r="K177" s="342" t="s">
        <v>1327</v>
      </c>
      <c r="L177" s="342" t="str">
        <f t="shared" si="19"/>
        <v>IMAGEN:
Si se quiere incluir una imagen antes del enunciado, poner aquí el código para incrustar la imagen.
          &lt;img src="https://….     /&gt; 
Está incluido un salto de línea.</v>
      </c>
      <c r="M177" s="226" t="s">
        <v>117</v>
      </c>
    </row>
    <row r="178" spans="1:13" outlineLevel="1" x14ac:dyDescent="0.25">
      <c r="A178" s="412" t="str">
        <f t="shared" si="25"/>
        <v>Z_RC_VF_?_</v>
      </c>
      <c r="B178" s="412" t="str">
        <f>B174</f>
        <v>?</v>
      </c>
      <c r="C178" s="412" t="s">
        <v>1544</v>
      </c>
      <c r="D178" s="591"/>
      <c r="E178" s="341" t="str">
        <f>IFERROR(IF(D178&lt;&gt;"",D178,HLOOKUP($E$2,$F$2:K178,ROW(D178)-1,0)),F178)</f>
        <v>RESPUESTA CORRECTA:
Selecciona si la respuesta correcta es VERDADERO O FALSO.</v>
      </c>
      <c r="F178" s="341" t="s">
        <v>18417</v>
      </c>
      <c r="G178" s="341" t="s">
        <v>18418</v>
      </c>
      <c r="H178" s="341" t="s">
        <v>18419</v>
      </c>
      <c r="I178" s="341" t="s">
        <v>18420</v>
      </c>
      <c r="J178" s="341" t="s">
        <v>18421</v>
      </c>
      <c r="K178" s="341" t="s">
        <v>18422</v>
      </c>
      <c r="L178" s="341" t="str">
        <f t="shared" si="19"/>
        <v>RESPUESTA CORRECTA:
Selecciona si la respuesta correcta es VERDADERO O FALSO.</v>
      </c>
      <c r="M178" s="226" t="s">
        <v>117</v>
      </c>
    </row>
    <row r="179" spans="1:13" outlineLevel="1" x14ac:dyDescent="0.25">
      <c r="A179" s="413" t="str">
        <f t="shared" si="25"/>
        <v>Z_RA_1_VF_?_</v>
      </c>
      <c r="B179" s="413" t="str">
        <f>B174</f>
        <v>?</v>
      </c>
      <c r="C179" s="413" t="s">
        <v>1532</v>
      </c>
      <c r="D179" s="592"/>
      <c r="E179" s="342" t="str">
        <f>IFERROR(IF(D179&lt;&gt;"",D179,HLOOKUP($E$2,$F$2:K179,ROW(D179)-1,0)),F179)</f>
        <v>RETROALIMENTACIÓN RESPUESTA CORRECTA (HTML):
Mensaje que aparece si se selecciona la respuesta correcta.</v>
      </c>
      <c r="F179" s="342" t="s">
        <v>1535</v>
      </c>
      <c r="G179" s="342" t="s">
        <v>1536</v>
      </c>
      <c r="H179" s="342" t="s">
        <v>1660</v>
      </c>
      <c r="I179" s="342" t="s">
        <v>1538</v>
      </c>
      <c r="J179" s="342" t="s">
        <v>1540</v>
      </c>
      <c r="K179" s="342" t="s">
        <v>1542</v>
      </c>
      <c r="L179" s="342" t="str">
        <f t="shared" si="19"/>
        <v>RETROALIMENTACIÓN RESPUESTA CORRECTA (HTML):
Mensaje que aparece si se selecciona la respuesta correcta.</v>
      </c>
      <c r="M179" s="226" t="s">
        <v>117</v>
      </c>
    </row>
    <row r="180" spans="1:13" outlineLevel="1" x14ac:dyDescent="0.25">
      <c r="A180" s="412" t="str">
        <f t="shared" si="25"/>
        <v>Z_RA_2_VF_?_</v>
      </c>
      <c r="B180" s="412" t="str">
        <f>B175</f>
        <v>?</v>
      </c>
      <c r="C180" s="412" t="s">
        <v>1533</v>
      </c>
      <c r="D180" s="591"/>
      <c r="E180" s="341" t="str">
        <f>IFERROR(IF(D180&lt;&gt;"",D180,HLOOKUP($E$2,$F$2:K180,ROW(D180)-1,0)),F180)</f>
        <v>RETROALIMENTACIÓN RESPUESTA INCORRECTA (HTML):
Mensaje que aparece si se selecciona la respuesta incorrecta.</v>
      </c>
      <c r="F180" s="341" t="s">
        <v>1534</v>
      </c>
      <c r="G180" s="341" t="s">
        <v>1537</v>
      </c>
      <c r="H180" s="341" t="s">
        <v>1661</v>
      </c>
      <c r="I180" s="341" t="s">
        <v>1539</v>
      </c>
      <c r="J180" s="341" t="s">
        <v>1541</v>
      </c>
      <c r="K180" s="341" t="s">
        <v>1543</v>
      </c>
      <c r="L180" s="341" t="str">
        <f t="shared" si="19"/>
        <v>RETROALIMENTACIÓN RESPUESTA INCORRECTA (HTML):
Mensaje que aparece si se selecciona la respuesta incorrecta.</v>
      </c>
      <c r="M180" s="226" t="s">
        <v>117</v>
      </c>
    </row>
    <row r="181" spans="1:13" outlineLevel="1" x14ac:dyDescent="0.25">
      <c r="A181" s="413" t="str">
        <f t="shared" si="25"/>
        <v>Z_FR_EN_?_</v>
      </c>
      <c r="B181" s="413" t="str">
        <f>B176</f>
        <v>?</v>
      </c>
      <c r="C181" s="413" t="s">
        <v>1525</v>
      </c>
      <c r="D181" s="592"/>
      <c r="E181" s="342" t="str">
        <f>IFERROR(IF(D181&lt;&gt;"",D181,HLOOKUP($E$2,$F$2:K181,ROW(D181)-1,0)),F181)</f>
        <v>FORMATO DE LA RESPUESTA:
Selecciona el formato con el que quieres que el alumno introduzca la respuesta.</v>
      </c>
      <c r="F181" s="342" t="s">
        <v>18423</v>
      </c>
      <c r="G181" s="342" t="s">
        <v>18424</v>
      </c>
      <c r="H181" s="342" t="s">
        <v>18425</v>
      </c>
      <c r="I181" s="342" t="s">
        <v>18426</v>
      </c>
      <c r="J181" s="342" t="s">
        <v>18427</v>
      </c>
      <c r="K181" s="342" t="s">
        <v>18428</v>
      </c>
      <c r="L181" s="342" t="str">
        <f t="shared" si="19"/>
        <v>FORMATO DE LA RESPUESTA:
Selecciona el formato con el que quieres que el alumno introduzca la respuesta.</v>
      </c>
      <c r="M181" s="226" t="s">
        <v>117</v>
      </c>
    </row>
    <row r="182" spans="1:13" outlineLevel="1" x14ac:dyDescent="0.25">
      <c r="A182" s="412" t="str">
        <f t="shared" si="25"/>
        <v>Z_RT_EN_?_</v>
      </c>
      <c r="B182" s="412" t="str">
        <f>B177</f>
        <v>?</v>
      </c>
      <c r="C182" s="412" t="s">
        <v>1526</v>
      </c>
      <c r="D182" s="593"/>
      <c r="E182" s="341" t="str">
        <f>IFERROR(IF(D182&lt;&gt;"",D182,HLOOKUP($E$2,$F$2:K182,ROW(D182)-1,0)),F182)</f>
        <v>REQUERIR TEXTO:
Puedes decidir si el alumno tiene que escribir algo o no.</v>
      </c>
      <c r="F182" s="341" t="s">
        <v>18429</v>
      </c>
      <c r="G182" s="341" t="s">
        <v>18430</v>
      </c>
      <c r="H182" s="341" t="s">
        <v>18431</v>
      </c>
      <c r="I182" s="341" t="s">
        <v>18432</v>
      </c>
      <c r="J182" s="341" t="s">
        <v>18433</v>
      </c>
      <c r="K182" s="341" t="s">
        <v>18434</v>
      </c>
      <c r="L182" s="341" t="str">
        <f t="shared" si="19"/>
        <v>REQUERIR TEXTO:
Puedes decidir si el alumno tiene que escribir algo o no.</v>
      </c>
      <c r="M182" s="226" t="s">
        <v>117</v>
      </c>
    </row>
    <row r="183" spans="1:13" outlineLevel="1" x14ac:dyDescent="0.25">
      <c r="A183" s="413" t="str">
        <f t="shared" si="25"/>
        <v>Z_PA_EN_?_</v>
      </c>
      <c r="B183" s="413" t="str">
        <f>B181</f>
        <v>?</v>
      </c>
      <c r="C183" s="413" t="s">
        <v>1527</v>
      </c>
      <c r="D183" s="594"/>
      <c r="E183" s="342" t="str">
        <f>IFERROR(IF(D183&lt;&gt;"",D183,HLOOKUP($E$2,$F$2:K183,ROW(D183)-1,0)),F183)</f>
        <v>PERMITIR ARCHIVOS:
Puedes decidir si el alumno debe subir un archivo o no.</v>
      </c>
      <c r="F183" s="342" t="s">
        <v>18435</v>
      </c>
      <c r="G183" s="342" t="s">
        <v>18436</v>
      </c>
      <c r="H183" s="342" t="s">
        <v>18437</v>
      </c>
      <c r="I183" s="342" t="s">
        <v>18438</v>
      </c>
      <c r="J183" s="342" t="s">
        <v>18439</v>
      </c>
      <c r="K183" s="342" t="s">
        <v>18440</v>
      </c>
      <c r="L183" s="342" t="str">
        <f t="shared" si="19"/>
        <v>PERMITIR ARCHIVOS:
Puedes decidir si el alumno debe subir un archivo o no.</v>
      </c>
      <c r="M183" s="226" t="s">
        <v>117</v>
      </c>
    </row>
    <row r="184" spans="1:13" outlineLevel="1" x14ac:dyDescent="0.25">
      <c r="A184" s="412" t="str">
        <f t="shared" si="25"/>
        <v>Z_TC_EN_?_</v>
      </c>
      <c r="B184" s="412" t="str">
        <f>B182</f>
        <v>?</v>
      </c>
      <c r="C184" s="412" t="s">
        <v>1528</v>
      </c>
      <c r="D184" s="593"/>
      <c r="E184" s="341" t="str">
        <f>IFERROR(IF(D184&lt;&gt;"",D184,HLOOKUP($E$2,$F$2:K184,ROW(D184)-1,0)),F184)</f>
        <v>TAMAÑO CAJA:
Puedes seleccionar el tamaño de la caja donde el alumno debe escribir la respuesta.</v>
      </c>
      <c r="F184" s="341" t="s">
        <v>18441</v>
      </c>
      <c r="G184" s="341" t="s">
        <v>18442</v>
      </c>
      <c r="H184" s="341" t="s">
        <v>18443</v>
      </c>
      <c r="I184" s="341" t="s">
        <v>18444</v>
      </c>
      <c r="J184" s="341" t="s">
        <v>18445</v>
      </c>
      <c r="K184" s="341" t="s">
        <v>18446</v>
      </c>
      <c r="L184" s="341" t="str">
        <f t="shared" si="19"/>
        <v>TAMAÑO CAJA:
Puedes seleccionar el tamaño de la caja donde el alumno debe escribir la respuesta.</v>
      </c>
      <c r="M184" s="226" t="s">
        <v>117</v>
      </c>
    </row>
    <row r="185" spans="1:13" outlineLevel="1" x14ac:dyDescent="0.25">
      <c r="A185" s="413" t="str">
        <f t="shared" si="25"/>
        <v>Z_AA_EN_?_</v>
      </c>
      <c r="B185" s="413" t="str">
        <f>B183</f>
        <v>?</v>
      </c>
      <c r="C185" s="413" t="s">
        <v>1529</v>
      </c>
      <c r="D185" s="592"/>
      <c r="E185" s="342" t="str">
        <f>IFERROR(IF(D185&lt;&gt;"",D185,HLOOKUP($E$2,$F$2:K185,ROW(D185)-1,0)),F185)</f>
        <v>ARCHIVOS ADJUNTAR:
Selecciona el número de archivos que el alumno puede adjuntar.</v>
      </c>
      <c r="F185" s="342" t="s">
        <v>18447</v>
      </c>
      <c r="G185" s="342" t="s">
        <v>18448</v>
      </c>
      <c r="H185" s="342" t="s">
        <v>18449</v>
      </c>
      <c r="I185" s="342" t="s">
        <v>18450</v>
      </c>
      <c r="J185" s="342" t="s">
        <v>18451</v>
      </c>
      <c r="K185" s="342" t="s">
        <v>18452</v>
      </c>
      <c r="L185" s="342" t="str">
        <f t="shared" si="19"/>
        <v>ARCHIVOS ADJUNTAR:
Selecciona el número de archivos que el alumno puede adjuntar.</v>
      </c>
      <c r="M185" s="226" t="s">
        <v>117</v>
      </c>
    </row>
    <row r="186" spans="1:13" outlineLevel="1" x14ac:dyDescent="0.25">
      <c r="A186" s="412" t="str">
        <f t="shared" si="25"/>
        <v>Z_PR_EN_?_</v>
      </c>
      <c r="B186" s="412" t="str">
        <f>B184</f>
        <v>?</v>
      </c>
      <c r="C186" s="412" t="s">
        <v>1530</v>
      </c>
      <c r="D186" s="593"/>
      <c r="E186" s="341" t="str">
        <f>IFERROR(IF(D186&lt;&gt;"",D186,HLOOKUP($E$2,$F$2:K186,ROW(D186)-1,0)),F186)</f>
        <v>PLANTILLA RESPUESTA:
Puedes preparar una plantilla para ayudar al alumno a responder.</v>
      </c>
      <c r="F186" s="341" t="s">
        <v>18453</v>
      </c>
      <c r="G186" s="341" t="s">
        <v>18454</v>
      </c>
      <c r="H186" s="341" t="s">
        <v>18455</v>
      </c>
      <c r="I186" s="341" t="s">
        <v>18456</v>
      </c>
      <c r="J186" s="341" t="s">
        <v>18457</v>
      </c>
      <c r="K186" s="341" t="s">
        <v>18458</v>
      </c>
      <c r="L186" s="341" t="str">
        <f t="shared" si="19"/>
        <v>PLANTILLA RESPUESTA:
Puedes preparar una plantilla para ayudar al alumno a responder.</v>
      </c>
      <c r="M186" s="226" t="s">
        <v>117</v>
      </c>
    </row>
    <row r="187" spans="1:13" outlineLevel="1" x14ac:dyDescent="0.25">
      <c r="A187" s="413" t="str">
        <f t="shared" si="25"/>
        <v>Z_IE_EN_?_</v>
      </c>
      <c r="B187" s="413" t="str">
        <f>B185</f>
        <v>?</v>
      </c>
      <c r="C187" s="413" t="s">
        <v>1531</v>
      </c>
      <c r="D187" s="594"/>
      <c r="E187" s="342" t="str">
        <f>IFERROR(IF(D187&lt;&gt;"",D187,HLOOKUP($E$2,$F$2:K187,ROW(D187)-1,0)),F187)</f>
        <v>INFORMACIÓN EVALUADOR:
Escribe la información que necesite el evaluador para poder corregir el ejercicio.</v>
      </c>
      <c r="F187" s="342" t="s">
        <v>18459</v>
      </c>
      <c r="G187" s="342" t="s">
        <v>18460</v>
      </c>
      <c r="H187" s="342" t="s">
        <v>18461</v>
      </c>
      <c r="I187" s="342" t="s">
        <v>18462</v>
      </c>
      <c r="J187" s="342" t="s">
        <v>18463</v>
      </c>
      <c r="K187" s="342" t="s">
        <v>18464</v>
      </c>
      <c r="L187" s="342" t="str">
        <f t="shared" si="19"/>
        <v>INFORMACIÓN EVALUADOR:
Escribe la información que necesite el evaluador para poder corregir el ejercicio.</v>
      </c>
      <c r="M187" s="226" t="s">
        <v>117</v>
      </c>
    </row>
    <row r="188" spans="1:13" x14ac:dyDescent="0.25">
      <c r="A188" s="411" t="str">
        <f t="shared" si="25"/>
        <v>Z_0_?_</v>
      </c>
      <c r="B188" s="411" t="s">
        <v>581</v>
      </c>
      <c r="C188" s="411" t="s">
        <v>597</v>
      </c>
      <c r="D188" s="576"/>
      <c r="E188" s="340" t="str">
        <f>IFERROR(IF(D188&lt;&gt;"",D188,HLOOKUP($E$2,$F$2:K188,ROW(D188)-1,0)),F188)</f>
        <v>MENSAJES MACROS</v>
      </c>
      <c r="F188" s="340" t="s">
        <v>579</v>
      </c>
      <c r="G188" s="340" t="s">
        <v>580</v>
      </c>
      <c r="H188" s="340" t="s">
        <v>579</v>
      </c>
      <c r="I188" s="340" t="s">
        <v>579</v>
      </c>
      <c r="J188" s="340" t="s">
        <v>579</v>
      </c>
      <c r="K188" s="340" t="s">
        <v>977</v>
      </c>
      <c r="L188" s="340" t="str">
        <f t="shared" si="19"/>
        <v>MENSAJES MACROS</v>
      </c>
      <c r="M188" s="226" t="s">
        <v>117</v>
      </c>
    </row>
    <row r="189" spans="1:13" outlineLevel="1" x14ac:dyDescent="0.25">
      <c r="A189" s="412" t="str">
        <f>$A$1&amp;B189&amp;"_"&amp;C189&amp;"_"&amp;$A$2</f>
        <v>Z_TX_00_0_</v>
      </c>
      <c r="B189" s="412" t="str">
        <f>B265</f>
        <v>TX</v>
      </c>
      <c r="C189" s="412" t="s">
        <v>825</v>
      </c>
      <c r="D189" s="593"/>
      <c r="E189" s="341" t="str">
        <f>IFERROR(IF(D189&lt;&gt;"",D189,HLOOKUP($E$2,$F$2:K189,ROW(D189)-1,0)),F189)</f>
        <v xml:space="preserve">[1] ESPAÑOL: 
Escribe el número correspondiente según el lenguaje con el que quieres trabajar por defecto.
Podrás cambiarlo en cualquier momento.
[2] ENGLISH:
Write the corresponding number according to the language you want to work with by default.
You can change it at any time.
[3] FRANÇAIS:
Écrivez le numéro correspondant en fonction de la langue avec laquelle vous souhaitez travailler par défaut.
Vous pouvez le modifier à tout moment.
[4] PORTUGUÊS:
Escreva o número correspondente de acordo com o idioma com o qual deseja trabalhar por padrão.
Você pode alterá-lo a qualquer momento.
[5] ITALIEN:
Scrivi il numero corrispondente in base alla lingua con cui desideri lavorare per impostazione predefinita.
Puoi modificarlo in qualsiasi momento.
[6] DEUTSCH:
Schreiben Sie die entsprechende Nummer entsprechend der Sprache, mit der Sie standardmäßig arbeiten möchten.
Sie können es jederzeit ändern.
</v>
      </c>
      <c r="F189" s="341" t="s">
        <v>981</v>
      </c>
      <c r="G189" s="341" t="s">
        <v>981</v>
      </c>
      <c r="H189" s="341" t="s">
        <v>981</v>
      </c>
      <c r="I189" s="341" t="str">
        <f>H189</f>
        <v xml:space="preserve">[1] ESPAÑOL: 
Escribe el número correspondiente según el lenguaje con el que quieres trabajar por defecto.
Podrás cambiarlo en cualquier momento.
[2] ENGLISH:
Write the corresponding number according to the language you want to work with by default.
You can change it at any time.
[3] FRANÇAIS:
Écrivez le numéro correspondant en fonction de la langue avec laquelle vous souhaitez travailler par défaut.
Vous pouvez le modifier à tout moment.
[4] PORTUGUÊS:
Escreva o número correspondente de acordo com o idioma com o qual deseja trabalhar por padrão.
Você pode alterá-lo a qualquer momento.
[5] ITALIEN:
Scrivi il numero corrispondente in base alla lingua con cui desideri lavorare per impostazione predefinita.
Puoi modificarlo in qualsiasi momento.
[6] DEUTSCH:
Schreiben Sie die entsprechende Nummer entsprechend der Sprache, mit der Sie standardmäßig arbeiten möchten.
Sie können es jederzeit ändern.
</v>
      </c>
      <c r="J189" s="341" t="str">
        <f>I189</f>
        <v xml:space="preserve">[1] ESPAÑOL: 
Escribe el número correspondiente según el lenguaje con el que quieres trabajar por defecto.
Podrás cambiarlo en cualquier momento.
[2] ENGLISH:
Write the corresponding number according to the language you want to work with by default.
You can change it at any time.
[3] FRANÇAIS:
Écrivez le numéro correspondant en fonction de la langue avec laquelle vous souhaitez travailler par défaut.
Vous pouvez le modifier à tout moment.
[4] PORTUGUÊS:
Escreva o número correspondente de acordo com o idioma com o qual deseja trabalhar por padrão.
Você pode alterá-lo a qualquer momento.
[5] ITALIEN:
Scrivi il numero corrispondente in base alla lingua con cui desideri lavorare per impostazione predefinita.
Puoi modificarlo in qualsiasi momento.
[6] DEUTSCH:
Schreiben Sie die entsprechende Nummer entsprechend der Sprache, mit der Sie standardmäßig arbeiten möchten.
Sie können es jederzeit ändern.
</v>
      </c>
      <c r="K189" s="341" t="str">
        <f>Z_TX_00_0_S</f>
        <v xml:space="preserve">[1] ESPAÑOL: 
Escribe el número correspondiente según el lenguaje con el que quieres trabajar por defecto.
Podrás cambiarlo en cualquier momento.
[2] ENGLISH:
Write the corresponding number according to the language you want to work with by default.
You can change it at any time.
[3] FRANÇAIS:
Écrivez le numéro correspondant en fonction de la langue avec laquelle vous souhaitez travailler par défaut.
Vous pouvez le modifier à tout moment.
[4] PORTUGUÊS:
Escreva o número correspondente de acordo com o idioma com o qual deseja trabalhar por padrão.
Você pode alterá-lo a qualquer momento.
[5] ITALIEN:
Scrivi il numero corrispondente in base alla lingua con cui desideri lavorare per impostazione predefinita.
Puoi modificarlo in qualsiasi momento.
[6] DEUTSCH:
Schreiben Sie die entsprechende Nummer entsprechend der Sprache, mit der Sie standardmäßig arbeiten möchten.
Sie können es jederzeit ändern.
</v>
      </c>
      <c r="L189" s="341" t="str">
        <f t="shared" si="19"/>
        <v xml:space="preserve">[1] ESPAÑOL: 
Escribe el número correspondiente según el lenguaje con el que quieres trabajar por defecto.
Podrás cambiarlo en cualquier momento.
[2] ENGLISH:
Write the corresponding number according to the language you want to work with by default.
You can change it at any time.
[3] FRANÇAIS:
Écrivez le numéro correspondant en fonction de la langue avec laquelle vous souhaitez travailler par défaut.
Vous pouvez le modifier à tout moment.
[4] PORTUGUÊS:
Escreva o número correspondente de acordo com o idioma com o qual deseja trabalhar por padrão.
Você pode alterá-lo a qualquer momento.
[5] ITALIEN:
Scrivi il numero corrispondente in base alla lingua con cui desideri lavorare per impostazione predefinita.
Puoi modificarlo in qualsiasi momento.
[6] DEUTSCH:
Schreiben Sie die entsprechende Nummer entsprechend der Sprache, mit der Sie standardmäßig arbeiten möchten.
Sie können es jederzeit ändern.
</v>
      </c>
      <c r="M189" s="226" t="s">
        <v>117</v>
      </c>
    </row>
    <row r="190" spans="1:13" outlineLevel="1" x14ac:dyDescent="0.25">
      <c r="A190" s="413" t="str">
        <f>$A$1&amp;B190&amp;"_"&amp;C190&amp;"_"&amp;$A$2</f>
        <v>Z_TX_00_</v>
      </c>
      <c r="B190" s="413" t="str">
        <f>B188</f>
        <v>TX</v>
      </c>
      <c r="C190" s="413" t="s">
        <v>197</v>
      </c>
      <c r="D190" s="594"/>
      <c r="E190" s="342" t="str">
        <f>IFERROR(IF(D190&lt;&gt;"",D190,HLOOKUP($E$2,$F$2:K190,ROW(D190)-1,0)),F190)</f>
        <v>¿VOLVER A PREGUNTAR IDIOMA LA PRÓXIMA VEZ QUE ABRAS LA APLICACIÓN?
P.D.1: El idioma original de la aplicación es el ESPAÑOL, las traducciones han sido realizadas con el Traductor de Google.
P.D.2: Podrás cambiar el idioma en cualquier momento, mientras estás usando FastTest PluIn.</v>
      </c>
      <c r="F190" s="342" t="s">
        <v>1040</v>
      </c>
      <c r="G190" s="342" t="s">
        <v>1466</v>
      </c>
      <c r="H190" s="342" t="s">
        <v>1467</v>
      </c>
      <c r="I190" s="342" t="s">
        <v>1041</v>
      </c>
      <c r="J190" s="342" t="s">
        <v>1042</v>
      </c>
      <c r="K190" s="342" t="s">
        <v>1043</v>
      </c>
      <c r="L190" s="342" t="str">
        <f t="shared" si="19"/>
        <v>¿VOLVER A PREGUNTAR IDIOMA LA PRÓXIMA VEZ QUE ABRAS LA APLICACIÓN?
P.D.1: El idioma original de la aplicación es el ESPAÑOL, las traducciones han sido realizadas con el Traductor de Google.
P.D.2: Podrás cambiar el idioma en cualquier momento, mientras estás usando FastTest PluIn.</v>
      </c>
      <c r="M190" s="226" t="s">
        <v>117</v>
      </c>
    </row>
    <row r="191" spans="1:13" outlineLevel="1" x14ac:dyDescent="0.25">
      <c r="A191" s="412" t="str">
        <f>$A$1&amp;B191&amp;"_"&amp;C191&amp;"_"&amp;$A$2</f>
        <v>Z_TX_01_</v>
      </c>
      <c r="B191" s="412" t="str">
        <f t="shared" ref="B191:B259" si="26">B190</f>
        <v>TX</v>
      </c>
      <c r="C191" s="412" t="s">
        <v>198</v>
      </c>
      <c r="D191" s="593"/>
      <c r="E191" s="341" t="str">
        <f>IFERROR(IF(D191&lt;&gt;"",D191,HLOOKUP($E$2,$F$2:K191,ROW(D191)-1,0)),F191)</f>
        <v>ESTA APLICACIÓN ES UNA AYUDA A OPTIMIZAR TU TIEMPO
CUANDO USES LOS CUESTIONARIOS DE MOODLE
NO GARANTIZA QUE COMPLETES BIEN LOS DATOS
AYUDA A CREAR LAS PREGUNTAS DE MANERA MÁS EFICAZ
RECUERDA GUARDAR UNA COPIA DE SEGURIDAD   
_______________________________________________________ 
¡ESPERO QUE TE SEA DE UTILIDAD!      
_______________________________________________________</v>
      </c>
      <c r="F191" s="341" t="s">
        <v>1021</v>
      </c>
      <c r="G191" s="341" t="s">
        <v>1407</v>
      </c>
      <c r="H191" s="341" t="s">
        <v>1408</v>
      </c>
      <c r="I191" s="341" t="s">
        <v>596</v>
      </c>
      <c r="J191" s="341" t="s">
        <v>595</v>
      </c>
      <c r="K191" s="341" t="s">
        <v>978</v>
      </c>
      <c r="L191" s="341" t="str">
        <f t="shared" si="19"/>
        <v>ESTA APLICACIÓN ES UNA AYUDA A OPTIMIZAR TU TIEMPO
CUANDO USES LOS CUESTIONARIOS DE MOODLE
NO GARANTIZA QUE COMPLETES BIEN LOS DATOS
AYUDA A CREAR LAS PREGUNTAS DE MANERA MÁS EFICAZ
RECUERDA GUARDAR UNA COPIA DE SEGURIDAD   
_______________________________________________________ 
¡ESPERO QUE TE SEA DE UTILIDAD!      
_______________________________________________________</v>
      </c>
      <c r="M191" s="226" t="s">
        <v>117</v>
      </c>
    </row>
    <row r="192" spans="1:13" outlineLevel="1" x14ac:dyDescent="0.25">
      <c r="A192" s="413" t="str">
        <f>$A$1&amp;B192&amp;"_"&amp;C192&amp;"_"&amp;$A$2</f>
        <v>Z_TX_02_</v>
      </c>
      <c r="B192" s="413" t="str">
        <f t="shared" si="26"/>
        <v>TX</v>
      </c>
      <c r="C192" s="413" t="s">
        <v>199</v>
      </c>
      <c r="D192" s="594"/>
      <c r="E192" s="342" t="str">
        <f>IFERROR(IF(D192&lt;&gt;"",D192,HLOOKUP($E$2,$F$2:K192,ROW(D192)-1,0)),F192)</f>
        <v>PARA ASEGURAR EL BUEN FUNCIONAMIENTO DE ESTA APLICACIÓN
NO USAR BAJO NINGÚN CONCEPTO EL COMANDO
_______________________________________________________  
                                 CORTAR [Ctrl+X]                             
_______________________________________________________
YA QUE PUEDE HACER QUE SE ESTROPEE ALGUNA FUNCIÓN</v>
      </c>
      <c r="F192" s="342" t="s">
        <v>594</v>
      </c>
      <c r="G192" s="342" t="s">
        <v>1409</v>
      </c>
      <c r="H192" s="342" t="s">
        <v>1410</v>
      </c>
      <c r="I192" s="342" t="s">
        <v>592</v>
      </c>
      <c r="J192" s="342" t="s">
        <v>593</v>
      </c>
      <c r="K192" s="342" t="s">
        <v>979</v>
      </c>
      <c r="L192" s="342" t="str">
        <f t="shared" si="19"/>
        <v>PARA ASEGURAR EL BUEN FUNCIONAMIENTO DE ESTA APLICACIÓN
NO USAR BAJO NINGÚN CONCEPTO EL COMANDO
_______________________________________________________  
                                 CORTAR [Ctrl+X]                             
_______________________________________________________
YA QUE PUEDE HACER QUE SE ESTROPEE ALGUNA FUNCIÓN</v>
      </c>
      <c r="M192" s="226" t="s">
        <v>117</v>
      </c>
    </row>
    <row r="193" spans="1:13" outlineLevel="1" x14ac:dyDescent="0.25">
      <c r="A193" s="412" t="str">
        <f t="shared" ref="A193:A217" si="27">$A$1&amp;B193&amp;"_"&amp;C193&amp;"_"&amp;$A$2</f>
        <v>Z_TX_03_</v>
      </c>
      <c r="B193" s="412" t="str">
        <f t="shared" si="26"/>
        <v>TX</v>
      </c>
      <c r="C193" s="412" t="s">
        <v>200</v>
      </c>
      <c r="D193" s="591"/>
      <c r="E193" s="341" t="str">
        <f>IFERROR(IF(D193&lt;&gt;"",D193,HLOOKUP($E$2,$F$2:K193,ROW(D193)-1,0)),F193)</f>
        <v>Copia el texto (Ctrl+C), 
pulsa F2 y pega (Ctrl+V) 
para insertarlo en la celda:</v>
      </c>
      <c r="F193" s="341" t="s">
        <v>1411</v>
      </c>
      <c r="G193" s="341" t="s">
        <v>1412</v>
      </c>
      <c r="H193" s="341" t="s">
        <v>1413</v>
      </c>
      <c r="I193" s="341" t="s">
        <v>875</v>
      </c>
      <c r="J193" s="341" t="s">
        <v>876</v>
      </c>
      <c r="K193" s="341" t="s">
        <v>980</v>
      </c>
      <c r="L193" s="341" t="str">
        <f t="shared" si="19"/>
        <v>Copia el texto (Ctrl+C), 
pulsa F2 y pega (Ctrl+V) 
para insertarlo en la celda:</v>
      </c>
      <c r="M193" s="226" t="s">
        <v>117</v>
      </c>
    </row>
    <row r="194" spans="1:13" outlineLevel="1" x14ac:dyDescent="0.25">
      <c r="A194" s="413" t="str">
        <f>$A$1&amp;B194&amp;"_"&amp;C194&amp;"_"&amp;$A$2</f>
        <v>Z_TX_03_2_</v>
      </c>
      <c r="B194" s="413" t="str">
        <f t="shared" si="26"/>
        <v>TX</v>
      </c>
      <c r="C194" s="413" t="s">
        <v>873</v>
      </c>
      <c r="D194" s="594"/>
      <c r="E194" s="342" t="str">
        <f>IFERROR(IF(D194&lt;&gt;"",D194,HLOOKUP($E$2,$F$2:K194,ROW(D194)-1,0)),F194)</f>
        <v xml:space="preserve">Para INTRODUCIR ESPACIOS tienes varias opciones: 
1 - Copia el código y escribe tantos "_" como espacios quieras incluir.
2 - Escribe el código 
          &amp;nbsp; 
por cada espacio de más que quieras introducir.
3 - Escribe al principio de la frase: 
         &lt;PRE&gt;
Con esta opción, se mantendrá el formato con TODOS los espacios y saltos de página que escribas. También se quedará con el tipo de letra COURIER y en color negro.
</v>
      </c>
      <c r="F194" s="342" t="s">
        <v>1414</v>
      </c>
      <c r="G194" s="342" t="s">
        <v>1415</v>
      </c>
      <c r="H194" s="342" t="s">
        <v>1416</v>
      </c>
      <c r="I194" s="342" t="s">
        <v>1044</v>
      </c>
      <c r="J194" s="342" t="s">
        <v>1045</v>
      </c>
      <c r="K194" s="342" t="s">
        <v>18465</v>
      </c>
      <c r="L194" s="342" t="str">
        <f t="shared" si="19"/>
        <v xml:space="preserve">Para INTRODUCIR ESPACIOS tienes varias opciones: 
1 - Copia el código y escribe tantos "_" como espacios quieras incluir.
2 - Escribe el código 
          &amp;nbsp; 
por cada espacio de más que quieras introducir.
3 - Escribe al principio de la frase: 
         &lt;PRE&gt;
Con esta opción, se mantendrá el formato con TODOS los espacios y saltos de página que escribas. También se quedará con el tipo de letra COURIER y en color negro.
</v>
      </c>
      <c r="M194" s="226" t="s">
        <v>117</v>
      </c>
    </row>
    <row r="195" spans="1:13" outlineLevel="1" x14ac:dyDescent="0.25">
      <c r="A195" s="412" t="str">
        <f>$A$1&amp;B195&amp;"_"&amp;C195&amp;"_"&amp;$A$2</f>
        <v>Z_TX_03_3_</v>
      </c>
      <c r="B195" s="412" t="str">
        <f t="shared" si="26"/>
        <v>TX</v>
      </c>
      <c r="C195" s="412" t="s">
        <v>874</v>
      </c>
      <c r="D195" s="591"/>
      <c r="E195" s="341" t="str">
        <f>IFERROR(IF(D195&lt;&gt;"",D195,HLOOKUP($E$2,$F$2:K195,ROW(D195)-1,0)),F195)</f>
        <v xml:space="preserve">Si quieres introducir un SALTO DE PÁRRAFO,
en lugar de salto de línea,
debes escribir:
                            &lt;/p&gt;
</v>
      </c>
      <c r="F195" s="341" t="s">
        <v>1046</v>
      </c>
      <c r="G195" s="341" t="s">
        <v>879</v>
      </c>
      <c r="H195" s="341" t="s">
        <v>878</v>
      </c>
      <c r="I195" s="341" t="s">
        <v>877</v>
      </c>
      <c r="J195" s="341" t="s">
        <v>880</v>
      </c>
      <c r="K195" s="341" t="s">
        <v>982</v>
      </c>
      <c r="L195" s="341" t="str">
        <f t="shared" si="19"/>
        <v xml:space="preserve">Si quieres introducir un SALTO DE PÁRRAFO,
en lugar de salto de línea,
debes escribir:
                            &lt;/p&gt;
</v>
      </c>
      <c r="M195" s="226" t="s">
        <v>117</v>
      </c>
    </row>
    <row r="196" spans="1:13" outlineLevel="1" x14ac:dyDescent="0.25">
      <c r="A196" s="413" t="str">
        <f t="shared" si="27"/>
        <v>Z_TX_04_1_</v>
      </c>
      <c r="B196" s="413" t="str">
        <f>B193</f>
        <v>TX</v>
      </c>
      <c r="C196" s="413" t="s">
        <v>600</v>
      </c>
      <c r="D196" s="592"/>
      <c r="E196" s="342" t="str">
        <f>IFERROR(IF(D196&lt;&gt;"",D196,HLOOKUP($E$2,$F$2:K196,ROW(D196)-1,0)),F196)</f>
        <v xml:space="preserve">Para poder EXPORTAR las preguntas a otro Excel, el archivo 
  -  </v>
      </c>
      <c r="F196" s="342" t="s">
        <v>18466</v>
      </c>
      <c r="G196" s="342" t="s">
        <v>601</v>
      </c>
      <c r="H196" s="342" t="s">
        <v>604</v>
      </c>
      <c r="I196" s="342" t="s">
        <v>603</v>
      </c>
      <c r="J196" s="342" t="s">
        <v>602</v>
      </c>
      <c r="K196" s="342" t="s">
        <v>983</v>
      </c>
      <c r="L196" s="342" t="str">
        <f t="shared" ref="L196:L260" si="28">E196</f>
        <v xml:space="preserve">Para poder EXPORTAR las preguntas a otro Excel, el archivo 
  -  </v>
      </c>
      <c r="M196" s="226" t="s">
        <v>117</v>
      </c>
    </row>
    <row r="197" spans="1:13" outlineLevel="1" x14ac:dyDescent="0.25">
      <c r="A197" s="412" t="str">
        <f t="shared" si="27"/>
        <v>Z_TX_04_2_</v>
      </c>
      <c r="B197" s="412" t="str">
        <f t="shared" si="26"/>
        <v>TX</v>
      </c>
      <c r="C197" s="412" t="s">
        <v>598</v>
      </c>
      <c r="D197" s="591"/>
      <c r="E197" s="341" t="str">
        <f>IFERROR(IF(D197&lt;&gt;"",D197,HLOOKUP($E$2,$F$2:K197,ROW(D197)-1,0)),F197)</f>
        <v xml:space="preserve">
debe estar en el DIRECTORIO en el que estás TRABAJANDO: 
      -  </v>
      </c>
      <c r="F197" s="341" t="s">
        <v>605</v>
      </c>
      <c r="G197" s="341" t="s">
        <v>1417</v>
      </c>
      <c r="H197" s="341" t="s">
        <v>1418</v>
      </c>
      <c r="I197" s="341" t="s">
        <v>606</v>
      </c>
      <c r="J197" s="341" t="s">
        <v>607</v>
      </c>
      <c r="K197" s="341" t="s">
        <v>18467</v>
      </c>
      <c r="L197" s="341" t="str">
        <f t="shared" si="28"/>
        <v xml:space="preserve">
debe estar en el DIRECTORIO en el que estás TRABAJANDO: 
      -  </v>
      </c>
      <c r="M197" s="226" t="s">
        <v>117</v>
      </c>
    </row>
    <row r="198" spans="1:13" outlineLevel="1" x14ac:dyDescent="0.25">
      <c r="A198" s="413" t="str">
        <f>$A$1&amp;B198&amp;"_"&amp;C198&amp;"_"&amp;$A$2</f>
        <v>Z_TX_04_3_</v>
      </c>
      <c r="B198" s="413" t="str">
        <f t="shared" si="26"/>
        <v>TX</v>
      </c>
      <c r="C198" s="413" t="s">
        <v>599</v>
      </c>
      <c r="D198" s="594"/>
      <c r="E198" s="342" t="str">
        <f>IFERROR(IF(D198&lt;&gt;"",D198,HLOOKUP($E$2,$F$2:K198,ROW(D198)-1,0)),F198)</f>
        <v xml:space="preserve">
BUSCA EL ARCHIVO Y CÓPIALO EN ESTE DIRECTORIO PARA PODER CONTINUAR.</v>
      </c>
      <c r="F198" s="342" t="s">
        <v>608</v>
      </c>
      <c r="G198" s="342" t="s">
        <v>609</v>
      </c>
      <c r="H198" s="342" t="s">
        <v>612</v>
      </c>
      <c r="I198" s="342" t="s">
        <v>611</v>
      </c>
      <c r="J198" s="342" t="s">
        <v>610</v>
      </c>
      <c r="K198" s="342" t="s">
        <v>18468</v>
      </c>
      <c r="L198" s="342" t="str">
        <f t="shared" si="28"/>
        <v xml:space="preserve">
BUSCA EL ARCHIVO Y CÓPIALO EN ESTE DIRECTORIO PARA PODER CONTINUAR.</v>
      </c>
      <c r="M198" s="226" t="s">
        <v>117</v>
      </c>
    </row>
    <row r="199" spans="1:13" outlineLevel="1" x14ac:dyDescent="0.25">
      <c r="A199" s="412" t="str">
        <f t="shared" si="27"/>
        <v>Z_TX_05_1_</v>
      </c>
      <c r="B199" s="412" t="str">
        <f t="shared" si="26"/>
        <v>TX</v>
      </c>
      <c r="C199" s="412" t="s">
        <v>1628</v>
      </c>
      <c r="D199" s="593"/>
      <c r="E199" s="341" t="str">
        <f>IFERROR(IF(D199&lt;&gt;"",D199,HLOOKUP($E$2,$F$2:K199,ROW(D199)-1,0)),F199)</f>
        <v xml:space="preserve">Se van a GUARDAR los datos mostrados en el FORMULARIO como una NUEVA pregunta. 
El Número de la pregunta es </v>
      </c>
      <c r="F199" s="341" t="s">
        <v>1632</v>
      </c>
      <c r="G199" s="341" t="s">
        <v>1633</v>
      </c>
      <c r="H199" s="341" t="s">
        <v>18469</v>
      </c>
      <c r="I199" s="341" t="s">
        <v>1634</v>
      </c>
      <c r="J199" s="341" t="s">
        <v>1635</v>
      </c>
      <c r="K199" s="341" t="s">
        <v>1636</v>
      </c>
      <c r="L199" s="341" t="str">
        <f t="shared" si="28"/>
        <v xml:space="preserve">Se van a GUARDAR los datos mostrados en el FORMULARIO como una NUEVA pregunta. 
El Número de la pregunta es </v>
      </c>
      <c r="M199" s="226" t="s">
        <v>117</v>
      </c>
    </row>
    <row r="200" spans="1:13" outlineLevel="1" x14ac:dyDescent="0.25">
      <c r="A200" s="413" t="str">
        <f>$A$1&amp;B200&amp;"_"&amp;C200&amp;"_"&amp;$A$2</f>
        <v>Z_TX_05_2_</v>
      </c>
      <c r="B200" s="413" t="str">
        <f t="shared" si="26"/>
        <v>TX</v>
      </c>
      <c r="C200" s="413" t="s">
        <v>1629</v>
      </c>
      <c r="D200" s="592"/>
      <c r="E200" s="342" t="str">
        <f>IFERROR(IF(D200&lt;&gt;"",D200,HLOOKUP($E$2,$F$2:K200,ROW(D200)-1,0)),F200)</f>
        <v>.
            ¿DESEAS CONTINUAR?</v>
      </c>
      <c r="F200" s="342" t="s">
        <v>1637</v>
      </c>
      <c r="G200" s="342" t="s">
        <v>1638</v>
      </c>
      <c r="H200" s="342" t="s">
        <v>1639</v>
      </c>
      <c r="I200" s="342" t="s">
        <v>1640</v>
      </c>
      <c r="J200" s="342" t="s">
        <v>1641</v>
      </c>
      <c r="K200" s="342" t="s">
        <v>1642</v>
      </c>
      <c r="L200" s="342" t="str">
        <f t="shared" si="28"/>
        <v>.
            ¿DESEAS CONTINUAR?</v>
      </c>
      <c r="M200" s="226" t="s">
        <v>117</v>
      </c>
    </row>
    <row r="201" spans="1:13" outlineLevel="1" x14ac:dyDescent="0.25">
      <c r="A201" s="412" t="str">
        <f t="shared" si="27"/>
        <v>Z_TX_06_</v>
      </c>
      <c r="B201" s="412" t="str">
        <f>B199</f>
        <v>TX</v>
      </c>
      <c r="C201" s="412" t="s">
        <v>203</v>
      </c>
      <c r="D201" s="591"/>
      <c r="E201" s="341" t="str">
        <f>IFERROR(IF(D201&lt;&gt;"",D201,HLOOKUP($E$2,$F$2:K201,ROW(D201)-1,0)),F201)</f>
        <v>Las casillas en NARANJA no pueden estar vacías.
Rellena BIEN los datos antes de GUARDAR.</v>
      </c>
      <c r="F201" s="341" t="s">
        <v>588</v>
      </c>
      <c r="G201" s="341" t="s">
        <v>1420</v>
      </c>
      <c r="H201" s="341" t="s">
        <v>589</v>
      </c>
      <c r="I201" s="341" t="s">
        <v>590</v>
      </c>
      <c r="J201" s="341" t="s">
        <v>591</v>
      </c>
      <c r="K201" s="341" t="s">
        <v>984</v>
      </c>
      <c r="L201" s="341" t="str">
        <f t="shared" si="28"/>
        <v>Las casillas en NARANJA no pueden estar vacías.
Rellena BIEN los datos antes de GUARDAR.</v>
      </c>
      <c r="M201" s="226" t="s">
        <v>117</v>
      </c>
    </row>
    <row r="202" spans="1:13" outlineLevel="1" x14ac:dyDescent="0.25">
      <c r="A202" s="413" t="str">
        <f t="shared" si="27"/>
        <v>Z_TX_07_</v>
      </c>
      <c r="B202" s="413" t="str">
        <f t="shared" si="26"/>
        <v>TX</v>
      </c>
      <c r="C202" s="413" t="s">
        <v>204</v>
      </c>
      <c r="D202" s="594"/>
      <c r="E202" s="342" t="str">
        <f>IFERROR(IF(D202&lt;&gt;"",D202,HLOOKUP($E$2,$F$2:K202,ROW(D202)-1,0)),F202)</f>
        <v>La puntuación TOTAL de las respuestas CORRECTAS debe ser igual a 100.
Cambia los datos antes de GUARDAR.</v>
      </c>
      <c r="F202" s="342" t="s">
        <v>1047</v>
      </c>
      <c r="G202" s="342" t="s">
        <v>1048</v>
      </c>
      <c r="H202" s="342" t="s">
        <v>1419</v>
      </c>
      <c r="I202" s="342" t="s">
        <v>1049</v>
      </c>
      <c r="J202" s="342" t="s">
        <v>1050</v>
      </c>
      <c r="K202" s="342" t="s">
        <v>1051</v>
      </c>
      <c r="L202" s="342" t="str">
        <f t="shared" si="28"/>
        <v>La puntuación TOTAL de las respuestas CORRECTAS debe ser igual a 100.
Cambia los datos antes de GUARDAR.</v>
      </c>
      <c r="M202" s="226" t="s">
        <v>117</v>
      </c>
    </row>
    <row r="203" spans="1:13" outlineLevel="1" x14ac:dyDescent="0.25">
      <c r="A203" s="412" t="str">
        <f t="shared" si="27"/>
        <v>Z_TX_08_1_</v>
      </c>
      <c r="B203" s="412" t="str">
        <f t="shared" si="26"/>
        <v>TX</v>
      </c>
      <c r="C203" s="412" t="s">
        <v>1630</v>
      </c>
      <c r="D203" s="577"/>
      <c r="E203" s="341" t="str">
        <f>IFERROR(IF(D203&lt;&gt;"",D203,HLOOKUP($E$2,$F$2:K203,ROW(D203)-1,0)),F203)</f>
        <v xml:space="preserve">Se ha guardado la pregunta Nº </v>
      </c>
      <c r="F203" s="341" t="s">
        <v>1643</v>
      </c>
      <c r="G203" s="341" t="s">
        <v>1644</v>
      </c>
      <c r="H203" s="341" t="s">
        <v>1645</v>
      </c>
      <c r="I203" s="341" t="s">
        <v>1646</v>
      </c>
      <c r="J203" s="341" t="s">
        <v>1647</v>
      </c>
      <c r="K203" s="341" t="s">
        <v>1648</v>
      </c>
      <c r="L203" s="341" t="str">
        <f t="shared" si="28"/>
        <v xml:space="preserve">Se ha guardado la pregunta Nº </v>
      </c>
      <c r="M203" s="226" t="s">
        <v>117</v>
      </c>
    </row>
    <row r="204" spans="1:13" outlineLevel="1" x14ac:dyDescent="0.25">
      <c r="A204" s="413" t="str">
        <f>$A$1&amp;B204&amp;"_"&amp;C204&amp;"_"&amp;$A$2</f>
        <v>Z_TX_08_2_</v>
      </c>
      <c r="B204" s="413" t="str">
        <f t="shared" si="26"/>
        <v>TX</v>
      </c>
      <c r="C204" s="413" t="s">
        <v>1631</v>
      </c>
      <c r="D204" s="594"/>
      <c r="E204" s="342" t="str">
        <f>IFERROR(IF(D204&lt;&gt;"",D204,HLOOKUP($E$2,$F$2:K204,ROW(D204)-1,0)),F204)</f>
        <v>.
¿Deseas CONSERVAR los datos de la pregunta anterior en el formulario para escribir sobre ellos?</v>
      </c>
      <c r="F204" s="342" t="s">
        <v>1649</v>
      </c>
      <c r="G204" s="342" t="s">
        <v>1650</v>
      </c>
      <c r="H204" s="342" t="s">
        <v>1651</v>
      </c>
      <c r="I204" s="342" t="s">
        <v>1652</v>
      </c>
      <c r="J204" s="342" t="s">
        <v>1653</v>
      </c>
      <c r="K204" s="342" t="s">
        <v>1654</v>
      </c>
      <c r="L204" s="342" t="str">
        <f t="shared" si="28"/>
        <v>.
¿Deseas CONSERVAR los datos de la pregunta anterior en el formulario para escribir sobre ellos?</v>
      </c>
      <c r="M204" s="226" t="s">
        <v>117</v>
      </c>
    </row>
    <row r="205" spans="1:13" outlineLevel="1" x14ac:dyDescent="0.25">
      <c r="A205" s="412" t="str">
        <f t="shared" si="27"/>
        <v>Z_TX_09_</v>
      </c>
      <c r="B205" s="412" t="str">
        <f>B203</f>
        <v>TX</v>
      </c>
      <c r="C205" s="412" t="s">
        <v>206</v>
      </c>
      <c r="D205" s="593"/>
      <c r="E205" s="341" t="str">
        <f>IFERROR(IF(D205&lt;&gt;"",D205,HLOOKUP($E$2,$F$2:K205,ROW(D205)-1,0)),F205)</f>
        <v xml:space="preserve">Si quieres usar los CÓDIGOS ESPECIALES: pulsa encima del que te interesa y aparece un mensaje. Copialo y pegalo en la celda que desees.
Puedes insertar: 
   - FÓRMULAS:                    \(    \)  ;  $$\     $$ 
   - SUPERÍNDICES:               ^{^ 2 ^}^
   - SUBÍNDICES:                    _{_ 2 _}_
   - SALTO DE LÍNEA:             &lt;br&gt;   ó    &lt;/p&gt;
   - CONCATENAR CELDAS:      "&amp;"  
   - NEGRITA:                          _N{   }
   - ROJO:                               _R{   }
   - AZUL:                                _A{   }
   - ESPACIOS (+1):                Color fondo Moodle: #def2f8
</v>
      </c>
      <c r="F205" s="341" t="s">
        <v>18817</v>
      </c>
      <c r="G205" s="341" t="s">
        <v>18677</v>
      </c>
      <c r="H205" s="341" t="s">
        <v>18818</v>
      </c>
      <c r="I205" s="341" t="s">
        <v>18819</v>
      </c>
      <c r="J205" s="341" t="s">
        <v>18820</v>
      </c>
      <c r="K205" s="341" t="s">
        <v>18821</v>
      </c>
      <c r="L205" s="341" t="str">
        <f t="shared" si="28"/>
        <v xml:space="preserve">Si quieres usar los CÓDIGOS ESPECIALES: pulsa encima del que te interesa y aparece un mensaje. Copialo y pegalo en la celda que desees.
Puedes insertar: 
   - FÓRMULAS:                    \(    \)  ;  $$\     $$ 
   - SUPERÍNDICES:               ^{^ 2 ^}^
   - SUBÍNDICES:                    _{_ 2 _}_
   - SALTO DE LÍNEA:             &lt;br&gt;   ó    &lt;/p&gt;
   - CONCATENAR CELDAS:      "&amp;"  
   - NEGRITA:                          _N{   }
   - ROJO:                               _R{   }
   - AZUL:                                _A{   }
   - ESPACIOS (+1):                Color fondo Moodle: #def2f8
</v>
      </c>
      <c r="M205" s="226" t="s">
        <v>117</v>
      </c>
    </row>
    <row r="206" spans="1:13" outlineLevel="1" x14ac:dyDescent="0.25">
      <c r="A206" s="413" t="str">
        <f t="shared" si="27"/>
        <v>Z_TX_10_</v>
      </c>
      <c r="B206" s="413" t="str">
        <f t="shared" si="26"/>
        <v>TX</v>
      </c>
      <c r="C206" s="413" t="s">
        <v>207</v>
      </c>
      <c r="D206" s="574"/>
      <c r="E206" s="342" t="str">
        <f>IFERROR(IF(D206&lt;&gt;"",D206,HLOOKUP($E$2,$F$2:K206,ROW(D206)-1,0)),F206)</f>
        <v>A continuación, debes abrir el archivo donde están las preguntas que quieres importar.</v>
      </c>
      <c r="F206" s="342" t="s">
        <v>1052</v>
      </c>
      <c r="G206" s="342" t="s">
        <v>1421</v>
      </c>
      <c r="H206" s="342" t="s">
        <v>613</v>
      </c>
      <c r="I206" s="342" t="s">
        <v>614</v>
      </c>
      <c r="J206" s="342" t="s">
        <v>615</v>
      </c>
      <c r="K206" s="342" t="s">
        <v>985</v>
      </c>
      <c r="L206" s="342" t="str">
        <f t="shared" si="28"/>
        <v>A continuación, debes abrir el archivo donde están las preguntas que quieres importar.</v>
      </c>
      <c r="M206" s="226" t="s">
        <v>117</v>
      </c>
    </row>
    <row r="207" spans="1:13" outlineLevel="1" x14ac:dyDescent="0.25">
      <c r="A207" s="412" t="str">
        <f t="shared" si="27"/>
        <v>Z_TX_11_</v>
      </c>
      <c r="B207" s="412" t="str">
        <f t="shared" si="26"/>
        <v>TX</v>
      </c>
      <c r="C207" s="412" t="s">
        <v>208</v>
      </c>
      <c r="D207" s="593"/>
      <c r="E207" s="341" t="str">
        <f>IFERROR(IF(D207&lt;&gt;"",D207,HLOOKUP($E$2,$F$2:K207,ROW(D207)-1,0)),F207)</f>
        <v>EXPORTAR A JUEGO
Se van a exportar las preguntas Tipo:  
      OPCIÓN MÚLTIPLE (1 RESPUESTA) 
a un Juego realizado a través de un Proyecto de Innovación Docente de la Universidad de Cádiz.
Dicha aplicación ha sido desarrollada, por 
      ROBERTO FERMÍN GARCÍA MENA
con la colaboración de profesores de la UCA.</v>
      </c>
      <c r="F207" s="341" t="s">
        <v>1655</v>
      </c>
      <c r="G207" s="341" t="s">
        <v>1662</v>
      </c>
      <c r="H207" s="341" t="s">
        <v>1663</v>
      </c>
      <c r="I207" s="341" t="s">
        <v>1656</v>
      </c>
      <c r="J207" s="341" t="s">
        <v>1657</v>
      </c>
      <c r="K207" s="341" t="s">
        <v>1658</v>
      </c>
      <c r="L207" s="341" t="str">
        <f t="shared" si="28"/>
        <v>EXPORTAR A JUEGO
Se van a exportar las preguntas Tipo:  
      OPCIÓN MÚLTIPLE (1 RESPUESTA) 
a un Juego realizado a través de un Proyecto de Innovación Docente de la Universidad de Cádiz.
Dicha aplicación ha sido desarrollada, por 
      ROBERTO FERMÍN GARCÍA MENA
con la colaboración de profesores de la UCA.</v>
      </c>
      <c r="M207" s="226" t="s">
        <v>117</v>
      </c>
    </row>
    <row r="208" spans="1:13" outlineLevel="1" x14ac:dyDescent="0.25">
      <c r="A208" s="413" t="str">
        <f t="shared" si="27"/>
        <v>Z_TX_12_</v>
      </c>
      <c r="B208" s="413" t="str">
        <f t="shared" si="26"/>
        <v>TX</v>
      </c>
      <c r="C208" s="413" t="s">
        <v>209</v>
      </c>
      <c r="D208" s="594"/>
      <c r="E208" s="342" t="str">
        <f>IFERROR(IF(D208&lt;&gt;"",D208,HLOOKUP($E$2,$F$2:K208,ROW(D208)-1,0)),F208)</f>
        <v>Puedes INSERTAR imágenes que tengas en GOOGLE DRIVE o DROPBOX.
Para ello, debes compartirla pinchando en 
                 - CUALQUIER PERSONA CON EL ENLACE - 
y pegar el enlace en el siguiente mensaje.</v>
      </c>
      <c r="F208" s="342" t="s">
        <v>616</v>
      </c>
      <c r="G208" s="342" t="s">
        <v>619</v>
      </c>
      <c r="H208" s="342" t="s">
        <v>1422</v>
      </c>
      <c r="I208" s="342" t="s">
        <v>618</v>
      </c>
      <c r="J208" s="342" t="s">
        <v>617</v>
      </c>
      <c r="K208" s="342" t="s">
        <v>986</v>
      </c>
      <c r="L208" s="342" t="str">
        <f t="shared" si="28"/>
        <v>Puedes INSERTAR imágenes que tengas en GOOGLE DRIVE o DROPBOX.
Para ello, debes compartirla pinchando en 
                 - CUALQUIER PERSONA CON EL ENLACE - 
y pegar el enlace en el siguiente mensaje.</v>
      </c>
      <c r="M208" s="226" t="s">
        <v>117</v>
      </c>
    </row>
    <row r="209" spans="1:13" outlineLevel="1" x14ac:dyDescent="0.25">
      <c r="A209" s="412" t="str">
        <f t="shared" si="27"/>
        <v>Z_TX_13_</v>
      </c>
      <c r="B209" s="412" t="str">
        <f t="shared" si="26"/>
        <v>TX</v>
      </c>
      <c r="C209" s="412" t="s">
        <v>210</v>
      </c>
      <c r="D209" s="577"/>
      <c r="E209" s="341" t="str">
        <f>IFERROR(IF(D209&lt;&gt;"",D209,HLOOKUP($E$2,$F$2:K209,ROW(D209)-1,0)),F209)</f>
        <v>Escribe la URL de la imagen que quieres insertar.</v>
      </c>
      <c r="F209" s="341" t="s">
        <v>1328</v>
      </c>
      <c r="G209" s="341" t="s">
        <v>620</v>
      </c>
      <c r="H209" s="341" t="s">
        <v>623</v>
      </c>
      <c r="I209" s="341" t="s">
        <v>621</v>
      </c>
      <c r="J209" s="341" t="s">
        <v>622</v>
      </c>
      <c r="K209" s="341" t="s">
        <v>987</v>
      </c>
      <c r="L209" s="341" t="str">
        <f t="shared" si="28"/>
        <v>Escribe la URL de la imagen que quieres insertar.</v>
      </c>
      <c r="M209" s="226" t="s">
        <v>117</v>
      </c>
    </row>
    <row r="210" spans="1:13" outlineLevel="1" x14ac:dyDescent="0.25">
      <c r="A210" s="413" t="str">
        <f t="shared" si="27"/>
        <v>Z_TX_14_</v>
      </c>
      <c r="B210" s="413" t="str">
        <f t="shared" si="26"/>
        <v>TX</v>
      </c>
      <c r="C210" s="413" t="s">
        <v>211</v>
      </c>
      <c r="D210" s="592"/>
      <c r="E210" s="342" t="str">
        <f>IFERROR(IF(D210&lt;&gt;"",D210,HLOOKUP($E$2,$F$2:K210,ROW(D210)-1,0)),F210)</f>
        <v xml:space="preserve">La URL introducida no es válida.
Asegúrate de insertar una URL adecuada.
</v>
      </c>
      <c r="F210" s="342" t="s">
        <v>828</v>
      </c>
      <c r="G210" s="342" t="s">
        <v>627</v>
      </c>
      <c r="H210" s="342" t="s">
        <v>624</v>
      </c>
      <c r="I210" s="342" t="s">
        <v>626</v>
      </c>
      <c r="J210" s="342" t="s">
        <v>625</v>
      </c>
      <c r="K210" s="342" t="s">
        <v>988</v>
      </c>
      <c r="L210" s="342" t="str">
        <f t="shared" si="28"/>
        <v xml:space="preserve">La URL introducida no es válida.
Asegúrate de insertar una URL adecuada.
</v>
      </c>
      <c r="M210" s="226" t="s">
        <v>117</v>
      </c>
    </row>
    <row r="211" spans="1:13" outlineLevel="1" x14ac:dyDescent="0.25">
      <c r="A211" s="412" t="str">
        <f t="shared" si="27"/>
        <v>Z_TX_15_</v>
      </c>
      <c r="B211" s="412" t="str">
        <f t="shared" si="26"/>
        <v>TX</v>
      </c>
      <c r="C211" s="412" t="s">
        <v>212</v>
      </c>
      <c r="D211" s="593"/>
      <c r="E211" s="341" t="str">
        <f>IFERROR(IF(D211&lt;&gt;"",D211,HLOOKUP($E$2,$F$2:K211,ROW(D211)-1,0)),F211)</f>
        <v xml:space="preserve">Escribe el ANCHO que quieres que tenga la imagen. 
Si no sabes qué tamaño quieres, puedes dejarlo en blanco, y se tomará el ancho por defecto de la imagen, pero NO SE PUEDE PONER CERO (0).
</v>
      </c>
      <c r="F211" s="341" t="s">
        <v>628</v>
      </c>
      <c r="G211" s="341" t="s">
        <v>1423</v>
      </c>
      <c r="H211" s="341" t="s">
        <v>1424</v>
      </c>
      <c r="I211" s="341" t="s">
        <v>629</v>
      </c>
      <c r="J211" s="341" t="s">
        <v>630</v>
      </c>
      <c r="K211" s="341" t="s">
        <v>18470</v>
      </c>
      <c r="L211" s="341" t="str">
        <f t="shared" si="28"/>
        <v xml:space="preserve">Escribe el ANCHO que quieres que tenga la imagen. 
Si no sabes qué tamaño quieres, puedes dejarlo en blanco, y se tomará el ancho por defecto de la imagen, pero NO SE PUEDE PONER CERO (0).
</v>
      </c>
      <c r="M211" s="226" t="s">
        <v>117</v>
      </c>
    </row>
    <row r="212" spans="1:13" outlineLevel="1" x14ac:dyDescent="0.25">
      <c r="A212" s="413" t="str">
        <f t="shared" si="27"/>
        <v>Z_TX_16_</v>
      </c>
      <c r="B212" s="413" t="str">
        <f t="shared" si="26"/>
        <v>TX</v>
      </c>
      <c r="C212" s="413" t="s">
        <v>213</v>
      </c>
      <c r="D212" s="594"/>
      <c r="E212" s="342" t="str">
        <f>IFERROR(IF(D212&lt;&gt;"",D212,HLOOKUP($E$2,$F$2:K212,ROW(D212)-1,0)),F212)</f>
        <v>Escribe la ALTURA que quieres que tenga la imagen. 
Si no sabes qué tamaño quieres, puedes dejarlo en blanco, y se tomará el ancho por defecto de la imagen, pero NO SE PUEDE PONER CERO (0).</v>
      </c>
      <c r="F212" s="342" t="s">
        <v>631</v>
      </c>
      <c r="G212" s="342" t="s">
        <v>1425</v>
      </c>
      <c r="H212" s="342" t="s">
        <v>1426</v>
      </c>
      <c r="I212" s="342" t="s">
        <v>633</v>
      </c>
      <c r="J212" s="342" t="s">
        <v>632</v>
      </c>
      <c r="K212" s="342" t="s">
        <v>18471</v>
      </c>
      <c r="L212" s="342" t="str">
        <f t="shared" si="28"/>
        <v>Escribe la ALTURA que quieres que tenga la imagen. 
Si no sabes qué tamaño quieres, puedes dejarlo en blanco, y se tomará el ancho por defecto de la imagen, pero NO SE PUEDE PONER CERO (0).</v>
      </c>
      <c r="M212" s="226" t="s">
        <v>117</v>
      </c>
    </row>
    <row r="213" spans="1:13" outlineLevel="1" x14ac:dyDescent="0.25">
      <c r="A213" s="412" t="str">
        <f t="shared" si="27"/>
        <v>Z_TX_17_</v>
      </c>
      <c r="B213" s="412" t="str">
        <f t="shared" si="26"/>
        <v>TX</v>
      </c>
      <c r="C213" s="412" t="s">
        <v>214</v>
      </c>
      <c r="D213" s="575"/>
      <c r="E213" s="341" t="str">
        <f>IFERROR(IF(D213&lt;&gt;"",D213,HLOOKUP($E$2,$F$2:K213,ROW(D213)-1,0)),F213)</f>
        <v>El número inicial de la pregunta a exportar debe ser superior al número menor del banco de preguntas.</v>
      </c>
      <c r="F213" s="341" t="s">
        <v>634</v>
      </c>
      <c r="G213" s="341" t="s">
        <v>635</v>
      </c>
      <c r="H213" s="341" t="s">
        <v>1427</v>
      </c>
      <c r="I213" s="341" t="s">
        <v>636</v>
      </c>
      <c r="J213" s="341" t="s">
        <v>637</v>
      </c>
      <c r="K213" s="341" t="s">
        <v>989</v>
      </c>
      <c r="L213" s="341" t="str">
        <f t="shared" si="28"/>
        <v>El número inicial de la pregunta a exportar debe ser superior al número menor del banco de preguntas.</v>
      </c>
      <c r="M213" s="226" t="s">
        <v>117</v>
      </c>
    </row>
    <row r="214" spans="1:13" outlineLevel="1" x14ac:dyDescent="0.25">
      <c r="A214" s="413" t="str">
        <f t="shared" si="27"/>
        <v>Z_TX_18_</v>
      </c>
      <c r="B214" s="413" t="str">
        <f t="shared" si="26"/>
        <v>TX</v>
      </c>
      <c r="C214" s="413" t="s">
        <v>215</v>
      </c>
      <c r="D214" s="574"/>
      <c r="E214" s="342" t="str">
        <f>IFERROR(IF(D214&lt;&gt;"",D214,HLOOKUP($E$2,$F$2:K214,ROW(D214)-1,0)),F214)</f>
        <v>El número final de la pregunta a exportar debe ser inferior al número mayor del banco de preguntas.</v>
      </c>
      <c r="F214" s="342" t="s">
        <v>639</v>
      </c>
      <c r="G214" s="342" t="s">
        <v>642</v>
      </c>
      <c r="H214" s="342" t="s">
        <v>638</v>
      </c>
      <c r="I214" s="342" t="s">
        <v>641</v>
      </c>
      <c r="J214" s="342" t="s">
        <v>640</v>
      </c>
      <c r="K214" s="342" t="s">
        <v>990</v>
      </c>
      <c r="L214" s="342" t="str">
        <f t="shared" si="28"/>
        <v>El número final de la pregunta a exportar debe ser inferior al número mayor del banco de preguntas.</v>
      </c>
      <c r="M214" s="226" t="s">
        <v>117</v>
      </c>
    </row>
    <row r="215" spans="1:13" outlineLevel="1" x14ac:dyDescent="0.25">
      <c r="A215" s="412" t="str">
        <f t="shared" si="27"/>
        <v>Z_TX_19_</v>
      </c>
      <c r="B215" s="412" t="str">
        <f t="shared" si="26"/>
        <v>TX</v>
      </c>
      <c r="C215" s="412" t="s">
        <v>216</v>
      </c>
      <c r="D215" s="575"/>
      <c r="E215" s="341" t="str">
        <f>IFERROR(IF(D215&lt;&gt;"",D215,HLOOKUP($E$2,$F$2:K215,ROW(D215)-1,0)),F215)</f>
        <v>El número final de la pregunta a exportar debe ser superior al número menor del banco de preguntas.</v>
      </c>
      <c r="F215" s="341" t="s">
        <v>644</v>
      </c>
      <c r="G215" s="341" t="s">
        <v>643</v>
      </c>
      <c r="H215" s="341" t="s">
        <v>647</v>
      </c>
      <c r="I215" s="341" t="s">
        <v>645</v>
      </c>
      <c r="J215" s="341" t="s">
        <v>646</v>
      </c>
      <c r="K215" s="341" t="s">
        <v>991</v>
      </c>
      <c r="L215" s="341" t="str">
        <f t="shared" si="28"/>
        <v>El número final de la pregunta a exportar debe ser superior al número menor del banco de preguntas.</v>
      </c>
      <c r="M215" s="226" t="s">
        <v>117</v>
      </c>
    </row>
    <row r="216" spans="1:13" outlineLevel="1" x14ac:dyDescent="0.25">
      <c r="A216" s="413" t="str">
        <f t="shared" si="27"/>
        <v>Z_TX_20_</v>
      </c>
      <c r="B216" s="413" t="str">
        <f t="shared" si="26"/>
        <v>TX</v>
      </c>
      <c r="C216" s="413" t="s">
        <v>217</v>
      </c>
      <c r="D216" s="592"/>
      <c r="E216" s="342" t="str">
        <f>IFERROR(IF(D216&lt;&gt;"",D216,HLOOKUP($E$2,$F$2:K216,ROW(D216)-1,0)),F216)</f>
        <v xml:space="preserve">Revisa los datos en la pantalla
DATOS GENERALES.
</v>
      </c>
      <c r="F216" s="342" t="s">
        <v>18472</v>
      </c>
      <c r="G216" s="342" t="s">
        <v>18473</v>
      </c>
      <c r="H216" s="342" t="s">
        <v>18474</v>
      </c>
      <c r="I216" s="342" t="s">
        <v>18475</v>
      </c>
      <c r="J216" s="342" t="s">
        <v>18476</v>
      </c>
      <c r="K216" s="342" t="s">
        <v>18477</v>
      </c>
      <c r="L216" s="342" t="str">
        <f t="shared" si="28"/>
        <v xml:space="preserve">Revisa los datos en la pantalla
DATOS GENERALES.
</v>
      </c>
      <c r="M216" s="226" t="s">
        <v>117</v>
      </c>
    </row>
    <row r="217" spans="1:13" outlineLevel="1" x14ac:dyDescent="0.25">
      <c r="A217" s="412" t="str">
        <f t="shared" si="27"/>
        <v>Z_TX_21_</v>
      </c>
      <c r="B217" s="412" t="str">
        <f t="shared" si="26"/>
        <v>TX</v>
      </c>
      <c r="C217" s="412" t="s">
        <v>218</v>
      </c>
      <c r="D217" s="591"/>
      <c r="E217" s="341" t="str">
        <f>IFERROR(IF(D217&lt;&gt;"",D217,HLOOKUP($E$2,$F$2:K217,ROW(D217)-1,0)),F217)</f>
        <v xml:space="preserve">ESTE BANCO DE PREGUNTAS ESTÁ AÚN EN CONSTRUCCIÓN
</v>
      </c>
      <c r="F217" s="341" t="s">
        <v>648</v>
      </c>
      <c r="G217" s="341" t="s">
        <v>651</v>
      </c>
      <c r="H217" s="341" t="s">
        <v>652</v>
      </c>
      <c r="I217" s="341" t="s">
        <v>649</v>
      </c>
      <c r="J217" s="341" t="s">
        <v>650</v>
      </c>
      <c r="K217" s="341" t="s">
        <v>992</v>
      </c>
      <c r="L217" s="341" t="str">
        <f t="shared" si="28"/>
        <v xml:space="preserve">ESTE BANCO DE PREGUNTAS ESTÁ AÚN EN CONSTRUCCIÓN
</v>
      </c>
      <c r="M217" s="226" t="s">
        <v>117</v>
      </c>
    </row>
    <row r="218" spans="1:13" outlineLevel="1" x14ac:dyDescent="0.25">
      <c r="A218" s="413" t="str">
        <f t="shared" ref="A218:A260" si="29">$A$1&amp;B218&amp;"_"&amp;C218&amp;"_"&amp;$A$2</f>
        <v>Z_TX_22_</v>
      </c>
      <c r="B218" s="413" t="str">
        <f t="shared" si="26"/>
        <v>TX</v>
      </c>
      <c r="C218" s="413" t="s">
        <v>219</v>
      </c>
      <c r="D218" s="592"/>
      <c r="E218" s="342" t="str">
        <f>IFERROR(IF(D218&lt;&gt;"",D218,HLOOKUP($E$2,$F$2:K218,ROW(D218)-1,0)),F218)</f>
        <v xml:space="preserve">ESTE FORMULARIO ESTÁ AÚN EN CONSTRUCCIÓN
</v>
      </c>
      <c r="F218" s="342" t="s">
        <v>653</v>
      </c>
      <c r="G218" s="342" t="s">
        <v>655</v>
      </c>
      <c r="H218" s="342" t="s">
        <v>654</v>
      </c>
      <c r="I218" s="342" t="s">
        <v>833</v>
      </c>
      <c r="J218" s="342" t="s">
        <v>656</v>
      </c>
      <c r="K218" s="342" t="s">
        <v>993</v>
      </c>
      <c r="L218" s="342" t="str">
        <f t="shared" si="28"/>
        <v xml:space="preserve">ESTE FORMULARIO ESTÁ AÚN EN CONSTRUCCIÓN
</v>
      </c>
      <c r="M218" s="226" t="s">
        <v>117</v>
      </c>
    </row>
    <row r="219" spans="1:13" outlineLevel="1" x14ac:dyDescent="0.25">
      <c r="A219" s="412" t="str">
        <f t="shared" si="29"/>
        <v>Z_TX_23_1_</v>
      </c>
      <c r="B219" s="412" t="str">
        <f t="shared" si="26"/>
        <v>TX</v>
      </c>
      <c r="C219" s="412" t="s">
        <v>657</v>
      </c>
      <c r="D219" s="577"/>
      <c r="E219" s="341" t="str">
        <f>IFERROR(IF(D219&lt;&gt;"",D219,HLOOKUP($E$2,$F$2:K219,ROW(D219)-1,0)),F219)</f>
        <v>Has seleccionado ir a FORMULARIO Tipo:</v>
      </c>
      <c r="F219" s="341" t="s">
        <v>18796</v>
      </c>
      <c r="G219" s="341" t="s">
        <v>18797</v>
      </c>
      <c r="H219" s="341" t="s">
        <v>18798</v>
      </c>
      <c r="I219" s="341" t="s">
        <v>18799</v>
      </c>
      <c r="J219" s="341" t="s">
        <v>18800</v>
      </c>
      <c r="K219" s="341" t="s">
        <v>18801</v>
      </c>
      <c r="L219" s="341" t="str">
        <f t="shared" si="28"/>
        <v>Has seleccionado ir a FORMULARIO Tipo:</v>
      </c>
      <c r="M219" s="226" t="s">
        <v>117</v>
      </c>
    </row>
    <row r="220" spans="1:13" outlineLevel="1" x14ac:dyDescent="0.25">
      <c r="A220" s="413" t="str">
        <f>$A$1&amp;B220&amp;"_"&amp;C220&amp;"_"&amp;$A$2</f>
        <v>Z_TX_23_2_</v>
      </c>
      <c r="B220" s="413" t="str">
        <f t="shared" si="26"/>
        <v>TX</v>
      </c>
      <c r="C220" s="413" t="s">
        <v>658</v>
      </c>
      <c r="D220" s="592"/>
      <c r="E220" s="342" t="str">
        <f>IFERROR(IF(D220&lt;&gt;"",D220,HLOOKUP($E$2,$F$2:K220,ROW(D220)-1,0)),F220)</f>
        <v xml:space="preserve">Podrás introducir preguntas UNA a UNA.
¿DESEAS CONTINUAR?
</v>
      </c>
      <c r="F220" s="342" t="s">
        <v>659</v>
      </c>
      <c r="G220" s="342" t="s">
        <v>1428</v>
      </c>
      <c r="H220" s="342" t="s">
        <v>1429</v>
      </c>
      <c r="I220" s="342" t="s">
        <v>660</v>
      </c>
      <c r="J220" s="342" t="s">
        <v>661</v>
      </c>
      <c r="K220" s="342" t="s">
        <v>994</v>
      </c>
      <c r="L220" s="342" t="str">
        <f t="shared" si="28"/>
        <v xml:space="preserve">Podrás introducir preguntas UNA a UNA.
¿DESEAS CONTINUAR?
</v>
      </c>
      <c r="M220" s="226" t="s">
        <v>117</v>
      </c>
    </row>
    <row r="221" spans="1:13" outlineLevel="1" x14ac:dyDescent="0.25">
      <c r="A221" s="412" t="str">
        <f t="shared" si="29"/>
        <v>Z_TX_24_</v>
      </c>
      <c r="B221" s="412" t="str">
        <f t="shared" si="26"/>
        <v>TX</v>
      </c>
      <c r="C221" s="412" t="s">
        <v>221</v>
      </c>
      <c r="D221" s="591"/>
      <c r="E221" s="341" t="str">
        <f>IFERROR(IF(D221&lt;&gt;"",D221,HLOOKUP($E$2,$F$2:K221,ROW(D221)-1,0)),F221)</f>
        <v xml:space="preserve">¿Estás seguro que quieres LIMPIAR los datos del Formulario?
NO se BORRARÁ ningún dato de las preguntas.
</v>
      </c>
      <c r="F221" s="341" t="s">
        <v>663</v>
      </c>
      <c r="G221" s="341" t="s">
        <v>1430</v>
      </c>
      <c r="H221" s="341" t="s">
        <v>1431</v>
      </c>
      <c r="I221" s="341" t="s">
        <v>662</v>
      </c>
      <c r="J221" s="341" t="s">
        <v>664</v>
      </c>
      <c r="K221" s="341" t="s">
        <v>18478</v>
      </c>
      <c r="L221" s="341" t="str">
        <f t="shared" si="28"/>
        <v xml:space="preserve">¿Estás seguro que quieres LIMPIAR los datos del Formulario?
NO se BORRARÁ ningún dato de las preguntas.
</v>
      </c>
      <c r="M221" s="226" t="s">
        <v>117</v>
      </c>
    </row>
    <row r="222" spans="1:13" outlineLevel="1" x14ac:dyDescent="0.25">
      <c r="A222" s="413" t="str">
        <f t="shared" si="29"/>
        <v>Z_TX_25_</v>
      </c>
      <c r="B222" s="413" t="str">
        <f t="shared" si="26"/>
        <v>TX</v>
      </c>
      <c r="C222" s="413" t="s">
        <v>222</v>
      </c>
      <c r="D222" s="594"/>
      <c r="E222" s="342" t="str">
        <f>IFERROR(IF(D222&lt;&gt;"",D222,HLOOKUP($E$2,$F$2:K222,ROW(D222)-1,0)),F222)</f>
        <v xml:space="preserve">¿Has utilizado Códigos Especiales del MENÚ LATERAL?
[ ^{^ , _{_  , N{  …  ]
</v>
      </c>
      <c r="F222" s="342" t="s">
        <v>18695</v>
      </c>
      <c r="G222" s="342" t="s">
        <v>18696</v>
      </c>
      <c r="H222" s="342" t="s">
        <v>18700</v>
      </c>
      <c r="I222" s="342" t="s">
        <v>18699</v>
      </c>
      <c r="J222" s="342" t="s">
        <v>18698</v>
      </c>
      <c r="K222" s="342" t="s">
        <v>18697</v>
      </c>
      <c r="L222" s="342" t="str">
        <f t="shared" si="28"/>
        <v xml:space="preserve">¿Has utilizado Códigos Especiales del MENÚ LATERAL?
[ ^{^ , _{_  , N{  …  ]
</v>
      </c>
      <c r="M222" s="226" t="s">
        <v>117</v>
      </c>
    </row>
    <row r="223" spans="1:13" outlineLevel="1" x14ac:dyDescent="0.25">
      <c r="A223" s="412" t="str">
        <f t="shared" si="29"/>
        <v>Z_TX_26_</v>
      </c>
      <c r="B223" s="412" t="str">
        <f t="shared" si="26"/>
        <v>TX</v>
      </c>
      <c r="C223" s="412" t="s">
        <v>223</v>
      </c>
      <c r="D223" s="593"/>
      <c r="E223" s="341" t="str">
        <f>IFERROR(IF(D223&lt;&gt;"",D223,HLOOKUP($E$2,$F$2:K223,ROW(D223)-1,0)),F223)</f>
        <v xml:space="preserve">NO HAY DATOS ALMACENADOS EN LA PREGUNTA SELECCIONADA.
</v>
      </c>
      <c r="F223" s="341" t="s">
        <v>665</v>
      </c>
      <c r="G223" s="341" t="s">
        <v>1432</v>
      </c>
      <c r="H223" s="341" t="s">
        <v>1433</v>
      </c>
      <c r="I223" s="341" t="s">
        <v>666</v>
      </c>
      <c r="J223" s="341" t="s">
        <v>667</v>
      </c>
      <c r="K223" s="341" t="s">
        <v>995</v>
      </c>
      <c r="L223" s="341" t="str">
        <f t="shared" si="28"/>
        <v xml:space="preserve">NO HAY DATOS ALMACENADOS EN LA PREGUNTA SELECCIONADA.
</v>
      </c>
      <c r="M223" s="226" t="s">
        <v>117</v>
      </c>
    </row>
    <row r="224" spans="1:13" outlineLevel="1" x14ac:dyDescent="0.25">
      <c r="A224" s="413" t="str">
        <f t="shared" si="29"/>
        <v>Z_TX_27_1_</v>
      </c>
      <c r="B224" s="413" t="str">
        <f t="shared" si="26"/>
        <v>TX</v>
      </c>
      <c r="C224" s="413" t="s">
        <v>669</v>
      </c>
      <c r="D224" s="578"/>
      <c r="E224" s="342" t="str">
        <f>IFERROR(IF(D224&lt;&gt;"",D224,HLOOKUP($E$2,$F$2:K224,ROW(D224)-1,0)),F224)</f>
        <v xml:space="preserve">¿Estás seguro que quieres BORRAR la pregunta </v>
      </c>
      <c r="F224" s="342" t="s">
        <v>668</v>
      </c>
      <c r="G224" s="342" t="s">
        <v>1434</v>
      </c>
      <c r="H224" s="342" t="s">
        <v>1435</v>
      </c>
      <c r="I224" s="342" t="s">
        <v>676</v>
      </c>
      <c r="J224" s="342" t="s">
        <v>674</v>
      </c>
      <c r="K224" s="342" t="s">
        <v>18479</v>
      </c>
      <c r="L224" s="342" t="str">
        <f t="shared" si="28"/>
        <v xml:space="preserve">¿Estás seguro que quieres BORRAR la pregunta </v>
      </c>
      <c r="M224" s="226" t="s">
        <v>117</v>
      </c>
    </row>
    <row r="225" spans="1:13" outlineLevel="1" x14ac:dyDescent="0.25">
      <c r="A225" s="412" t="str">
        <f>$A$1&amp;B225&amp;"_"&amp;C225&amp;"_"&amp;$A$2</f>
        <v>Z_TX_27_2_</v>
      </c>
      <c r="B225" s="412" t="str">
        <f t="shared" si="26"/>
        <v>TX</v>
      </c>
      <c r="C225" s="412" t="s">
        <v>670</v>
      </c>
      <c r="D225" s="577"/>
      <c r="E225" s="341" t="str">
        <f>IFERROR(IF(D225&lt;&gt;"",D225,HLOOKUP($E$2,$F$2:K225,ROW(D225)-1,0)),F225)</f>
        <v xml:space="preserve"> del cuestionario?</v>
      </c>
      <c r="F225" s="341" t="s">
        <v>671</v>
      </c>
      <c r="G225" s="341" t="s">
        <v>673</v>
      </c>
      <c r="H225" s="341" t="s">
        <v>672</v>
      </c>
      <c r="I225" s="341" t="s">
        <v>677</v>
      </c>
      <c r="J225" s="341" t="s">
        <v>675</v>
      </c>
      <c r="K225" s="341" t="s">
        <v>996</v>
      </c>
      <c r="L225" s="341" t="str">
        <f t="shared" si="28"/>
        <v xml:space="preserve"> del cuestionario?</v>
      </c>
      <c r="M225" s="226" t="s">
        <v>117</v>
      </c>
    </row>
    <row r="226" spans="1:13" outlineLevel="1" x14ac:dyDescent="0.25">
      <c r="A226" s="413" t="str">
        <f t="shared" si="29"/>
        <v>Z_TX_28_1_</v>
      </c>
      <c r="B226" s="413" t="str">
        <f t="shared" si="26"/>
        <v>TX</v>
      </c>
      <c r="C226" s="413" t="s">
        <v>678</v>
      </c>
      <c r="D226" s="578"/>
      <c r="E226" s="342" t="str">
        <f>IFERROR(IF(D226&lt;&gt;"",D226,HLOOKUP($E$2,$F$2:K226,ROW(D226)-1,0)),F226)</f>
        <v xml:space="preserve">La pregunta </v>
      </c>
      <c r="F226" s="342" t="s">
        <v>681</v>
      </c>
      <c r="G226" s="342" t="s">
        <v>1436</v>
      </c>
      <c r="H226" s="342" t="s">
        <v>691</v>
      </c>
      <c r="I226" s="342" t="s">
        <v>685</v>
      </c>
      <c r="J226" s="342" t="s">
        <v>688</v>
      </c>
      <c r="K226" s="342" t="s">
        <v>997</v>
      </c>
      <c r="L226" s="342" t="str">
        <f t="shared" si="28"/>
        <v xml:space="preserve">La pregunta </v>
      </c>
      <c r="M226" s="226" t="s">
        <v>117</v>
      </c>
    </row>
    <row r="227" spans="1:13" outlineLevel="1" x14ac:dyDescent="0.25">
      <c r="A227" s="412" t="str">
        <f t="shared" si="29"/>
        <v>Z_TX_28_2_</v>
      </c>
      <c r="B227" s="412" t="str">
        <f t="shared" si="26"/>
        <v>TX</v>
      </c>
      <c r="C227" s="412" t="s">
        <v>679</v>
      </c>
      <c r="D227" s="591"/>
      <c r="E227" s="341" t="str">
        <f>IFERROR(IF(D227&lt;&gt;"",D227,HLOOKUP($E$2,$F$2:K227,ROW(D227)-1,0)),F227)</f>
        <v xml:space="preserve"> ha sido borrada del Banco de Preguntas.
</v>
      </c>
      <c r="F227" s="341" t="s">
        <v>682</v>
      </c>
      <c r="G227" s="341" t="s">
        <v>684</v>
      </c>
      <c r="H227" s="341" t="s">
        <v>692</v>
      </c>
      <c r="I227" s="341" t="s">
        <v>686</v>
      </c>
      <c r="J227" s="341" t="s">
        <v>689</v>
      </c>
      <c r="K227" s="341" t="s">
        <v>18481</v>
      </c>
      <c r="L227" s="341" t="str">
        <f t="shared" si="28"/>
        <v xml:space="preserve"> ha sido borrada del Banco de Preguntas.
</v>
      </c>
      <c r="M227" s="226" t="s">
        <v>117</v>
      </c>
    </row>
    <row r="228" spans="1:13" outlineLevel="1" x14ac:dyDescent="0.25">
      <c r="A228" s="413" t="str">
        <f>$A$1&amp;B228&amp;"_"&amp;C228&amp;"_"&amp;$A$2</f>
        <v>Z_TX_28_3_</v>
      </c>
      <c r="B228" s="413" t="str">
        <f t="shared" si="26"/>
        <v>TX</v>
      </c>
      <c r="C228" s="413" t="s">
        <v>680</v>
      </c>
      <c r="D228" s="592"/>
      <c r="E228" s="342" t="str">
        <f>IFERROR(IF(D228&lt;&gt;"",D228,HLOOKUP($E$2,$F$2:K228,ROW(D228)-1,0)),F228)</f>
        <v xml:space="preserve"> no ha sido borrada del Banco de Preguntas.
</v>
      </c>
      <c r="F228" s="342" t="s">
        <v>683</v>
      </c>
      <c r="G228" s="342" t="s">
        <v>18480</v>
      </c>
      <c r="H228" s="342" t="s">
        <v>693</v>
      </c>
      <c r="I228" s="342" t="s">
        <v>687</v>
      </c>
      <c r="J228" s="342" t="s">
        <v>690</v>
      </c>
      <c r="K228" s="342" t="s">
        <v>18482</v>
      </c>
      <c r="L228" s="342" t="str">
        <f t="shared" si="28"/>
        <v xml:space="preserve"> no ha sido borrada del Banco de Preguntas.
</v>
      </c>
      <c r="M228" s="226" t="s">
        <v>117</v>
      </c>
    </row>
    <row r="229" spans="1:13" outlineLevel="1" x14ac:dyDescent="0.25">
      <c r="A229" s="412" t="str">
        <f t="shared" si="29"/>
        <v>Z_TX_29_</v>
      </c>
      <c r="B229" s="412" t="str">
        <f t="shared" si="26"/>
        <v>TX</v>
      </c>
      <c r="C229" s="412" t="s">
        <v>226</v>
      </c>
      <c r="D229" s="591"/>
      <c r="E229" s="341" t="str">
        <f>IFERROR(IF(D229&lt;&gt;"",D229,HLOOKUP($E$2,$F$2:K229,ROW(D229)-1,0)),F229)</f>
        <v xml:space="preserve">Si quieres personalizar la lista desplegable de las
          CATEGORÍAS y SUBCATEGORÍAS
pulsa en ACTIVAR.
Cuando la tengas personalizada, pulsa en DESACTIVAR. 
Puedes TENER en la lista desplegable: 
   - Hasta 20 nombres de CATEGORÍAS
   - Hasta 12 nombres de SUBCATEGORÍAS
             Pero RECUERDA NO USAR [Ctrl+X]
</v>
      </c>
      <c r="F229" s="341" t="s">
        <v>18194</v>
      </c>
      <c r="G229" s="341" t="s">
        <v>18195</v>
      </c>
      <c r="H229" s="341" t="s">
        <v>18196</v>
      </c>
      <c r="I229" s="341" t="s">
        <v>18197</v>
      </c>
      <c r="J229" s="341" t="s">
        <v>18198</v>
      </c>
      <c r="K229" s="341" t="s">
        <v>18483</v>
      </c>
      <c r="L229" s="341" t="str">
        <f t="shared" si="28"/>
        <v xml:space="preserve">Si quieres personalizar la lista desplegable de las
          CATEGORÍAS y SUBCATEGORÍAS
pulsa en ACTIVAR.
Cuando la tengas personalizada, pulsa en DESACTIVAR. 
Puedes TENER en la lista desplegable: 
   - Hasta 20 nombres de CATEGORÍAS
   - Hasta 12 nombres de SUBCATEGORÍAS
             Pero RECUERDA NO USAR [Ctrl+X]
</v>
      </c>
      <c r="M229" s="226" t="s">
        <v>117</v>
      </c>
    </row>
    <row r="230" spans="1:13" outlineLevel="1" x14ac:dyDescent="0.25">
      <c r="A230" s="413" t="str">
        <f t="shared" si="29"/>
        <v>Z_TX_30_</v>
      </c>
      <c r="B230" s="413" t="str">
        <f t="shared" si="26"/>
        <v>TX</v>
      </c>
      <c r="C230" s="413" t="s">
        <v>227</v>
      </c>
      <c r="D230" s="594"/>
      <c r="E230" s="342" t="str">
        <f>IFERROR(IF(D230&lt;&gt;"",D230,HLOOKUP($E$2,$F$2:K230,ROW(D230)-1,0)),F230)</f>
        <v xml:space="preserve">Si quieres usar CELDAS VARIABLES para las preguntas, pulsa ACTIVAR.
Si NO quieres usarlas , pulsa DESACTIVAR.
Puedes usarlas:
     - Como variables de palabras,
     - Como celdas de EXCEL con FÓRMULAS,
     - Cualquier otra cosa que sepas hacer con EXCEL.
          Pero RECUERDA NO USAR [Ctrl+X]
</v>
      </c>
      <c r="F230" s="342" t="s">
        <v>1437</v>
      </c>
      <c r="G230" s="342" t="s">
        <v>1438</v>
      </c>
      <c r="H230" s="342" t="s">
        <v>1439</v>
      </c>
      <c r="I230" s="342" t="s">
        <v>694</v>
      </c>
      <c r="J230" s="342" t="s">
        <v>695</v>
      </c>
      <c r="K230" s="342" t="s">
        <v>18484</v>
      </c>
      <c r="L230" s="342" t="str">
        <f t="shared" si="28"/>
        <v xml:space="preserve">Si quieres usar CELDAS VARIABLES para las preguntas, pulsa ACTIVAR.
Si NO quieres usarlas , pulsa DESACTIVAR.
Puedes usarlas:
     - Como variables de palabras,
     - Como celdas de EXCEL con FÓRMULAS,
     - Cualquier otra cosa que sepas hacer con EXCEL.
          Pero RECUERDA NO USAR [Ctrl+X]
</v>
      </c>
      <c r="M230" s="226" t="s">
        <v>117</v>
      </c>
    </row>
    <row r="231" spans="1:13" outlineLevel="1" x14ac:dyDescent="0.25">
      <c r="A231" s="412" t="str">
        <f t="shared" si="29"/>
        <v>Z_TX_31_</v>
      </c>
      <c r="B231" s="412" t="str">
        <f t="shared" si="26"/>
        <v>TX</v>
      </c>
      <c r="C231" s="412" t="s">
        <v>228</v>
      </c>
      <c r="D231" s="591"/>
      <c r="E231" s="341" t="str">
        <f>IFERROR(IF(D231&lt;&gt;"",D231,HLOOKUP($E$2,$F$2:K231,ROW(D231)-1,0)),F231)</f>
        <v xml:space="preserve">¿DESEAS REEMPLAZAR EL ARCHIVO EXISTENTE?
</v>
      </c>
      <c r="F231" s="341" t="s">
        <v>696</v>
      </c>
      <c r="G231" s="341" t="s">
        <v>700</v>
      </c>
      <c r="H231" s="341" t="s">
        <v>697</v>
      </c>
      <c r="I231" s="341" t="s">
        <v>699</v>
      </c>
      <c r="J231" s="341" t="s">
        <v>698</v>
      </c>
      <c r="K231" s="341" t="s">
        <v>18485</v>
      </c>
      <c r="L231" s="341" t="str">
        <f t="shared" si="28"/>
        <v xml:space="preserve">¿DESEAS REEMPLAZAR EL ARCHIVO EXISTENTE?
</v>
      </c>
      <c r="M231" s="226" t="s">
        <v>117</v>
      </c>
    </row>
    <row r="232" spans="1:13" outlineLevel="1" x14ac:dyDescent="0.25">
      <c r="A232" s="413" t="str">
        <f t="shared" si="29"/>
        <v>Z_TX_32_</v>
      </c>
      <c r="B232" s="413" t="str">
        <f t="shared" si="26"/>
        <v>TX</v>
      </c>
      <c r="C232" s="413" t="s">
        <v>229</v>
      </c>
      <c r="D232" s="578"/>
      <c r="E232" s="342" t="str">
        <f>IFERROR(IF(D232&lt;&gt;"",D232,HLOOKUP($E$2,$F$2:K232,ROW(D232)-1,0)),F232)</f>
        <v xml:space="preserve">SE REEMPLAZARÁ EL ARCHIVO: </v>
      </c>
      <c r="F232" s="342" t="s">
        <v>701</v>
      </c>
      <c r="G232" s="342" t="s">
        <v>18486</v>
      </c>
      <c r="H232" s="342" t="s">
        <v>718</v>
      </c>
      <c r="I232" s="342" t="s">
        <v>18487</v>
      </c>
      <c r="J232" s="342" t="s">
        <v>18488</v>
      </c>
      <c r="K232" s="342" t="s">
        <v>18489</v>
      </c>
      <c r="L232" s="342" t="str">
        <f t="shared" si="28"/>
        <v xml:space="preserve">SE REEMPLAZARÁ EL ARCHIVO: </v>
      </c>
      <c r="M232" s="226" t="s">
        <v>117</v>
      </c>
    </row>
    <row r="233" spans="1:13" outlineLevel="1" x14ac:dyDescent="0.25">
      <c r="A233" s="412" t="str">
        <f t="shared" si="29"/>
        <v>Z_TX_33_</v>
      </c>
      <c r="B233" s="412" t="str">
        <f t="shared" si="26"/>
        <v>TX</v>
      </c>
      <c r="C233" s="412" t="s">
        <v>230</v>
      </c>
      <c r="D233" s="577"/>
      <c r="E233" s="341" t="str">
        <f>IFERROR(IF(D233&lt;&gt;"",D233,HLOOKUP($E$2,$F$2:K233,ROW(D233)-1,0)),F233)</f>
        <v>ARCHIVOS TEXTO</v>
      </c>
      <c r="F233" s="341" t="s">
        <v>702</v>
      </c>
      <c r="G233" s="341" t="s">
        <v>707</v>
      </c>
      <c r="H233" s="341" t="s">
        <v>719</v>
      </c>
      <c r="I233" s="341" t="s">
        <v>711</v>
      </c>
      <c r="J233" s="341" t="s">
        <v>715</v>
      </c>
      <c r="K233" s="341" t="s">
        <v>998</v>
      </c>
      <c r="L233" s="341" t="str">
        <f t="shared" si="28"/>
        <v>ARCHIVOS TEXTO</v>
      </c>
      <c r="M233" s="226" t="s">
        <v>117</v>
      </c>
    </row>
    <row r="234" spans="1:13" outlineLevel="1" x14ac:dyDescent="0.25">
      <c r="A234" s="413" t="str">
        <f t="shared" si="29"/>
        <v>Z_TX_34_</v>
      </c>
      <c r="B234" s="413" t="str">
        <f t="shared" si="26"/>
        <v>TX</v>
      </c>
      <c r="C234" s="413" t="s">
        <v>231</v>
      </c>
      <c r="D234" s="578"/>
      <c r="E234" s="342" t="str">
        <f>IFERROR(IF(D234&lt;&gt;"",D234,HLOOKUP($E$2,$F$2:K234,ROW(D234)-1,0)),F234)</f>
        <v>ARCHIVOS EXCEL</v>
      </c>
      <c r="F234" s="342" t="s">
        <v>703</v>
      </c>
      <c r="G234" s="342" t="s">
        <v>708</v>
      </c>
      <c r="H234" s="342" t="s">
        <v>720</v>
      </c>
      <c r="I234" s="342" t="s">
        <v>712</v>
      </c>
      <c r="J234" s="342" t="s">
        <v>716</v>
      </c>
      <c r="K234" s="342" t="s">
        <v>999</v>
      </c>
      <c r="L234" s="342" t="str">
        <f t="shared" si="28"/>
        <v>ARCHIVOS EXCEL</v>
      </c>
      <c r="M234" s="226" t="s">
        <v>117</v>
      </c>
    </row>
    <row r="235" spans="1:13" outlineLevel="1" x14ac:dyDescent="0.25">
      <c r="A235" s="412" t="str">
        <f t="shared" si="29"/>
        <v>Z_TX_35_</v>
      </c>
      <c r="B235" s="412" t="str">
        <f>B234</f>
        <v>TX</v>
      </c>
      <c r="C235" s="412" t="s">
        <v>232</v>
      </c>
      <c r="D235" s="577"/>
      <c r="E235" s="341" t="str">
        <f>IFERROR(IF(D235&lt;&gt;"",D235,HLOOKUP($E$2,$F$2:K235,ROW(D235)-1,0)),F235)</f>
        <v>ARCHIVOS MOODLE</v>
      </c>
      <c r="F235" s="341" t="s">
        <v>704</v>
      </c>
      <c r="G235" s="341" t="s">
        <v>709</v>
      </c>
      <c r="H235" s="341" t="s">
        <v>721</v>
      </c>
      <c r="I235" s="341" t="s">
        <v>713</v>
      </c>
      <c r="J235" s="341" t="s">
        <v>709</v>
      </c>
      <c r="K235" s="341" t="s">
        <v>1000</v>
      </c>
      <c r="L235" s="341" t="str">
        <f t="shared" si="28"/>
        <v>ARCHIVOS MOODLE</v>
      </c>
      <c r="M235" s="226" t="s">
        <v>117</v>
      </c>
    </row>
    <row r="236" spans="1:13" outlineLevel="1" x14ac:dyDescent="0.25">
      <c r="A236" s="413" t="str">
        <f>$A$1&amp;B236&amp;"_"&amp;C236&amp;"_"&amp;$A$2</f>
        <v>Z_TX_35_1_</v>
      </c>
      <c r="B236" s="413" t="str">
        <f>B233</f>
        <v>TX</v>
      </c>
      <c r="C236" s="413" t="s">
        <v>1563</v>
      </c>
      <c r="D236" s="578"/>
      <c r="E236" s="342" t="str">
        <f>IFERROR(IF(D236&lt;&gt;"",D236,HLOOKUP($E$2,$F$2:K236,ROW(D236)-1,0)),F236)</f>
        <v>ARCHIVOS JUEGO</v>
      </c>
      <c r="F236" s="342" t="s">
        <v>1564</v>
      </c>
      <c r="G236" s="342" t="s">
        <v>1565</v>
      </c>
      <c r="H236" s="342" t="s">
        <v>1566</v>
      </c>
      <c r="I236" s="342" t="s">
        <v>1567</v>
      </c>
      <c r="J236" s="342" t="s">
        <v>1568</v>
      </c>
      <c r="K236" s="342" t="s">
        <v>1569</v>
      </c>
      <c r="L236" s="342" t="str">
        <f t="shared" si="28"/>
        <v>ARCHIVOS JUEGO</v>
      </c>
      <c r="M236" s="226" t="s">
        <v>117</v>
      </c>
    </row>
    <row r="237" spans="1:13" outlineLevel="1" x14ac:dyDescent="0.25">
      <c r="A237" s="412" t="str">
        <f>$A$1&amp;B237&amp;"_"&amp;C237&amp;"_"&amp;$A$2</f>
        <v>Z_TX_35_2_</v>
      </c>
      <c r="B237" s="412" t="str">
        <f>B232</f>
        <v>TX</v>
      </c>
      <c r="C237" s="412" t="s">
        <v>18809</v>
      </c>
      <c r="D237" s="577"/>
      <c r="E237" s="341" t="str">
        <f>IFERROR(IF(D237&lt;&gt;"",D237,HLOOKUP($E$2,$F$2:K237,ROW(D237)-1,0)),F237)</f>
        <v>ARCHIVOS FORMULAS</v>
      </c>
      <c r="F237" s="341" t="s">
        <v>18803</v>
      </c>
      <c r="G237" s="341" t="s">
        <v>18804</v>
      </c>
      <c r="H237" s="341" t="s">
        <v>18805</v>
      </c>
      <c r="I237" s="341" t="s">
        <v>18806</v>
      </c>
      <c r="J237" s="341" t="s">
        <v>18807</v>
      </c>
      <c r="K237" s="341" t="s">
        <v>18808</v>
      </c>
      <c r="L237" s="341" t="str">
        <f>E237</f>
        <v>ARCHIVOS FORMULAS</v>
      </c>
      <c r="M237" s="226" t="s">
        <v>117</v>
      </c>
    </row>
    <row r="238" spans="1:13" outlineLevel="1" x14ac:dyDescent="0.25">
      <c r="A238" s="413" t="str">
        <f t="shared" si="29"/>
        <v>Z_TX_36_</v>
      </c>
      <c r="B238" s="413" t="str">
        <f>B235</f>
        <v>TX</v>
      </c>
      <c r="C238" s="413" t="s">
        <v>233</v>
      </c>
      <c r="D238" s="592"/>
      <c r="E238" s="342" t="str">
        <f>IFERROR(IF(D238&lt;&gt;"",D238,HLOOKUP($E$2,$F$2:K238,ROW(D238)-1,0)),F238)</f>
        <v xml:space="preserve">NO SE REEMPLAZARÁ EL ARCHIVO. 
EL NUEVO ARCHIVO SE LLAMA:
</v>
      </c>
      <c r="F238" s="342" t="s">
        <v>723</v>
      </c>
      <c r="G238" s="342" t="s">
        <v>724</v>
      </c>
      <c r="H238" s="342" t="s">
        <v>722</v>
      </c>
      <c r="I238" s="342" t="s">
        <v>725</v>
      </c>
      <c r="J238" s="342" t="s">
        <v>726</v>
      </c>
      <c r="K238" s="342" t="s">
        <v>1001</v>
      </c>
      <c r="L238" s="342" t="str">
        <f t="shared" si="28"/>
        <v xml:space="preserve">NO SE REEMPLAZARÁ EL ARCHIVO. 
EL NUEVO ARCHIVO SE LLAMA:
</v>
      </c>
      <c r="M238" s="226" t="s">
        <v>117</v>
      </c>
    </row>
    <row r="239" spans="1:13" outlineLevel="1" x14ac:dyDescent="0.25">
      <c r="A239" s="412" t="str">
        <f t="shared" si="29"/>
        <v>Z_TX_37_</v>
      </c>
      <c r="B239" s="412" t="str">
        <f t="shared" si="26"/>
        <v>TX</v>
      </c>
      <c r="C239" s="412" t="s">
        <v>234</v>
      </c>
      <c r="D239" s="577"/>
      <c r="E239" s="341" t="str">
        <f>IFERROR(IF(D239&lt;&gt;"",D239,HLOOKUP($E$2,$F$2:K239,ROW(D239)-1,0)),F239)</f>
        <v>EN LA CARPETA:</v>
      </c>
      <c r="F239" s="341" t="s">
        <v>705</v>
      </c>
      <c r="G239" s="341" t="s">
        <v>710</v>
      </c>
      <c r="H239" s="341" t="s">
        <v>727</v>
      </c>
      <c r="I239" s="341" t="s">
        <v>714</v>
      </c>
      <c r="J239" s="341" t="s">
        <v>717</v>
      </c>
      <c r="K239" s="341" t="s">
        <v>1002</v>
      </c>
      <c r="L239" s="341" t="str">
        <f t="shared" si="28"/>
        <v>EN LA CARPETA:</v>
      </c>
      <c r="M239" s="226" t="s">
        <v>117</v>
      </c>
    </row>
    <row r="240" spans="1:13" outlineLevel="1" x14ac:dyDescent="0.25">
      <c r="A240" s="413" t="str">
        <f t="shared" si="29"/>
        <v>Z_TX_38_</v>
      </c>
      <c r="B240" s="413" t="str">
        <f t="shared" si="26"/>
        <v>TX</v>
      </c>
      <c r="C240" s="413" t="s">
        <v>235</v>
      </c>
      <c r="D240" s="578"/>
      <c r="E240" s="342" t="str">
        <f>IFERROR(IF(D240&lt;&gt;"",D240,HLOOKUP($E$2,$F$2:K240,ROW(D240)-1,0)),F240)</f>
        <v xml:space="preserve">Se ha creado el archivo con nombre: </v>
      </c>
      <c r="F240" s="342" t="s">
        <v>706</v>
      </c>
      <c r="G240" s="342" t="s">
        <v>18490</v>
      </c>
      <c r="H240" s="342" t="s">
        <v>18491</v>
      </c>
      <c r="I240" s="342" t="s">
        <v>18492</v>
      </c>
      <c r="J240" s="342" t="s">
        <v>18493</v>
      </c>
      <c r="K240" s="342" t="s">
        <v>18494</v>
      </c>
      <c r="L240" s="342" t="str">
        <f t="shared" si="28"/>
        <v xml:space="preserve">Se ha creado el archivo con nombre: </v>
      </c>
      <c r="M240" s="226" t="s">
        <v>117</v>
      </c>
    </row>
    <row r="241" spans="1:13" outlineLevel="1" x14ac:dyDescent="0.25">
      <c r="A241" s="412" t="str">
        <f t="shared" si="29"/>
        <v>Z_TX_39_</v>
      </c>
      <c r="B241" s="412" t="str">
        <f t="shared" si="26"/>
        <v>TX</v>
      </c>
      <c r="C241" s="412" t="s">
        <v>454</v>
      </c>
      <c r="D241" s="577"/>
      <c r="E241" s="341" t="str">
        <f>IFERROR(IF(D241&lt;&gt;"",D241,HLOOKUP($E$2,$F$2:K241,ROW(D241)-1,0)),F241)</f>
        <v>FALSO</v>
      </c>
      <c r="F241" s="341" t="s">
        <v>728</v>
      </c>
      <c r="G241" s="341" t="s">
        <v>544</v>
      </c>
      <c r="H241" s="341" t="s">
        <v>546</v>
      </c>
      <c r="I241" s="341" t="s">
        <v>728</v>
      </c>
      <c r="J241" s="341" t="s">
        <v>728</v>
      </c>
      <c r="K241" s="341" t="s">
        <v>952</v>
      </c>
      <c r="L241" s="341" t="str">
        <f t="shared" si="28"/>
        <v>FALSO</v>
      </c>
      <c r="M241" s="226" t="s">
        <v>117</v>
      </c>
    </row>
    <row r="242" spans="1:13" outlineLevel="1" x14ac:dyDescent="0.25">
      <c r="A242" s="413" t="str">
        <f>$A$1&amp;B242&amp;"_"&amp;C242&amp;"_"&amp;$A$2</f>
        <v>Z_TX_40_</v>
      </c>
      <c r="B242" s="413" t="str">
        <f t="shared" si="26"/>
        <v>TX</v>
      </c>
      <c r="C242" s="413">
        <v>40</v>
      </c>
      <c r="D242" s="578"/>
      <c r="E242" s="342" t="str">
        <f>IFERROR(IF(D242&lt;&gt;"",D242,HLOOKUP($E$2,$F$2:K242,ROW(D242)-1,0)),F242)</f>
        <v>¿DESEAS CONTINUAR?</v>
      </c>
      <c r="F242" s="342" t="s">
        <v>734</v>
      </c>
      <c r="G242" s="342" t="s">
        <v>754</v>
      </c>
      <c r="H242" s="342" t="s">
        <v>749</v>
      </c>
      <c r="I242" s="342" t="s">
        <v>739</v>
      </c>
      <c r="J242" s="342" t="s">
        <v>744</v>
      </c>
      <c r="K242" s="342" t="s">
        <v>1003</v>
      </c>
      <c r="L242" s="342" t="str">
        <f t="shared" si="28"/>
        <v>¿DESEAS CONTINUAR?</v>
      </c>
      <c r="M242" s="226" t="s">
        <v>117</v>
      </c>
    </row>
    <row r="243" spans="1:13" outlineLevel="1" x14ac:dyDescent="0.25">
      <c r="A243" s="412" t="str">
        <f t="shared" si="29"/>
        <v>Z_TX_41_1_</v>
      </c>
      <c r="B243" s="412" t="str">
        <f t="shared" si="26"/>
        <v>TX</v>
      </c>
      <c r="C243" s="412" t="s">
        <v>811</v>
      </c>
      <c r="D243" s="577"/>
      <c r="E243" s="341" t="str">
        <f>IFERROR(IF(D243&lt;&gt;"",D243,HLOOKUP($E$2,$F$2:K243,ROW(D243)-1,0)),F243)</f>
        <v>- El NOMBRE actual de la CATEGORÍA es:</v>
      </c>
      <c r="F243" s="341" t="s">
        <v>730</v>
      </c>
      <c r="G243" s="341" t="s">
        <v>750</v>
      </c>
      <c r="H243" s="341" t="s">
        <v>745</v>
      </c>
      <c r="I243" s="341" t="s">
        <v>735</v>
      </c>
      <c r="J243" s="341" t="s">
        <v>740</v>
      </c>
      <c r="K243" s="341" t="s">
        <v>1004</v>
      </c>
      <c r="L243" s="341" t="str">
        <f t="shared" si="28"/>
        <v>- El NOMBRE actual de la CATEGORÍA es:</v>
      </c>
      <c r="M243" s="226" t="s">
        <v>117</v>
      </c>
    </row>
    <row r="244" spans="1:13" outlineLevel="1" x14ac:dyDescent="0.25">
      <c r="A244" s="413" t="str">
        <f t="shared" si="29"/>
        <v>Z_TX_41_2_</v>
      </c>
      <c r="B244" s="413" t="str">
        <f t="shared" si="26"/>
        <v>TX</v>
      </c>
      <c r="C244" s="413" t="s">
        <v>812</v>
      </c>
      <c r="D244" s="578"/>
      <c r="E244" s="342" t="str">
        <f>IFERROR(IF(D244&lt;&gt;"",D244,HLOOKUP($E$2,$F$2:K244,ROW(D244)-1,0)),F244)</f>
        <v>- La DESCRIPCIÓN es:</v>
      </c>
      <c r="F244" s="342" t="s">
        <v>731</v>
      </c>
      <c r="G244" s="342" t="s">
        <v>751</v>
      </c>
      <c r="H244" s="342" t="s">
        <v>746</v>
      </c>
      <c r="I244" s="342" t="s">
        <v>736</v>
      </c>
      <c r="J244" s="342" t="s">
        <v>741</v>
      </c>
      <c r="K244" s="342" t="s">
        <v>1005</v>
      </c>
      <c r="L244" s="342" t="str">
        <f t="shared" si="28"/>
        <v>- La DESCRIPCIÓN es:</v>
      </c>
      <c r="M244" s="226" t="s">
        <v>117</v>
      </c>
    </row>
    <row r="245" spans="1:13" outlineLevel="1" x14ac:dyDescent="0.25">
      <c r="A245" s="412" t="str">
        <f>$A$1&amp;B245&amp;"_"&amp;C245&amp;"_"&amp;$A$2</f>
        <v>Z_TX_41_3_</v>
      </c>
      <c r="B245" s="412" t="str">
        <f t="shared" si="26"/>
        <v>TX</v>
      </c>
      <c r="C245" s="412" t="s">
        <v>813</v>
      </c>
      <c r="D245" s="577"/>
      <c r="E245" s="341" t="str">
        <f>IFERROR(IF(D245&lt;&gt;"",D245,HLOOKUP($E$2,$F$2:K245,ROW(D245)-1,0)),F245)</f>
        <v>- El NOMBRE actual de la SUBCATEGORÍA es:</v>
      </c>
      <c r="F245" s="341" t="s">
        <v>732</v>
      </c>
      <c r="G245" s="341" t="s">
        <v>752</v>
      </c>
      <c r="H245" s="341" t="s">
        <v>747</v>
      </c>
      <c r="I245" s="341" t="s">
        <v>737</v>
      </c>
      <c r="J245" s="341" t="s">
        <v>742</v>
      </c>
      <c r="K245" s="341" t="s">
        <v>1006</v>
      </c>
      <c r="L245" s="341" t="str">
        <f t="shared" si="28"/>
        <v>- El NOMBRE actual de la SUBCATEGORÍA es:</v>
      </c>
      <c r="M245" s="226" t="s">
        <v>117</v>
      </c>
    </row>
    <row r="246" spans="1:13" outlineLevel="1" x14ac:dyDescent="0.25">
      <c r="A246" s="413" t="str">
        <f t="shared" si="29"/>
        <v>Z_TX_41_5_</v>
      </c>
      <c r="B246" s="413" t="str">
        <f t="shared" si="26"/>
        <v>TX</v>
      </c>
      <c r="C246" s="413" t="s">
        <v>729</v>
      </c>
      <c r="D246" s="574"/>
      <c r="E246" s="342" t="str">
        <f>IFERROR(IF(D246&lt;&gt;"",D246,HLOOKUP($E$2,$F$2:K246,ROW(D246)-1,0)),F246)</f>
        <v>- El PREFIJO para TODAS las PREGUNTAS es:</v>
      </c>
      <c r="F246" s="342" t="s">
        <v>733</v>
      </c>
      <c r="G246" s="342" t="s">
        <v>753</v>
      </c>
      <c r="H246" s="342" t="s">
        <v>748</v>
      </c>
      <c r="I246" s="342" t="s">
        <v>738</v>
      </c>
      <c r="J246" s="342" t="s">
        <v>743</v>
      </c>
      <c r="K246" s="342" t="s">
        <v>1007</v>
      </c>
      <c r="L246" s="342" t="str">
        <f t="shared" si="28"/>
        <v>- El PREFIJO para TODAS las PREGUNTAS es:</v>
      </c>
      <c r="M246" s="226" t="s">
        <v>117</v>
      </c>
    </row>
    <row r="247" spans="1:13" outlineLevel="1" x14ac:dyDescent="0.25">
      <c r="A247" s="412" t="str">
        <f t="shared" si="29"/>
        <v>Z_TX_41_6_</v>
      </c>
      <c r="B247" s="412" t="str">
        <f t="shared" si="26"/>
        <v>TX</v>
      </c>
      <c r="C247" s="412" t="s">
        <v>759</v>
      </c>
      <c r="D247" s="577"/>
      <c r="E247" s="341" t="str">
        <f>IFERROR(IF(D247&lt;&gt;"",D247,HLOOKUP($E$2,$F$2:K247,ROW(D247)-1,0)),F247)</f>
        <v xml:space="preserve">- El Nº INICIAL y FINAL de las preguntas  que se van a EXPORTAR es: </v>
      </c>
      <c r="F247" s="341" t="s">
        <v>755</v>
      </c>
      <c r="G247" s="341" t="s">
        <v>763</v>
      </c>
      <c r="H247" s="341" t="s">
        <v>766</v>
      </c>
      <c r="I247" s="341" t="s">
        <v>770</v>
      </c>
      <c r="J247" s="341" t="s">
        <v>774</v>
      </c>
      <c r="K247" s="341" t="s">
        <v>1008</v>
      </c>
      <c r="L247" s="341" t="str">
        <f t="shared" si="28"/>
        <v xml:space="preserve">- El Nº INICIAL y FINAL de las preguntas  que se van a EXPORTAR es: </v>
      </c>
      <c r="M247" s="226" t="s">
        <v>117</v>
      </c>
    </row>
    <row r="248" spans="1:13" outlineLevel="1" x14ac:dyDescent="0.25">
      <c r="A248" s="413" t="str">
        <f>$A$1&amp;B248&amp;"_"&amp;C248&amp;"_"&amp;$A$2</f>
        <v>Z_TX_41_7_</v>
      </c>
      <c r="B248" s="413" t="str">
        <f t="shared" si="26"/>
        <v>TX</v>
      </c>
      <c r="C248" s="413" t="s">
        <v>760</v>
      </c>
      <c r="D248" s="578"/>
      <c r="E248" s="342" t="str">
        <f>IFERROR(IF(D248&lt;&gt;"",D248,HLOOKUP($E$2,$F$2:K248,ROW(D248)-1,0)),F248)</f>
        <v>- EL total de BANCO DE PREGUNTAS:</v>
      </c>
      <c r="F248" s="342" t="s">
        <v>756</v>
      </c>
      <c r="G248" s="342" t="s">
        <v>764</v>
      </c>
      <c r="H248" s="342" t="s">
        <v>767</v>
      </c>
      <c r="I248" s="342" t="s">
        <v>771</v>
      </c>
      <c r="J248" s="342" t="s">
        <v>775</v>
      </c>
      <c r="K248" s="342" t="s">
        <v>1009</v>
      </c>
      <c r="L248" s="342" t="str">
        <f t="shared" si="28"/>
        <v>- EL total de BANCO DE PREGUNTAS:</v>
      </c>
      <c r="M248" s="226" t="s">
        <v>117</v>
      </c>
    </row>
    <row r="249" spans="1:13" outlineLevel="1" x14ac:dyDescent="0.25">
      <c r="A249" s="412" t="str">
        <f t="shared" si="29"/>
        <v>Z_TX_41_8_</v>
      </c>
      <c r="B249" s="412" t="str">
        <f t="shared" si="26"/>
        <v>TX</v>
      </c>
      <c r="C249" s="412" t="s">
        <v>761</v>
      </c>
      <c r="D249" s="575"/>
      <c r="E249" s="341" t="str">
        <f>IFERROR(IF(D249&lt;&gt;"",D249,HLOOKUP($E$2,$F$2:K249,ROW(D249)-1,0)),F249)</f>
        <v xml:space="preserve">Has seleccionado exportar TODOS los cuestionarios. </v>
      </c>
      <c r="F249" s="341" t="s">
        <v>757</v>
      </c>
      <c r="G249" s="341" t="s">
        <v>1440</v>
      </c>
      <c r="H249" s="341" t="s">
        <v>768</v>
      </c>
      <c r="I249" s="341" t="s">
        <v>772</v>
      </c>
      <c r="J249" s="341" t="s">
        <v>776</v>
      </c>
      <c r="K249" s="341" t="s">
        <v>1010</v>
      </c>
      <c r="L249" s="341" t="str">
        <f t="shared" si="28"/>
        <v xml:space="preserve">Has seleccionado exportar TODOS los cuestionarios. </v>
      </c>
      <c r="M249" s="226" t="s">
        <v>117</v>
      </c>
    </row>
    <row r="250" spans="1:13" outlineLevel="1" x14ac:dyDescent="0.25">
      <c r="A250" s="413" t="str">
        <f t="shared" si="29"/>
        <v>Z_TX_41_9_</v>
      </c>
      <c r="B250" s="413" t="str">
        <f t="shared" si="26"/>
        <v>TX</v>
      </c>
      <c r="C250" s="413" t="s">
        <v>762</v>
      </c>
      <c r="D250" s="574"/>
      <c r="E250" s="342" t="str">
        <f>IFERROR(IF(D250&lt;&gt;"",D250,HLOOKUP($E$2,$F$2:K250,ROW(D250)-1,0)),F250)</f>
        <v>- El NOMBRE de las SUBCATEGORÍAS será el de la lista desplegable para:</v>
      </c>
      <c r="F250" s="342" t="s">
        <v>758</v>
      </c>
      <c r="G250" s="342" t="s">
        <v>765</v>
      </c>
      <c r="H250" s="342" t="s">
        <v>769</v>
      </c>
      <c r="I250" s="342" t="s">
        <v>773</v>
      </c>
      <c r="J250" s="342" t="s">
        <v>777</v>
      </c>
      <c r="K250" s="342" t="s">
        <v>1011</v>
      </c>
      <c r="L250" s="342" t="str">
        <f t="shared" si="28"/>
        <v>- El NOMBRE de las SUBCATEGORÍAS será el de la lista desplegable para:</v>
      </c>
      <c r="M250" s="226" t="s">
        <v>117</v>
      </c>
    </row>
    <row r="251" spans="1:13" outlineLevel="1" x14ac:dyDescent="0.25">
      <c r="A251" s="412" t="str">
        <f t="shared" si="29"/>
        <v>Z_TX_42_1_</v>
      </c>
      <c r="B251" s="412" t="str">
        <f t="shared" si="26"/>
        <v>TX</v>
      </c>
      <c r="C251" s="412" t="s">
        <v>779</v>
      </c>
      <c r="D251" s="577"/>
      <c r="E251" s="341" t="str">
        <f>IFERROR(IF(D251&lt;&gt;"",D251,HLOOKUP($E$2,$F$2:K251,ROW(D251)-1,0)),F251)</f>
        <v xml:space="preserve">- El Tipo Numeración de las respuestas para los cuestionarios OPCIÓN MÚLTIPLE es: </v>
      </c>
      <c r="F251" s="341" t="s">
        <v>778</v>
      </c>
      <c r="G251" s="341" t="s">
        <v>787</v>
      </c>
      <c r="H251" s="341" t="s">
        <v>785</v>
      </c>
      <c r="I251" s="341" t="s">
        <v>783</v>
      </c>
      <c r="J251" s="341" t="s">
        <v>781</v>
      </c>
      <c r="K251" s="341" t="s">
        <v>1012</v>
      </c>
      <c r="L251" s="341" t="str">
        <f t="shared" si="28"/>
        <v xml:space="preserve">- El Tipo Numeración de las respuestas para los cuestionarios OPCIÓN MÚLTIPLE es: </v>
      </c>
      <c r="M251" s="226" t="s">
        <v>117</v>
      </c>
    </row>
    <row r="252" spans="1:13" outlineLevel="1" x14ac:dyDescent="0.25">
      <c r="A252" s="413" t="str">
        <f t="shared" si="29"/>
        <v>Z_TX_42_2_</v>
      </c>
      <c r="B252" s="413" t="str">
        <f t="shared" si="26"/>
        <v>TX</v>
      </c>
      <c r="C252" s="413" t="s">
        <v>780</v>
      </c>
      <c r="D252" s="578"/>
      <c r="E252" s="342" t="str">
        <f>IFERROR(IF(D252&lt;&gt;"",D252,HLOOKUP($E$2,$F$2:K252,ROW(D252)-1,0)),F252)</f>
        <v xml:space="preserve">- Con respecto al comportamiento de las respuestas, has seleccionado: </v>
      </c>
      <c r="F252" s="342" t="s">
        <v>829</v>
      </c>
      <c r="G252" s="342" t="s">
        <v>788</v>
      </c>
      <c r="H252" s="342" t="s">
        <v>786</v>
      </c>
      <c r="I252" s="342" t="s">
        <v>784</v>
      </c>
      <c r="J252" s="342" t="s">
        <v>782</v>
      </c>
      <c r="K252" s="342" t="s">
        <v>1013</v>
      </c>
      <c r="L252" s="342" t="str">
        <f t="shared" si="28"/>
        <v xml:space="preserve">- Con respecto al comportamiento de las respuestas, has seleccionado: </v>
      </c>
      <c r="M252" s="226" t="s">
        <v>117</v>
      </c>
    </row>
    <row r="253" spans="1:13" outlineLevel="1" x14ac:dyDescent="0.25">
      <c r="A253" s="412" t="str">
        <f t="shared" si="29"/>
        <v>Z_TX_43_</v>
      </c>
      <c r="B253" s="412" t="str">
        <f t="shared" si="26"/>
        <v>TX</v>
      </c>
      <c r="C253" s="412">
        <v>43</v>
      </c>
      <c r="D253" s="575"/>
      <c r="E253" s="341" t="str">
        <f>IFERROR(IF(D253&lt;&gt;"",D253,HLOOKUP($E$2,$F$2:K253,ROW(D253)-1,0)),F253)</f>
        <v xml:space="preserve">NO HAY PREGUNTAS EN EL BANCO DE PREGUNTAS: </v>
      </c>
      <c r="F253" s="341" t="s">
        <v>18556</v>
      </c>
      <c r="G253" s="341" t="s">
        <v>18557</v>
      </c>
      <c r="H253" s="341" t="s">
        <v>18558</v>
      </c>
      <c r="I253" s="341" t="s">
        <v>18559</v>
      </c>
      <c r="J253" s="341" t="s">
        <v>18560</v>
      </c>
      <c r="K253" s="341" t="s">
        <v>18561</v>
      </c>
      <c r="L253" s="341" t="str">
        <f t="shared" si="28"/>
        <v xml:space="preserve">NO HAY PREGUNTAS EN EL BANCO DE PREGUNTAS: </v>
      </c>
      <c r="M253" s="226" t="s">
        <v>117</v>
      </c>
    </row>
    <row r="254" spans="1:13" outlineLevel="1" x14ac:dyDescent="0.25">
      <c r="A254" s="413" t="str">
        <f>$A$1&amp;B254&amp;"_"&amp;C254&amp;"_"&amp;$A$2</f>
        <v>Z_TX_44_</v>
      </c>
      <c r="B254" s="413" t="str">
        <f t="shared" si="26"/>
        <v>TX</v>
      </c>
      <c r="C254" s="413">
        <v>44</v>
      </c>
      <c r="D254" s="574"/>
      <c r="E254" s="342" t="str">
        <f>IFERROR(IF(D254&lt;&gt;"",D254,HLOOKUP($E$2,$F$2:K254,ROW(D254)-1,0)),F254)</f>
        <v>¿Has usado datos VARIABLES y quieres guardar varias preguntas de una vez?</v>
      </c>
      <c r="F254" s="342" t="s">
        <v>1207</v>
      </c>
      <c r="G254" s="342" t="s">
        <v>1208</v>
      </c>
      <c r="H254" s="342" t="s">
        <v>1210</v>
      </c>
      <c r="I254" s="342" t="s">
        <v>1209</v>
      </c>
      <c r="J254" s="342" t="s">
        <v>1211</v>
      </c>
      <c r="K254" s="342" t="s">
        <v>1212</v>
      </c>
      <c r="L254" s="342" t="str">
        <f t="shared" si="28"/>
        <v>¿Has usado datos VARIABLES y quieres guardar varias preguntas de una vez?</v>
      </c>
      <c r="M254" s="226" t="s">
        <v>117</v>
      </c>
    </row>
    <row r="255" spans="1:13" outlineLevel="1" x14ac:dyDescent="0.25">
      <c r="A255" s="412" t="str">
        <f t="shared" si="29"/>
        <v>Z_TX_45_</v>
      </c>
      <c r="B255" s="412" t="str">
        <f t="shared" si="26"/>
        <v>TX</v>
      </c>
      <c r="C255" s="412" t="s">
        <v>582</v>
      </c>
      <c r="D255" s="591"/>
      <c r="E255" s="341" t="str">
        <f>IFERROR(IF(D255&lt;&gt;"",D255,HLOOKUP($E$2,$F$2:K255,ROW(D255)-1,0)),F255)</f>
        <v>EL ARCHIVO QUE SE VA A CREAR ES EN TEXTO PLANO.
SE PUEDE ABRIR CON WORD, BLOC DE NOTAS, LATEX, ETC.</v>
      </c>
      <c r="F255" s="341" t="s">
        <v>830</v>
      </c>
      <c r="G255" s="341" t="s">
        <v>793</v>
      </c>
      <c r="H255" s="341" t="s">
        <v>1441</v>
      </c>
      <c r="I255" s="341" t="s">
        <v>801</v>
      </c>
      <c r="J255" s="341" t="s">
        <v>806</v>
      </c>
      <c r="K255" s="341" t="s">
        <v>1014</v>
      </c>
      <c r="L255" s="341" t="str">
        <f t="shared" si="28"/>
        <v>EL ARCHIVO QUE SE VA A CREAR ES EN TEXTO PLANO.
SE PUEDE ABRIR CON WORD, BLOC DE NOTAS, LATEX, ETC.</v>
      </c>
      <c r="M255" s="226" t="s">
        <v>117</v>
      </c>
    </row>
    <row r="256" spans="1:13" outlineLevel="1" x14ac:dyDescent="0.25">
      <c r="A256" s="413" t="str">
        <f t="shared" si="29"/>
        <v>Z_TX_46_</v>
      </c>
      <c r="B256" s="413" t="str">
        <f t="shared" si="26"/>
        <v>TX</v>
      </c>
      <c r="C256" s="413" t="s">
        <v>583</v>
      </c>
      <c r="D256" s="592"/>
      <c r="E256" s="342" t="str">
        <f>IFERROR(IF(D256&lt;&gt;"",D256,HLOOKUP($E$2,$F$2:K256,ROW(D256)-1,0)),F256)</f>
        <v>Se va a crear un archivo de texto.
Indica la extensión con la que quieres guardarlo (txt/doc):</v>
      </c>
      <c r="F256" s="342" t="s">
        <v>1442</v>
      </c>
      <c r="G256" s="342" t="s">
        <v>1443</v>
      </c>
      <c r="H256" s="342" t="s">
        <v>1053</v>
      </c>
      <c r="I256" s="342" t="s">
        <v>1054</v>
      </c>
      <c r="J256" s="342" t="s">
        <v>1055</v>
      </c>
      <c r="K256" s="342" t="s">
        <v>1056</v>
      </c>
      <c r="L256" s="342" t="str">
        <f t="shared" si="28"/>
        <v>Se va a crear un archivo de texto.
Indica la extensión con la que quieres guardarlo (txt/doc):</v>
      </c>
      <c r="M256" s="226" t="s">
        <v>117</v>
      </c>
    </row>
    <row r="257" spans="1:13" outlineLevel="1" x14ac:dyDescent="0.25">
      <c r="A257" s="412" t="str">
        <f t="shared" si="29"/>
        <v>Z_TX_47_</v>
      </c>
      <c r="B257" s="412" t="str">
        <f t="shared" si="26"/>
        <v>TX</v>
      </c>
      <c r="C257" s="412" t="s">
        <v>584</v>
      </c>
      <c r="D257" s="577"/>
      <c r="E257" s="341" t="str">
        <f>IFERROR(IF(D257&lt;&gt;"",D257,HLOOKUP($E$2,$F$2:K257,ROW(D257)-1,0)),F257)</f>
        <v>Indica el nombre de la CARPETA donde quieres guardar el archivo:</v>
      </c>
      <c r="F257" s="341" t="s">
        <v>789</v>
      </c>
      <c r="G257" s="341" t="s">
        <v>794</v>
      </c>
      <c r="H257" s="341" t="s">
        <v>797</v>
      </c>
      <c r="I257" s="341" t="s">
        <v>802</v>
      </c>
      <c r="J257" s="341" t="s">
        <v>807</v>
      </c>
      <c r="K257" s="341" t="s">
        <v>1015</v>
      </c>
      <c r="L257" s="341" t="str">
        <f t="shared" si="28"/>
        <v>Indica el nombre de la CARPETA donde quieres guardar el archivo:</v>
      </c>
      <c r="M257" s="226" t="s">
        <v>117</v>
      </c>
    </row>
    <row r="258" spans="1:13" outlineLevel="1" x14ac:dyDescent="0.25">
      <c r="A258" s="413" t="str">
        <f t="shared" si="29"/>
        <v>Z_TX_48_</v>
      </c>
      <c r="B258" s="413" t="str">
        <f t="shared" si="26"/>
        <v>TX</v>
      </c>
      <c r="C258" s="413" t="s">
        <v>585</v>
      </c>
      <c r="D258" s="578"/>
      <c r="E258" s="342" t="str">
        <f>IFERROR(IF(D258&lt;&gt;"",D258,HLOOKUP($E$2,$F$2:K258,ROW(D258)-1,0)),F258)</f>
        <v>Nombre RECOMENDADO para guardar el ARCHIVO:</v>
      </c>
      <c r="F258" s="342" t="s">
        <v>790</v>
      </c>
      <c r="G258" s="342" t="s">
        <v>795</v>
      </c>
      <c r="H258" s="342" t="s">
        <v>798</v>
      </c>
      <c r="I258" s="342" t="s">
        <v>803</v>
      </c>
      <c r="J258" s="342" t="s">
        <v>808</v>
      </c>
      <c r="K258" s="342" t="s">
        <v>1016</v>
      </c>
      <c r="L258" s="342" t="str">
        <f t="shared" si="28"/>
        <v>Nombre RECOMENDADO para guardar el ARCHIVO:</v>
      </c>
      <c r="M258" s="226" t="s">
        <v>117</v>
      </c>
    </row>
    <row r="259" spans="1:13" outlineLevel="1" x14ac:dyDescent="0.25">
      <c r="A259" s="412" t="str">
        <f t="shared" si="29"/>
        <v>Z_TX_49_</v>
      </c>
      <c r="B259" s="412" t="str">
        <f t="shared" si="26"/>
        <v>TX</v>
      </c>
      <c r="C259" s="412" t="s">
        <v>586</v>
      </c>
      <c r="D259" s="577"/>
      <c r="E259" s="341" t="str">
        <f>IFERROR(IF(D259&lt;&gt;"",D259,HLOOKUP($E$2,$F$2:K259,ROW(D259)-1,0)),F259)</f>
        <v>¿DESEAS CAMBIARLO?</v>
      </c>
      <c r="F259" s="341" t="s">
        <v>791</v>
      </c>
      <c r="G259" s="341" t="s">
        <v>796</v>
      </c>
      <c r="H259" s="341" t="s">
        <v>799</v>
      </c>
      <c r="I259" s="341" t="s">
        <v>804</v>
      </c>
      <c r="J259" s="341" t="s">
        <v>809</v>
      </c>
      <c r="K259" s="341" t="s">
        <v>1017</v>
      </c>
      <c r="L259" s="341" t="str">
        <f t="shared" si="28"/>
        <v>¿DESEAS CAMBIARLO?</v>
      </c>
      <c r="M259" s="226" t="s">
        <v>117</v>
      </c>
    </row>
    <row r="260" spans="1:13" outlineLevel="1" x14ac:dyDescent="0.25">
      <c r="A260" s="413" t="str">
        <f t="shared" si="29"/>
        <v>Z_TX_50_</v>
      </c>
      <c r="B260" s="413" t="str">
        <f t="shared" ref="B260:B324" si="30">B259</f>
        <v>TX</v>
      </c>
      <c r="C260" s="413" t="s">
        <v>587</v>
      </c>
      <c r="D260" s="574"/>
      <c r="E260" s="342" t="str">
        <f>IFERROR(IF(D260&lt;&gt;"",D260,HLOOKUP($E$2,$F$2:K260,ROW(D260)-1,0)),F260)</f>
        <v>Escribe un NOMBRE para el archivo:</v>
      </c>
      <c r="F260" s="342" t="s">
        <v>792</v>
      </c>
      <c r="G260" s="342" t="s">
        <v>1444</v>
      </c>
      <c r="H260" s="342" t="s">
        <v>800</v>
      </c>
      <c r="I260" s="342" t="s">
        <v>805</v>
      </c>
      <c r="J260" s="342" t="s">
        <v>810</v>
      </c>
      <c r="K260" s="342" t="s">
        <v>1018</v>
      </c>
      <c r="L260" s="342" t="str">
        <f t="shared" si="28"/>
        <v>Escribe un NOMBRE para el archivo:</v>
      </c>
      <c r="M260" s="226" t="s">
        <v>117</v>
      </c>
    </row>
    <row r="261" spans="1:13" outlineLevel="1" x14ac:dyDescent="0.25">
      <c r="A261" s="412" t="str">
        <f t="shared" ref="A261:A271" si="31">$A$1&amp;B261&amp;"_"&amp;C261&amp;"_"&amp;$A$2</f>
        <v>Z_TX_51_</v>
      </c>
      <c r="B261" s="412" t="str">
        <f t="shared" si="30"/>
        <v>TX</v>
      </c>
      <c r="C261" s="412" t="s">
        <v>814</v>
      </c>
      <c r="D261" s="593"/>
      <c r="E261" s="341" t="str">
        <f>IFERROR(IF(D261&lt;&gt;"",D261,HLOOKUP($E$2,$F$2:K261,ROW(D261)-1,0)),F261)</f>
        <v xml:space="preserve">¿Deseas TRABAJAR con TODOS los Cuestionarios?
 - Si seleccionas SÍ: se trabajará con TODOS los cuestionarios.
 - Si seleccionas NO: se trabajará las preguntas seleccionadas del Cuestionario: 
</v>
      </c>
      <c r="F261" s="341" t="s">
        <v>815</v>
      </c>
      <c r="G261" s="341" t="s">
        <v>1445</v>
      </c>
      <c r="H261" s="341" t="s">
        <v>1446</v>
      </c>
      <c r="I261" s="341" t="s">
        <v>818</v>
      </c>
      <c r="J261" s="341" t="s">
        <v>819</v>
      </c>
      <c r="K261" s="341" t="s">
        <v>18495</v>
      </c>
      <c r="L261" s="341" t="str">
        <f t="shared" ref="L261:L322" si="32">E261</f>
        <v xml:space="preserve">¿Deseas TRABAJAR con TODOS los Cuestionarios?
 - Si seleccionas SÍ: se trabajará con TODOS los cuestionarios.
 - Si seleccionas NO: se trabajará las preguntas seleccionadas del Cuestionario: 
</v>
      </c>
      <c r="M261" s="226" t="s">
        <v>117</v>
      </c>
    </row>
    <row r="262" spans="1:13" outlineLevel="1" x14ac:dyDescent="0.25">
      <c r="A262" s="413" t="str">
        <f t="shared" si="31"/>
        <v>Z_TX_52_</v>
      </c>
      <c r="B262" s="413" t="str">
        <f t="shared" si="30"/>
        <v>TX</v>
      </c>
      <c r="C262" s="413">
        <v>52</v>
      </c>
      <c r="D262" s="594"/>
      <c r="E262" s="342" t="str">
        <f>IFERROR(IF(D262&lt;&gt;"",D262,HLOOKUP($E$2,$F$2:K262,ROW(D262)-1,0)),F262)</f>
        <v xml:space="preserve">Has seleccionado IMPORTAR preguntas desde otro archivo.
¿Deseas conservar las preguntas que tienes actualmente y poner las que vas a IMPORTAR a CONTINUACIÓN?
</v>
      </c>
      <c r="F262" s="342" t="s">
        <v>816</v>
      </c>
      <c r="G262" s="342" t="s">
        <v>1447</v>
      </c>
      <c r="H262" s="342" t="s">
        <v>1448</v>
      </c>
      <c r="I262" s="342" t="s">
        <v>820</v>
      </c>
      <c r="J262" s="342" t="s">
        <v>817</v>
      </c>
      <c r="K262" s="342" t="s">
        <v>18496</v>
      </c>
      <c r="L262" s="342" t="str">
        <f t="shared" si="32"/>
        <v xml:space="preserve">Has seleccionado IMPORTAR preguntas desde otro archivo.
¿Deseas conservar las preguntas que tienes actualmente y poner las que vas a IMPORTAR a CONTINUACIÓN?
</v>
      </c>
      <c r="M262" s="226" t="s">
        <v>117</v>
      </c>
    </row>
    <row r="263" spans="1:13" outlineLevel="1" x14ac:dyDescent="0.25">
      <c r="A263" s="412" t="str">
        <f t="shared" si="31"/>
        <v>Z_TX_53_</v>
      </c>
      <c r="B263" s="412" t="str">
        <f t="shared" si="30"/>
        <v>TX</v>
      </c>
      <c r="C263" s="412">
        <v>53</v>
      </c>
      <c r="D263" s="593"/>
      <c r="E263" s="341" t="str">
        <f>IFERROR(IF(D263&lt;&gt;"",D263,HLOOKUP($E$2,$F$2:K263,ROW(D263)-1,0)),F263)</f>
        <v xml:space="preserve">¿Deseas CONSERVAR las preguntas que tienes actualmente?
P.D.: Has seleccionado GUARDAR Banco de Preguntas (la copia se hará en OTRO archivo). Si deseas LIMPIAR las preguntas pulsa NO.
</v>
      </c>
      <c r="F263" s="341" t="s">
        <v>821</v>
      </c>
      <c r="G263" s="341" t="s">
        <v>18497</v>
      </c>
      <c r="H263" s="341" t="s">
        <v>18498</v>
      </c>
      <c r="I263" s="341" t="s">
        <v>18499</v>
      </c>
      <c r="J263" s="341" t="s">
        <v>18500</v>
      </c>
      <c r="K263" s="341" t="s">
        <v>18501</v>
      </c>
      <c r="L263" s="341" t="str">
        <f t="shared" si="32"/>
        <v xml:space="preserve">¿Deseas CONSERVAR las preguntas que tienes actualmente?
P.D.: Has seleccionado GUARDAR Banco de Preguntas (la copia se hará en OTRO archivo). Si deseas LIMPIAR las preguntas pulsa NO.
</v>
      </c>
      <c r="M263" s="226" t="s">
        <v>117</v>
      </c>
    </row>
    <row r="264" spans="1:13" outlineLevel="1" x14ac:dyDescent="0.25">
      <c r="A264" s="413" t="str">
        <f t="shared" si="31"/>
        <v>Z_TX_54_</v>
      </c>
      <c r="B264" s="413" t="str">
        <f t="shared" si="30"/>
        <v>TX</v>
      </c>
      <c r="C264" s="413">
        <v>54</v>
      </c>
      <c r="D264" s="594"/>
      <c r="E264" s="342" t="str">
        <f>IFERROR(IF(D264&lt;&gt;"",D264,HLOOKUP($E$2,$F$2:K264,ROW(D264)-1,0)),F264)</f>
        <v xml:space="preserve">Escribe qué separador quieres poner para las parejas del Cuestionario tipo: 
</v>
      </c>
      <c r="F264" s="342" t="s">
        <v>823</v>
      </c>
      <c r="G264" s="342" t="s">
        <v>1449</v>
      </c>
      <c r="H264" s="342" t="s">
        <v>1450</v>
      </c>
      <c r="I264" s="342" t="s">
        <v>824</v>
      </c>
      <c r="J264" s="342" t="s">
        <v>822</v>
      </c>
      <c r="K264" s="342" t="s">
        <v>18502</v>
      </c>
      <c r="L264" s="342" t="str">
        <f t="shared" si="32"/>
        <v xml:space="preserve">Escribe qué separador quieres poner para las parejas del Cuestionario tipo: 
</v>
      </c>
      <c r="M264" s="226" t="s">
        <v>117</v>
      </c>
    </row>
    <row r="265" spans="1:13" outlineLevel="1" x14ac:dyDescent="0.25">
      <c r="A265" s="412" t="str">
        <f t="shared" si="31"/>
        <v>Z_TX_55_</v>
      </c>
      <c r="B265" s="412" t="str">
        <f t="shared" si="30"/>
        <v>TX</v>
      </c>
      <c r="C265" s="412">
        <v>55</v>
      </c>
      <c r="D265" s="577"/>
      <c r="E265" s="341" t="str">
        <f>IFERROR(IF(D265&lt;&gt;"",D265,HLOOKUP($E$2,$F$2:K265,ROW(D265)-1,0)),F265)</f>
        <v>ESTA FUNCIÓN NO ESTÁ DISPONIBLE PARA MAC, ESPERO PODER ENCONTRAR PRONTO UNA SOLUCIÓN.</v>
      </c>
      <c r="F265" s="341" t="s">
        <v>1057</v>
      </c>
      <c r="G265" s="341" t="s">
        <v>1451</v>
      </c>
      <c r="H265" s="341" t="s">
        <v>1058</v>
      </c>
      <c r="I265" s="341" t="s">
        <v>1059</v>
      </c>
      <c r="J265" s="341" t="s">
        <v>1060</v>
      </c>
      <c r="K265" s="341" t="s">
        <v>1061</v>
      </c>
      <c r="L265" s="341" t="str">
        <f t="shared" si="32"/>
        <v>ESTA FUNCIÓN NO ESTÁ DISPONIBLE PARA MAC, ESPERO PODER ENCONTRAR PRONTO UNA SOLUCIÓN.</v>
      </c>
      <c r="M265" s="226" t="s">
        <v>117</v>
      </c>
    </row>
    <row r="266" spans="1:13" outlineLevel="1" x14ac:dyDescent="0.25">
      <c r="A266" s="413" t="str">
        <f t="shared" si="31"/>
        <v>Z_TX_56_</v>
      </c>
      <c r="B266" s="413" t="str">
        <f>B189</f>
        <v>TX</v>
      </c>
      <c r="C266" s="413">
        <v>56</v>
      </c>
      <c r="D266" s="594"/>
      <c r="E266" s="342" t="str">
        <f>IFERROR(IF(D266&lt;&gt;"",D266,HLOOKUP($E$2,$F$2:K266,ROW(D266)-1,0)),F266)</f>
        <v xml:space="preserve">Escribe el código en formato HEX del COLOR que quieres usar:
Ejemplos (6 nº):
   - Negro:       000000 
   - Blanco:   FFFFFF
Web para los códigos de colores HTML:
     https://htmlcolorcodes.com/es/
Web para "clonar" el color que quieres usar:
     https://imagecolorpicker.com/es
</v>
      </c>
      <c r="F266" s="342" t="s">
        <v>855</v>
      </c>
      <c r="G266" s="342" t="s">
        <v>854</v>
      </c>
      <c r="H266" s="342" t="s">
        <v>853</v>
      </c>
      <c r="I266" s="342" t="s">
        <v>852</v>
      </c>
      <c r="J266" s="342" t="s">
        <v>851</v>
      </c>
      <c r="K266" s="342" t="s">
        <v>1019</v>
      </c>
      <c r="L266" s="342" t="str">
        <f t="shared" si="32"/>
        <v xml:space="preserve">Escribe el código en formato HEX del COLOR que quieres usar:
Ejemplos (6 nº):
   - Negro:       000000 
   - Blanco:   FFFFFF
Web para los códigos de colores HTML:
     https://htmlcolorcodes.com/es/
Web para "clonar" el color que quieres usar:
     https://imagecolorpicker.com/es
</v>
      </c>
      <c r="M266" s="226" t="s">
        <v>117</v>
      </c>
    </row>
    <row r="267" spans="1:13" outlineLevel="1" x14ac:dyDescent="0.25">
      <c r="A267" s="412" t="str">
        <f t="shared" si="31"/>
        <v>Z_TX_57_</v>
      </c>
      <c r="B267" s="412" t="str">
        <f t="shared" si="30"/>
        <v>TX</v>
      </c>
      <c r="C267" s="412">
        <v>57</v>
      </c>
      <c r="D267" s="593"/>
      <c r="E267" s="341" t="str">
        <f>IFERROR(IF(D267&lt;&gt;"",D267,HLOOKUP($E$2,$F$2:K267,ROW(D267)-1,0)),F267)</f>
        <v>NO HAY INFORMACIÓN DE AYUDA PARA ESTA CASILLA.
SELECCIONA UNA CASILLA SIMILAR.</v>
      </c>
      <c r="F267" s="341" t="s">
        <v>1062</v>
      </c>
      <c r="G267" s="341" t="s">
        <v>866</v>
      </c>
      <c r="H267" s="341" t="s">
        <v>1452</v>
      </c>
      <c r="I267" s="341" t="s">
        <v>868</v>
      </c>
      <c r="J267" s="341" t="s">
        <v>867</v>
      </c>
      <c r="K267" s="341" t="s">
        <v>1020</v>
      </c>
      <c r="L267" s="341" t="str">
        <f t="shared" si="32"/>
        <v>NO HAY INFORMACIÓN DE AYUDA PARA ESTA CASILLA.
SELECCIONA UNA CASILLA SIMILAR.</v>
      </c>
      <c r="M267" s="226" t="s">
        <v>117</v>
      </c>
    </row>
    <row r="268" spans="1:13" outlineLevel="1" x14ac:dyDescent="0.25">
      <c r="A268" s="413" t="str">
        <f t="shared" si="31"/>
        <v>Z_TX_58_</v>
      </c>
      <c r="B268" s="413" t="str">
        <f t="shared" si="30"/>
        <v>TX</v>
      </c>
      <c r="C268" s="413">
        <v>58</v>
      </c>
      <c r="D268" s="594"/>
      <c r="E268" s="342" t="str">
        <f>IFERROR(IF(D268&lt;&gt;"",D268,HLOOKUP($E$2,$F$2:K268,ROW(D268)-1,0)),F268)</f>
        <v xml:space="preserve">RECUERDA:
Si vas a trabajar en una versión de MOODLE anterior a la Versión 3.8, debes abrir el archivo XML con el BLOC de NOTAS y guardarlo como UTF-8, en caso contrario no se importarán las preguntas.
Si no sabes en qué versión estás trabajando, pero no se importan las preguntas, guárdelos en UTF-8, pues en ese formato funciona para todas las versiones de MOODLE.
</v>
      </c>
      <c r="F268" s="342" t="s">
        <v>1023</v>
      </c>
      <c r="G268" s="342" t="s">
        <v>1453</v>
      </c>
      <c r="H268" s="342" t="s">
        <v>1454</v>
      </c>
      <c r="I268" s="342" t="s">
        <v>1024</v>
      </c>
      <c r="J268" s="342" t="s">
        <v>1025</v>
      </c>
      <c r="K268" s="342" t="s">
        <v>18503</v>
      </c>
      <c r="L268" s="342" t="str">
        <f t="shared" si="32"/>
        <v xml:space="preserve">RECUERDA:
Si vas a trabajar en una versión de MOODLE anterior a la Versión 3.8, debes abrir el archivo XML con el BLOC de NOTAS y guardarlo como UTF-8, en caso contrario no se importarán las preguntas.
Si no sabes en qué versión estás trabajando, pero no se importan las preguntas, guárdelos en UTF-8, pues en ese formato funciona para todas las versiones de MOODLE.
</v>
      </c>
      <c r="M268" s="226" t="s">
        <v>117</v>
      </c>
    </row>
    <row r="269" spans="1:13" outlineLevel="1" x14ac:dyDescent="0.25">
      <c r="A269" s="412" t="str">
        <f t="shared" si="31"/>
        <v>Z_TX_59_</v>
      </c>
      <c r="B269" s="412" t="str">
        <f t="shared" si="30"/>
        <v>TX</v>
      </c>
      <c r="C269" s="412">
        <v>59</v>
      </c>
      <c r="D269" s="591"/>
      <c r="E269" s="341" t="str">
        <f>IFERROR(IF(D269&lt;&gt;"",D269,HLOOKUP($E$2,$F$2:K269,ROW(D269)-1,0)),F269)</f>
        <v xml:space="preserve">AHORA DEBES ABRIR EL ARCHIVO  - MOODLE.xml -  con el BLOC DE NOTAS y pulsar [Ctrl + V].
LUEGO, DEBES GUARDAR EL ARCHIVO CON EL NOMBRE QUE QUIERAS, PERO EXTENSIÓN - .xml - </v>
      </c>
      <c r="F269" s="341" t="s">
        <v>1455</v>
      </c>
      <c r="G269" s="341" t="s">
        <v>1456</v>
      </c>
      <c r="H269" s="341" t="s">
        <v>1070</v>
      </c>
      <c r="I269" s="341" t="s">
        <v>1072</v>
      </c>
      <c r="J269" s="341" t="s">
        <v>1071</v>
      </c>
      <c r="K269" s="341" t="s">
        <v>1069</v>
      </c>
      <c r="L269" s="341" t="str">
        <f t="shared" si="32"/>
        <v xml:space="preserve">AHORA DEBES ABRIR EL ARCHIVO  - MOODLE.xml -  con el BLOC DE NOTAS y pulsar [Ctrl + V].
LUEGO, DEBES GUARDAR EL ARCHIVO CON EL NOMBRE QUE QUIERAS, PERO EXTENSIÓN - .xml - </v>
      </c>
      <c r="M269" s="226" t="s">
        <v>117</v>
      </c>
    </row>
    <row r="270" spans="1:13" outlineLevel="1" x14ac:dyDescent="0.25">
      <c r="A270" s="413" t="str">
        <f t="shared" si="31"/>
        <v>Z_TX_60_</v>
      </c>
      <c r="B270" s="413" t="str">
        <f t="shared" si="30"/>
        <v>TX</v>
      </c>
      <c r="C270" s="413">
        <v>60</v>
      </c>
      <c r="D270" s="594"/>
      <c r="E270" s="342" t="str">
        <f>IFERROR(IF(D270&lt;&gt;"",D270,HLOOKUP($E$2,$F$2:K270,ROW(D270)-1,0)),F270)</f>
        <v xml:space="preserve">¿Estás trabajando con un MAC?
</v>
      </c>
      <c r="F270" s="342" t="s">
        <v>1073</v>
      </c>
      <c r="G270" s="342" t="s">
        <v>1075</v>
      </c>
      <c r="H270" s="342" t="s">
        <v>1077</v>
      </c>
      <c r="I270" s="342" t="s">
        <v>1074</v>
      </c>
      <c r="J270" s="342" t="s">
        <v>1076</v>
      </c>
      <c r="K270" s="342" t="s">
        <v>1078</v>
      </c>
      <c r="L270" s="342" t="str">
        <f t="shared" si="32"/>
        <v xml:space="preserve">¿Estás trabajando con un MAC?
</v>
      </c>
      <c r="M270" s="226" t="s">
        <v>117</v>
      </c>
    </row>
    <row r="271" spans="1:13" outlineLevel="1" x14ac:dyDescent="0.25">
      <c r="A271" s="412" t="str">
        <f t="shared" si="31"/>
        <v>Z_TX_61_</v>
      </c>
      <c r="B271" s="412" t="str">
        <f t="shared" si="30"/>
        <v>TX</v>
      </c>
      <c r="C271" s="412">
        <v>61</v>
      </c>
      <c r="D271" s="593"/>
      <c r="E271" s="341" t="str">
        <f>IFERROR(IF(D271&lt;&gt;"",D271,HLOOKUP($E$2,$F$2:K271,ROW(D271)-1,0)),F271)</f>
        <v xml:space="preserve">Si estás trabajando con MAC es posible que esta opción no funcione.
En ese caso, puedes consultar el vídeo que te pongo en el mensaje, para ver cómo puedes hacerlo tú manualmente.
</v>
      </c>
      <c r="F271" s="341" t="s">
        <v>1079</v>
      </c>
      <c r="G271" s="341" t="s">
        <v>1457</v>
      </c>
      <c r="H271" s="341" t="s">
        <v>1080</v>
      </c>
      <c r="I271" s="341" t="s">
        <v>1080</v>
      </c>
      <c r="J271" s="341" t="s">
        <v>1081</v>
      </c>
      <c r="K271" s="341" t="s">
        <v>1082</v>
      </c>
      <c r="L271" s="341" t="str">
        <f t="shared" si="32"/>
        <v xml:space="preserve">Si estás trabajando con MAC es posible que esta opción no funcione.
En ese caso, puedes consultar el vídeo que te pongo en el mensaje, para ver cómo puedes hacerlo tú manualmente.
</v>
      </c>
      <c r="M271" s="226" t="s">
        <v>117</v>
      </c>
    </row>
    <row r="272" spans="1:13" outlineLevel="1" x14ac:dyDescent="0.25">
      <c r="A272" s="413" t="str">
        <f t="shared" ref="A272:A285" si="33">$A$1&amp;B272&amp;"_"&amp;C272&amp;"_"&amp;$A$2</f>
        <v>Z_TX_62_</v>
      </c>
      <c r="B272" s="413" t="str">
        <f t="shared" si="30"/>
        <v>TX</v>
      </c>
      <c r="C272" s="413">
        <v>62</v>
      </c>
      <c r="D272" s="594"/>
      <c r="E272" s="342" t="str">
        <f>IFERROR(IF(D272&lt;&gt;"",D272,HLOOKUP($E$2,$F$2:K272,ROW(D272)-1,0)),F272)</f>
        <v xml:space="preserve">¿Deseas introducir la fórmula en medio del texto? 
(Si lo que quieres es introducir la fórmula en una línea nueva centrada y resaltada responde NO). 
</v>
      </c>
      <c r="F272" s="342" t="s">
        <v>1458</v>
      </c>
      <c r="G272" s="342" t="s">
        <v>1459</v>
      </c>
      <c r="H272" s="342" t="s">
        <v>1460</v>
      </c>
      <c r="I272" s="342" t="s">
        <v>1084</v>
      </c>
      <c r="J272" s="342" t="s">
        <v>1083</v>
      </c>
      <c r="K272" s="342" t="s">
        <v>1085</v>
      </c>
      <c r="L272" s="342" t="str">
        <f t="shared" si="32"/>
        <v xml:space="preserve">¿Deseas introducir la fórmula en medio del texto? 
(Si lo que quieres es introducir la fórmula en una línea nueva centrada y resaltada responde NO). 
</v>
      </c>
      <c r="M272" s="226" t="s">
        <v>117</v>
      </c>
    </row>
    <row r="273" spans="1:13" outlineLevel="1" x14ac:dyDescent="0.25">
      <c r="A273" s="412" t="str">
        <f t="shared" si="33"/>
        <v>Z_TX_63_</v>
      </c>
      <c r="B273" s="412" t="str">
        <f t="shared" si="30"/>
        <v>TX</v>
      </c>
      <c r="C273" s="412">
        <v>63</v>
      </c>
      <c r="D273" s="593"/>
      <c r="E273" s="341" t="str">
        <f>IFERROR(IF(D273&lt;&gt;"",D273,HLOOKUP($E$2,$F$2:K273,ROW(D273)-1,0)),F273)</f>
        <v xml:space="preserve">¿Cuántas preguntas quieres guardar con estos datos aleatorios? 
[max  100]
</v>
      </c>
      <c r="F273" s="341" t="s">
        <v>18504</v>
      </c>
      <c r="G273" s="341" t="s">
        <v>18505</v>
      </c>
      <c r="H273" s="341" t="s">
        <v>18506</v>
      </c>
      <c r="I273" s="341" t="s">
        <v>18507</v>
      </c>
      <c r="J273" s="341" t="s">
        <v>18508</v>
      </c>
      <c r="K273" s="341" t="s">
        <v>18509</v>
      </c>
      <c r="L273" s="341" t="str">
        <f t="shared" si="32"/>
        <v xml:space="preserve">¿Cuántas preguntas quieres guardar con estos datos aleatorios? 
[max  100]
</v>
      </c>
      <c r="M273" s="226" t="s">
        <v>117</v>
      </c>
    </row>
    <row r="274" spans="1:13" outlineLevel="1" x14ac:dyDescent="0.25">
      <c r="A274" s="413" t="str">
        <f t="shared" si="33"/>
        <v>Z_TX_64_</v>
      </c>
      <c r="B274" s="413" t="str">
        <f t="shared" si="30"/>
        <v>TX</v>
      </c>
      <c r="C274" s="413">
        <v>64</v>
      </c>
      <c r="D274" s="592"/>
      <c r="E274" s="342" t="str">
        <f>IFERROR(IF(D274&lt;&gt;"",D274,HLOOKUP($E$2,$F$2:K274,ROW(D274)-1,0)),F274)</f>
        <v>INFORMACIÓN GENERAL
Codificación:  { P : T : D }
     - P ==&gt; PUNTOS APARTADO
     - T ==&gt; TIPO
     - D ==&gt; DATOS RESPUESTA
          ~%100% Correcta  # Retroalimentación
          ~%-50% Incorrecta  # Retroalimentación
Notas importantes:
    - El carácter ~ separa las respuestas.
    - La respuesta correcta lleva ~=  o  ~%100%
    - # es para retroalimentación.
    - No editar o crear preguntas en el editor de Moodle. 
      Crea código html que puede interferir en la pregunta.</v>
      </c>
      <c r="F274" s="342" t="s">
        <v>1241</v>
      </c>
      <c r="G274" s="342" t="s">
        <v>1461</v>
      </c>
      <c r="H274" s="342" t="s">
        <v>1462</v>
      </c>
      <c r="I274" s="342" t="s">
        <v>1572</v>
      </c>
      <c r="J274" s="342" t="s">
        <v>1571</v>
      </c>
      <c r="K274" s="342" t="s">
        <v>1570</v>
      </c>
      <c r="L274" s="342" t="str">
        <f t="shared" si="32"/>
        <v>INFORMACIÓN GENERAL
Codificación:  { P : T : D }
     - P ==&gt; PUNTOS APARTADO
     - T ==&gt; TIPO
     - D ==&gt; DATOS RESPUESTA
          ~%100% Correcta  # Retroalimentación
          ~%-50% Incorrecta  # Retroalimentación
Notas importantes:
    - El carácter ~ separa las respuestas.
    - La respuesta correcta lleva ~=  o  ~%100%
    - # es para retroalimentación.
    - No editar o crear preguntas en el editor de Moodle. 
      Crea código html que puede interferir en la pregunta.</v>
      </c>
      <c r="M274" s="226" t="s">
        <v>117</v>
      </c>
    </row>
    <row r="275" spans="1:13" outlineLevel="1" x14ac:dyDescent="0.25">
      <c r="A275" s="412" t="str">
        <f t="shared" si="33"/>
        <v>Z_TX_65_</v>
      </c>
      <c r="B275" s="412" t="str">
        <f t="shared" si="30"/>
        <v>TX</v>
      </c>
      <c r="C275" s="412">
        <v>65</v>
      </c>
      <c r="D275" s="591"/>
      <c r="E275" s="341" t="str">
        <f>IFERROR(IF(D275&lt;&gt;"",D275,HLOOKUP($E$2,$F$2:K275,ROW(D275)-1,0)),F275)</f>
        <v>Menú desplegable dentro del texto. 
Una respuesta correcta: MULTICHOICE
     =&gt; MC            =&gt; MCS    
     =&gt; MCV          =&gt; MCVS
     =&gt; MCH         =&gt; MCHS
Varias respuestas correctas: MULTIRESPONSE
     =&gt; MR             =&gt; MRS
     =&gt; MRH          =&gt; MRHS
ACLARACIONES:
     · La S es para que se barajen las respuestas.
     · La V es para Botones Verticales.
     · La H es para Botones Horizontales.</v>
      </c>
      <c r="F275" s="341" t="s">
        <v>1239</v>
      </c>
      <c r="G275" s="341" t="s">
        <v>1270</v>
      </c>
      <c r="H275" s="341" t="s">
        <v>1463</v>
      </c>
      <c r="I275" s="341" t="s">
        <v>1273</v>
      </c>
      <c r="J275" s="341" t="s">
        <v>1266</v>
      </c>
      <c r="K275" s="341" t="s">
        <v>1263</v>
      </c>
      <c r="L275" s="341" t="str">
        <f t="shared" si="32"/>
        <v>Menú desplegable dentro del texto. 
Una respuesta correcta: MULTICHOICE
     =&gt; MC            =&gt; MCS    
     =&gt; MCV          =&gt; MCVS
     =&gt; MCH         =&gt; MCHS
Varias respuestas correctas: MULTIRESPONSE
     =&gt; MR             =&gt; MRS
     =&gt; MRH          =&gt; MRHS
ACLARACIONES:
     · La S es para que se barajen las respuestas.
     · La V es para Botones Verticales.
     · La H es para Botones Horizontales.</v>
      </c>
      <c r="M275" s="226" t="s">
        <v>117</v>
      </c>
    </row>
    <row r="276" spans="1:13" outlineLevel="1" x14ac:dyDescent="0.25">
      <c r="A276" s="413" t="str">
        <f t="shared" si="33"/>
        <v>Z_TX_66_</v>
      </c>
      <c r="B276" s="413" t="str">
        <f>B275</f>
        <v>TX</v>
      </c>
      <c r="C276" s="413">
        <v>66</v>
      </c>
      <c r="D276" s="594"/>
      <c r="E276" s="342" t="str">
        <f>IFERROR(IF(D276&lt;&gt;"",D276,HLOOKUP($E$2,$F$2:K276,ROW(D276)-1,0)),F276)</f>
        <v>Palabra suelta dentro del texto. 
SHORTANSWER 
     =&gt; SA            =&gt; SAC
     =&gt; MW         =&gt; MWC
ACLARACIONES:
     · La C es para que Coincidan las mayúsculas.</v>
      </c>
      <c r="F276" s="342" t="s">
        <v>1240</v>
      </c>
      <c r="G276" s="342" t="s">
        <v>1271</v>
      </c>
      <c r="H276" s="342" t="s">
        <v>1464</v>
      </c>
      <c r="I276" s="342" t="s">
        <v>1274</v>
      </c>
      <c r="J276" s="342" t="s">
        <v>1267</v>
      </c>
      <c r="K276" s="342" t="s">
        <v>1264</v>
      </c>
      <c r="L276" s="342" t="str">
        <f t="shared" si="32"/>
        <v>Palabra suelta dentro del texto. 
SHORTANSWER 
     =&gt; SA            =&gt; SAC
     =&gt; MW         =&gt; MWC
ACLARACIONES:
     · La C es para que Coincidan las mayúsculas.</v>
      </c>
      <c r="M276" s="226" t="s">
        <v>117</v>
      </c>
    </row>
    <row r="277" spans="1:13" outlineLevel="1" x14ac:dyDescent="0.25">
      <c r="A277" s="412" t="str">
        <f t="shared" si="33"/>
        <v>Z_TX_67_</v>
      </c>
      <c r="B277" s="412" t="str">
        <f>B276</f>
        <v>TX</v>
      </c>
      <c r="C277" s="412">
        <v>67</v>
      </c>
      <c r="D277" s="593"/>
      <c r="E277" s="341" t="str">
        <f>IFERROR(IF(D277&lt;&gt;"",D277,HLOOKUP($E$2,$F$2:K277,ROW(D277)-1,0)),F277)</f>
        <v>Número dentro del texto. 
NUMERICAL 
           {3:NUMERICAL:=3:0}
ACLARACIONES:
     · Tiene un nuevo campo para indicar el márgen de error (tolerancia).</v>
      </c>
      <c r="F277" s="341" t="s">
        <v>1242</v>
      </c>
      <c r="G277" s="341" t="s">
        <v>1272</v>
      </c>
      <c r="H277" s="341" t="s">
        <v>1269</v>
      </c>
      <c r="I277" s="341" t="s">
        <v>1275</v>
      </c>
      <c r="J277" s="341" t="s">
        <v>1268</v>
      </c>
      <c r="K277" s="341" t="s">
        <v>1265</v>
      </c>
      <c r="L277" s="341" t="str">
        <f t="shared" si="32"/>
        <v>Número dentro del texto. 
NUMERICAL 
           {3:NUMERICAL:=3:0}
ACLARACIONES:
     · Tiene un nuevo campo para indicar el márgen de error (tolerancia).</v>
      </c>
      <c r="M277" s="226" t="s">
        <v>117</v>
      </c>
    </row>
    <row r="278" spans="1:13" outlineLevel="1" x14ac:dyDescent="0.25">
      <c r="A278" s="413" t="str">
        <f t="shared" si="33"/>
        <v>Z_TX_68_</v>
      </c>
      <c r="B278" s="413" t="str">
        <f>B277</f>
        <v>TX</v>
      </c>
      <c r="C278" s="413">
        <v>68</v>
      </c>
      <c r="D278" s="574"/>
      <c r="E278" s="342" t="str">
        <f>IFERROR(IF(D278&lt;&gt;"",D278,HLOOKUP($E$2,$F$2:K278,ROW(D278)-1,0)),F278)</f>
        <v>¿Quieres que el alumno pueda marcar las respuestas que no son correctas?</v>
      </c>
      <c r="F278" s="342" t="s">
        <v>1298</v>
      </c>
      <c r="G278" s="342" t="s">
        <v>1299</v>
      </c>
      <c r="H278" s="342" t="s">
        <v>1300</v>
      </c>
      <c r="I278" s="342" t="s">
        <v>1297</v>
      </c>
      <c r="J278" s="342" t="s">
        <v>1301</v>
      </c>
      <c r="K278" s="342" t="s">
        <v>1302</v>
      </c>
      <c r="L278" s="342" t="str">
        <f t="shared" si="32"/>
        <v>¿Quieres que el alumno pueda marcar las respuestas que no son correctas?</v>
      </c>
      <c r="M278" s="226" t="s">
        <v>117</v>
      </c>
    </row>
    <row r="279" spans="1:13" outlineLevel="1" x14ac:dyDescent="0.25">
      <c r="A279" s="412" t="str">
        <f t="shared" si="33"/>
        <v>Z_TX_69_</v>
      </c>
      <c r="B279" s="412" t="str">
        <f t="shared" si="30"/>
        <v>TX</v>
      </c>
      <c r="C279" s="412">
        <v>69</v>
      </c>
      <c r="D279" s="593"/>
      <c r="E279" s="341" t="str">
        <f>IFERROR(IF(D279&lt;&gt;"",D279,HLOOKUP($E$2,$F$2:K279,ROW(D279)-1,0)),F279)</f>
        <v>Haga clic en las etiquetas de texto para alternar el color: negro/gris. &lt;br&gt;
Haga clic en los botones para seleccionar la respuesta.</v>
      </c>
      <c r="F279" s="341" t="s">
        <v>18544</v>
      </c>
      <c r="G279" s="341" t="s">
        <v>18545</v>
      </c>
      <c r="H279" s="341" t="s">
        <v>18546</v>
      </c>
      <c r="I279" s="341" t="s">
        <v>18547</v>
      </c>
      <c r="J279" s="341" t="s">
        <v>18548</v>
      </c>
      <c r="K279" s="341" t="s">
        <v>18549</v>
      </c>
      <c r="L279" s="341" t="str">
        <f t="shared" si="32"/>
        <v>Haga clic en las etiquetas de texto para alternar el color: negro/gris. &lt;br&gt;
Haga clic en los botones para seleccionar la respuesta.</v>
      </c>
      <c r="M279" s="226" t="s">
        <v>117</v>
      </c>
    </row>
    <row r="280" spans="1:13" outlineLevel="1" x14ac:dyDescent="0.25">
      <c r="A280" s="413" t="str">
        <f t="shared" si="33"/>
        <v>Z_TX_70_</v>
      </c>
      <c r="B280" s="413" t="str">
        <f t="shared" si="30"/>
        <v>TX</v>
      </c>
      <c r="C280" s="413">
        <v>70</v>
      </c>
      <c r="D280" s="592"/>
      <c r="E280" s="342" t="str">
        <f>IFERROR(IF(D280&lt;&gt;"",D280,HLOOKUP($E$2,$F$2:K280,ROW(D280)-1,0)),F280)</f>
        <v xml:space="preserve">Haga clic en las etiquetas de texto para alternar: normal/rojo ondulado. &lt;br&gt;
Haga clic en los botones para seleccionar la respuesta. </v>
      </c>
      <c r="F280" s="342" t="s">
        <v>18551</v>
      </c>
      <c r="G280" s="342" t="s">
        <v>18552</v>
      </c>
      <c r="H280" s="342" t="s">
        <v>18553</v>
      </c>
      <c r="I280" s="342" t="s">
        <v>18554</v>
      </c>
      <c r="J280" s="342" t="s">
        <v>18555</v>
      </c>
      <c r="K280" s="342" t="s">
        <v>18550</v>
      </c>
      <c r="L280" s="342" t="str">
        <f t="shared" si="32"/>
        <v xml:space="preserve">Haga clic en las etiquetas de texto para alternar: normal/rojo ondulado. &lt;br&gt;
Haga clic en los botones para seleccionar la respuesta. </v>
      </c>
      <c r="M280" s="226" t="s">
        <v>117</v>
      </c>
    </row>
    <row r="281" spans="1:13" outlineLevel="1" x14ac:dyDescent="0.25">
      <c r="A281" s="412" t="str">
        <f t="shared" si="33"/>
        <v>Z_TX_71_</v>
      </c>
      <c r="B281" s="412" t="str">
        <f t="shared" si="30"/>
        <v>TX</v>
      </c>
      <c r="C281" s="412">
        <v>71</v>
      </c>
      <c r="D281" s="577"/>
      <c r="E281" s="341" t="str">
        <f>IFERROR(IF(D281&lt;&gt;"",D281,HLOOKUP($E$2,$F$2:K281,ROW(D281)-1,0)),F281)</f>
        <v>No</v>
      </c>
      <c r="F281" s="341" t="s">
        <v>1223</v>
      </c>
      <c r="G281" s="341" t="s">
        <v>1223</v>
      </c>
      <c r="H281" s="341" t="s">
        <v>1227</v>
      </c>
      <c r="I281" s="341" t="s">
        <v>1224</v>
      </c>
      <c r="J281" s="341" t="s">
        <v>1226</v>
      </c>
      <c r="K281" s="341" t="s">
        <v>1225</v>
      </c>
      <c r="L281" s="341" t="str">
        <f t="shared" si="32"/>
        <v>No</v>
      </c>
      <c r="M281" s="226" t="s">
        <v>117</v>
      </c>
    </row>
    <row r="282" spans="1:13" outlineLevel="1" x14ac:dyDescent="0.25">
      <c r="A282" s="413" t="str">
        <f t="shared" si="33"/>
        <v>Z_TX_72_</v>
      </c>
      <c r="B282" s="413" t="str">
        <f t="shared" si="30"/>
        <v>TX</v>
      </c>
      <c r="C282" s="413">
        <v>72</v>
      </c>
      <c r="D282" s="578"/>
      <c r="E282" s="342" t="str">
        <f>IFERROR(IF(D282&lt;&gt;"",D282,HLOOKUP($E$2,$F$2:K282,ROW(D282)-1,0)),F282)</f>
        <v>Sí, cambiar a gris.</v>
      </c>
      <c r="F282" s="342" t="s">
        <v>1228</v>
      </c>
      <c r="G282" s="342" t="s">
        <v>1235</v>
      </c>
      <c r="H282" s="342" t="s">
        <v>1230</v>
      </c>
      <c r="I282" s="342" t="s">
        <v>1233</v>
      </c>
      <c r="J282" s="342" t="s">
        <v>1231</v>
      </c>
      <c r="K282" s="342" t="s">
        <v>1237</v>
      </c>
      <c r="L282" s="342" t="str">
        <f t="shared" si="32"/>
        <v>Sí, cambiar a gris.</v>
      </c>
      <c r="M282" s="226" t="s">
        <v>117</v>
      </c>
    </row>
    <row r="283" spans="1:13" outlineLevel="1" x14ac:dyDescent="0.25">
      <c r="A283" s="412" t="str">
        <f t="shared" si="33"/>
        <v>Z_TX_73_</v>
      </c>
      <c r="B283" s="412" t="str">
        <f t="shared" si="30"/>
        <v>TX</v>
      </c>
      <c r="C283" s="412">
        <v>73</v>
      </c>
      <c r="D283" s="577"/>
      <c r="E283" s="341" t="str">
        <f>IFERROR(IF(D283&lt;&gt;"",D283,HLOOKUP($E$2,$F$2:K283,ROW(D283)-1,0)),F283)</f>
        <v>Sí, tachar en rojo.</v>
      </c>
      <c r="F283" s="341" t="s">
        <v>1229</v>
      </c>
      <c r="G283" s="341" t="s">
        <v>1236</v>
      </c>
      <c r="H283" s="341" t="s">
        <v>1465</v>
      </c>
      <c r="I283" s="341" t="s">
        <v>1234</v>
      </c>
      <c r="J283" s="341" t="s">
        <v>1232</v>
      </c>
      <c r="K283" s="341" t="s">
        <v>1238</v>
      </c>
      <c r="L283" s="341" t="str">
        <f t="shared" si="32"/>
        <v>Sí, tachar en rojo.</v>
      </c>
      <c r="M283" s="226" t="s">
        <v>117</v>
      </c>
    </row>
    <row r="284" spans="1:13" outlineLevel="1" x14ac:dyDescent="0.25">
      <c r="A284" s="413" t="str">
        <f t="shared" si="33"/>
        <v>Z_TX_74_</v>
      </c>
      <c r="B284" s="413" t="str">
        <f t="shared" si="30"/>
        <v>TX</v>
      </c>
      <c r="C284" s="413">
        <v>74</v>
      </c>
      <c r="D284" s="574"/>
      <c r="E284" s="342" t="str">
        <f>IFERROR(IF(D284&lt;&gt;"",D284,HLOOKUP($E$2,$F$2:K284,ROW(D284)-1,0)),F284)</f>
        <v>Ancho RC</v>
      </c>
      <c r="F284" s="342" t="s">
        <v>1284</v>
      </c>
      <c r="G284" s="342" t="s">
        <v>1285</v>
      </c>
      <c r="H284" s="342" t="s">
        <v>1287</v>
      </c>
      <c r="I284" s="342" t="s">
        <v>1288</v>
      </c>
      <c r="J284" s="342" t="s">
        <v>1289</v>
      </c>
      <c r="K284" s="342" t="s">
        <v>1286</v>
      </c>
      <c r="L284" s="342" t="str">
        <f t="shared" si="32"/>
        <v>Ancho RC</v>
      </c>
      <c r="M284" s="226" t="s">
        <v>117</v>
      </c>
    </row>
    <row r="285" spans="1:13" outlineLevel="1" x14ac:dyDescent="0.25">
      <c r="A285" s="412" t="str">
        <f t="shared" si="33"/>
        <v>Z_TX_75_</v>
      </c>
      <c r="B285" s="412" t="str">
        <f t="shared" si="30"/>
        <v>TX</v>
      </c>
      <c r="C285" s="412">
        <v>75</v>
      </c>
      <c r="D285" s="593"/>
      <c r="E285" s="341" t="str">
        <f>IFERROR(IF(D285&lt;&gt;"",D285,HLOOKUP($E$2,$F$2:K285,ROW(D285)-1,0)),F285)</f>
        <v>¿Estás seguro que quieres BORRAR los datos de las celdas Variables? 
Dato_01, Dato_02, etc.
NO se BORRARÁ ningún dato de las preguntas.</v>
      </c>
      <c r="F285" s="341" t="s">
        <v>1309</v>
      </c>
      <c r="G285" s="341" t="s">
        <v>18510</v>
      </c>
      <c r="H285" s="341" t="s">
        <v>18511</v>
      </c>
      <c r="I285" s="341" t="s">
        <v>18512</v>
      </c>
      <c r="J285" s="341" t="s">
        <v>18513</v>
      </c>
      <c r="K285" s="341" t="s">
        <v>18514</v>
      </c>
      <c r="L285" s="341" t="str">
        <f t="shared" si="32"/>
        <v>¿Estás seguro que quieres BORRAR los datos de las celdas Variables? 
Dato_01, Dato_02, etc.
NO se BORRARÁ ningún dato de las preguntas.</v>
      </c>
      <c r="M285" s="226" t="s">
        <v>117</v>
      </c>
    </row>
    <row r="286" spans="1:13" outlineLevel="1" x14ac:dyDescent="0.25">
      <c r="A286" s="413" t="str">
        <f t="shared" ref="A286:A295" si="34">$A$1&amp;B286&amp;"_"&amp;C286&amp;"_"&amp;$A$2</f>
        <v>Z_TX_76_</v>
      </c>
      <c r="B286" s="413" t="str">
        <f t="shared" si="30"/>
        <v>TX</v>
      </c>
      <c r="C286" s="413">
        <v>76</v>
      </c>
      <c r="D286" s="592"/>
      <c r="E286" s="342" t="str">
        <f>IFERROR(IF(D286&lt;&gt;"",D286,HLOOKUP($E$2,$F$2:K286,ROW(D286)-1,0)),F286)</f>
        <v xml:space="preserve">INFORMACIÓN:
Según se vayan INTRODUCIENDO LOS DATOS de las preguntas, respuestas y puntuación, se irá actualIzando la ventana.
Se indicará AUTOMÁTICAMENTE: 
    - Cuál es la Respuesta Correcta.
    - Cuántas Respuestas Correctas / Incorrectas hay.
    - Cuántos Puntos hay en total por las Respuestas Correctas / Incorrectas. </v>
      </c>
      <c r="F286" s="571" t="s">
        <v>1545</v>
      </c>
      <c r="G286" s="342" t="s">
        <v>1546</v>
      </c>
      <c r="H286" s="342" t="s">
        <v>1547</v>
      </c>
      <c r="I286" s="342" t="s">
        <v>1548</v>
      </c>
      <c r="J286" s="342" t="s">
        <v>1549</v>
      </c>
      <c r="K286" s="342" t="s">
        <v>1550</v>
      </c>
      <c r="L286" s="342" t="str">
        <f t="shared" si="32"/>
        <v xml:space="preserve">INFORMACIÓN:
Según se vayan INTRODUCIENDO LOS DATOS de las preguntas, respuestas y puntuación, se irá actualIzando la ventana.
Se indicará AUTOMÁTICAMENTE: 
    - Cuál es la Respuesta Correcta.
    - Cuántas Respuestas Correctas / Incorrectas hay.
    - Cuántos Puntos hay en total por las Respuestas Correctas / Incorrectas. </v>
      </c>
      <c r="M286" s="226" t="s">
        <v>117</v>
      </c>
    </row>
    <row r="287" spans="1:13" outlineLevel="1" x14ac:dyDescent="0.25">
      <c r="A287" s="412" t="str">
        <f>$A$1&amp;B287&amp;"_"&amp;C287&amp;"_"&amp;$A$2</f>
        <v>Z_TX_77_0_</v>
      </c>
      <c r="B287" s="412" t="str">
        <f>B285</f>
        <v>TX</v>
      </c>
      <c r="C287" s="412" t="s">
        <v>18566</v>
      </c>
      <c r="D287" s="591"/>
      <c r="E287" s="341" t="str">
        <f>IFERROR(IF(D287&lt;&gt;"",D287,HLOOKUP($E$2,$F$2:K287,ROW(D287)-1,0)),F287)</f>
        <v xml:space="preserve">¿Quieres que te indique los enlaces necesarios la aplicación? 
- Enlace a VIDEO TUTORIALES
- Enlace a MANUAL
- Enlace a DESCARGAR el JUEGO
</v>
      </c>
      <c r="F287" s="519" t="s">
        <v>18567</v>
      </c>
      <c r="G287" s="341" t="s">
        <v>18572</v>
      </c>
      <c r="H287" s="341" t="s">
        <v>18570</v>
      </c>
      <c r="I287" s="341" t="s">
        <v>18571</v>
      </c>
      <c r="J287" s="341" t="s">
        <v>18569</v>
      </c>
      <c r="K287" s="341" t="s">
        <v>18568</v>
      </c>
      <c r="L287" s="341" t="str">
        <f t="shared" si="32"/>
        <v xml:space="preserve">¿Quieres que te indique los enlaces necesarios la aplicación? 
- Enlace a VIDEO TUTORIALES
- Enlace a MANUAL
- Enlace a DESCARGAR el JUEGO
</v>
      </c>
      <c r="M287" s="226" t="s">
        <v>117</v>
      </c>
    </row>
    <row r="288" spans="1:13" outlineLevel="1" x14ac:dyDescent="0.25">
      <c r="A288" s="413" t="str">
        <f t="shared" si="34"/>
        <v>Z_TX_77_1_</v>
      </c>
      <c r="B288" s="413" t="str">
        <f>B286</f>
        <v>TX</v>
      </c>
      <c r="C288" s="413" t="s">
        <v>18562</v>
      </c>
      <c r="D288" s="592"/>
      <c r="E288" s="342" t="str">
        <f>IFERROR(IF(D288&lt;&gt;"",D288,HLOOKUP($E$2,$F$2:K288,ROW(D288)-1,0)),F288)</f>
        <v>En el siguiente enlace, tienes el 
VIDEO TUTORIAL 
sobre cómo utilizar las preguntas en el juego.
_____________________________</v>
      </c>
      <c r="F288" s="571" t="s">
        <v>18594</v>
      </c>
      <c r="G288" s="342" t="s">
        <v>18573</v>
      </c>
      <c r="H288" s="342" t="s">
        <v>18574</v>
      </c>
      <c r="I288" s="342" t="s">
        <v>18575</v>
      </c>
      <c r="J288" s="342" t="s">
        <v>18576</v>
      </c>
      <c r="K288" s="342" t="s">
        <v>18577</v>
      </c>
      <c r="L288" s="342" t="str">
        <f t="shared" si="32"/>
        <v>En el siguiente enlace, tienes el 
VIDEO TUTORIAL 
sobre cómo utilizar las preguntas en el juego.
_____________________________</v>
      </c>
      <c r="M288" s="226" t="s">
        <v>117</v>
      </c>
    </row>
    <row r="289" spans="1:13" outlineLevel="1" x14ac:dyDescent="0.25">
      <c r="A289" s="412" t="str">
        <f>$A$1&amp;B289&amp;"_"&amp;C289&amp;"_"&amp;$A$2</f>
        <v>Z_TX_77_2_</v>
      </c>
      <c r="B289" s="412" t="str">
        <f t="shared" si="30"/>
        <v>TX</v>
      </c>
      <c r="C289" s="412" t="s">
        <v>18563</v>
      </c>
      <c r="D289" s="591"/>
      <c r="E289" s="341" t="str">
        <f>IFERROR(IF(D289&lt;&gt;"",D289,HLOOKUP($E$2,$F$2:K289,ROW(D289)-1,0)),F289)</f>
        <v>En el siguiente enlace, tienes el 
MANUAL 
sobre cómo utilizar las preguntas en el juego.
_____________________________</v>
      </c>
      <c r="F289" s="519" t="s">
        <v>18595</v>
      </c>
      <c r="G289" s="341" t="s">
        <v>18578</v>
      </c>
      <c r="H289" s="341" t="s">
        <v>18579</v>
      </c>
      <c r="I289" s="341" t="s">
        <v>18580</v>
      </c>
      <c r="J289" s="341" t="s">
        <v>18581</v>
      </c>
      <c r="K289" s="341" t="s">
        <v>18582</v>
      </c>
      <c r="L289" s="341" t="str">
        <f t="shared" si="32"/>
        <v>En el siguiente enlace, tienes el 
MANUAL 
sobre cómo utilizar las preguntas en el juego.
_____________________________</v>
      </c>
      <c r="M289" s="226" t="s">
        <v>117</v>
      </c>
    </row>
    <row r="290" spans="1:13" outlineLevel="1" x14ac:dyDescent="0.25">
      <c r="A290" s="413" t="str">
        <f>$A$1&amp;B290&amp;"_"&amp;C290&amp;"_"&amp;$A$2</f>
        <v>Z_TX_77_3_</v>
      </c>
      <c r="B290" s="413" t="str">
        <f t="shared" si="30"/>
        <v>TX</v>
      </c>
      <c r="C290" s="413" t="s">
        <v>18564</v>
      </c>
      <c r="D290" s="592"/>
      <c r="E290" s="342" t="str">
        <f>IFERROR(IF(D290&lt;&gt;"",D290,HLOOKUP($E$2,$F$2:K290,ROW(D290)-1,0)),F290)</f>
        <v>En el siguiente enlace, te puedes 
DESCARGAR EL JUEGO, 
la versión del 
PROFESOR.
_____________________________</v>
      </c>
      <c r="F290" s="571" t="s">
        <v>18583</v>
      </c>
      <c r="G290" s="342" t="s">
        <v>18584</v>
      </c>
      <c r="H290" s="342" t="s">
        <v>18585</v>
      </c>
      <c r="I290" s="342" t="s">
        <v>18586</v>
      </c>
      <c r="J290" s="342" t="s">
        <v>18587</v>
      </c>
      <c r="K290" s="342" t="s">
        <v>18588</v>
      </c>
      <c r="L290" s="342" t="str">
        <f t="shared" si="32"/>
        <v>En el siguiente enlace, te puedes 
DESCARGAR EL JUEGO, 
la versión del 
PROFESOR.
_____________________________</v>
      </c>
      <c r="M290" s="226" t="s">
        <v>117</v>
      </c>
    </row>
    <row r="291" spans="1:13" outlineLevel="1" x14ac:dyDescent="0.25">
      <c r="A291" s="412" t="str">
        <f>$A$1&amp;B291&amp;"_"&amp;C291&amp;"_"&amp;$A$2</f>
        <v>Z_TX_77_4_</v>
      </c>
      <c r="B291" s="412" t="str">
        <f t="shared" si="30"/>
        <v>TX</v>
      </c>
      <c r="C291" s="412" t="s">
        <v>18565</v>
      </c>
      <c r="D291" s="591"/>
      <c r="E291" s="341" t="str">
        <f>IFERROR(IF(D291&lt;&gt;"",D291,HLOOKUP($E$2,$F$2:K291,ROW(D291)-1,0)),F291)</f>
        <v>En el siguiente enlace, te puedes 
DESCARGAR EL JUEGO, 
la versión del 
JUGADOR.
_____________________________</v>
      </c>
      <c r="F291" s="341" t="s">
        <v>18596</v>
      </c>
      <c r="G291" s="341" t="s">
        <v>18589</v>
      </c>
      <c r="H291" s="341" t="s">
        <v>18590</v>
      </c>
      <c r="I291" s="341" t="s">
        <v>18591</v>
      </c>
      <c r="J291" s="341" t="s">
        <v>18592</v>
      </c>
      <c r="K291" s="341" t="s">
        <v>18593</v>
      </c>
      <c r="L291" s="341" t="str">
        <f t="shared" si="32"/>
        <v>En el siguiente enlace, te puedes 
DESCARGAR EL JUEGO, 
la versión del 
JUGADOR.
_____________________________</v>
      </c>
      <c r="M291" s="226" t="s">
        <v>117</v>
      </c>
    </row>
    <row r="292" spans="1:13" outlineLevel="1" x14ac:dyDescent="0.25">
      <c r="A292" s="413" t="str">
        <f t="shared" si="34"/>
        <v>Z_TX_78_</v>
      </c>
      <c r="B292" s="413" t="str">
        <f>B288</f>
        <v>TX</v>
      </c>
      <c r="C292" s="413">
        <v>78</v>
      </c>
      <c r="D292" s="578"/>
      <c r="E292" s="342" t="str">
        <f>IFERROR(IF(D292&lt;&gt;"",D292,HLOOKUP($E$2,$F$2:K292,ROW(D292)-1,0)),F292)</f>
        <v>¿Deseas Exportar las Preguntas y Respuestas Ordenadas?</v>
      </c>
      <c r="F292" s="342" t="s">
        <v>1573</v>
      </c>
      <c r="G292" s="342" t="s">
        <v>1664</v>
      </c>
      <c r="H292" s="342" t="s">
        <v>1659</v>
      </c>
      <c r="I292" s="342" t="s">
        <v>1576</v>
      </c>
      <c r="J292" s="342" t="s">
        <v>1575</v>
      </c>
      <c r="K292" s="342" t="s">
        <v>1574</v>
      </c>
      <c r="L292" s="342" t="str">
        <f t="shared" si="32"/>
        <v>¿Deseas Exportar las Preguntas y Respuestas Ordenadas?</v>
      </c>
      <c r="M292" s="226" t="s">
        <v>117</v>
      </c>
    </row>
    <row r="293" spans="1:13" outlineLevel="1" x14ac:dyDescent="0.25">
      <c r="A293" s="412" t="str">
        <f t="shared" si="34"/>
        <v>Z_TX_79_</v>
      </c>
      <c r="B293" s="412" t="str">
        <f t="shared" si="30"/>
        <v>TX</v>
      </c>
      <c r="C293" s="412">
        <v>79</v>
      </c>
      <c r="D293" s="577"/>
      <c r="E293" s="341" t="str">
        <f>IFERROR(IF(D293&lt;&gt;"",D293,HLOOKUP($E$2,$F$2:K293,ROW(D293)-1,0)),F293)</f>
        <v>Preguntas y respuestas en orden.</v>
      </c>
      <c r="F293" s="341" t="s">
        <v>18515</v>
      </c>
      <c r="G293" s="341" t="s">
        <v>18516</v>
      </c>
      <c r="H293" s="341" t="s">
        <v>18517</v>
      </c>
      <c r="I293" s="341" t="s">
        <v>18518</v>
      </c>
      <c r="J293" s="341" t="s">
        <v>18519</v>
      </c>
      <c r="K293" s="341" t="s">
        <v>18520</v>
      </c>
      <c r="L293" s="341" t="str">
        <f t="shared" si="32"/>
        <v>Preguntas y respuestas en orden.</v>
      </c>
      <c r="M293" s="226" t="s">
        <v>117</v>
      </c>
    </row>
    <row r="294" spans="1:13" outlineLevel="1" x14ac:dyDescent="0.25">
      <c r="A294" s="413" t="str">
        <f t="shared" si="34"/>
        <v>Z_TX_80_</v>
      </c>
      <c r="B294" s="413" t="str">
        <f t="shared" si="30"/>
        <v>TX</v>
      </c>
      <c r="C294" s="413">
        <v>80</v>
      </c>
      <c r="D294" s="578"/>
      <c r="E294" s="342" t="str">
        <f>IFERROR(IF(D294&lt;&gt;"",D294,HLOOKUP($E$2,$F$2:K294,ROW(D294)-1,0)),F294)</f>
        <v>Preguntas y respuestas barajadas.</v>
      </c>
      <c r="F294" s="342" t="s">
        <v>18521</v>
      </c>
      <c r="G294" s="342" t="s">
        <v>18522</v>
      </c>
      <c r="H294" s="342" t="s">
        <v>18523</v>
      </c>
      <c r="I294" s="342" t="s">
        <v>18524</v>
      </c>
      <c r="J294" s="342" t="s">
        <v>18525</v>
      </c>
      <c r="K294" s="342" t="s">
        <v>18526</v>
      </c>
      <c r="L294" s="342" t="str">
        <f t="shared" si="32"/>
        <v>Preguntas y respuestas barajadas.</v>
      </c>
      <c r="M294" s="226" t="s">
        <v>117</v>
      </c>
    </row>
    <row r="295" spans="1:13" outlineLevel="1" x14ac:dyDescent="0.25">
      <c r="A295" s="412" t="str">
        <f t="shared" si="34"/>
        <v>Z_TX_81_</v>
      </c>
      <c r="B295" s="412" t="str">
        <f t="shared" si="30"/>
        <v>TX</v>
      </c>
      <c r="C295" s="412">
        <v>81</v>
      </c>
      <c r="D295" s="591"/>
      <c r="E295" s="341" t="str">
        <f>IFERROR(IF(D295&lt;&gt;"",D295,HLOOKUP($E$2,$F$2:K295,ROW(D295)-1,0)),F295)</f>
        <v>Copia el link (Ctrl+C) y 
pega (Ctrl+V) en Internet.</v>
      </c>
      <c r="F295" s="519" t="s">
        <v>1580</v>
      </c>
      <c r="G295" s="341" t="s">
        <v>1581</v>
      </c>
      <c r="H295" s="341" t="s">
        <v>1582</v>
      </c>
      <c r="I295" s="341" t="s">
        <v>1583</v>
      </c>
      <c r="J295" s="341" t="s">
        <v>1584</v>
      </c>
      <c r="K295" s="341" t="s">
        <v>1585</v>
      </c>
      <c r="L295" s="341" t="str">
        <f t="shared" si="32"/>
        <v>Copia el link (Ctrl+C) y 
pega (Ctrl+V) en Internet.</v>
      </c>
      <c r="M295" s="226" t="s">
        <v>117</v>
      </c>
    </row>
    <row r="296" spans="1:13" outlineLevel="1" x14ac:dyDescent="0.25">
      <c r="A296" s="413" t="str">
        <f t="shared" ref="A296:A305" si="35">$A$1&amp;B296&amp;"_"&amp;C296&amp;"_"&amp;$A$2</f>
        <v>Z_TX_82_</v>
      </c>
      <c r="B296" s="413" t="str">
        <f t="shared" si="30"/>
        <v>TX</v>
      </c>
      <c r="C296" s="413">
        <v>82</v>
      </c>
      <c r="D296" s="594"/>
      <c r="E296" s="342" t="str">
        <f>IFERROR(IF(D296&lt;&gt;"",D296,HLOOKUP($E$2,$F$2:K296,ROW(D296)-1,0)),F296)</f>
        <v xml:space="preserve">Escribe el número de la pregunta.
Su valor debe estar entre </v>
      </c>
      <c r="F296" s="571" t="s">
        <v>18207</v>
      </c>
      <c r="G296" s="342" t="s">
        <v>18208</v>
      </c>
      <c r="H296" s="342" t="s">
        <v>18209</v>
      </c>
      <c r="I296" s="342" t="s">
        <v>18210</v>
      </c>
      <c r="J296" s="342" t="s">
        <v>18211</v>
      </c>
      <c r="K296" s="342" t="s">
        <v>18212</v>
      </c>
      <c r="L296" s="342" t="str">
        <f t="shared" si="32"/>
        <v xml:space="preserve">Escribe el número de la pregunta.
Su valor debe estar entre </v>
      </c>
      <c r="M296" s="226" t="s">
        <v>117</v>
      </c>
    </row>
    <row r="297" spans="1:13" outlineLevel="1" x14ac:dyDescent="0.25">
      <c r="A297" s="412" t="str">
        <f t="shared" si="35"/>
        <v>Z_TX_83_</v>
      </c>
      <c r="B297" s="412" t="str">
        <f t="shared" si="30"/>
        <v>TX</v>
      </c>
      <c r="C297" s="412">
        <v>83</v>
      </c>
      <c r="D297" s="577"/>
      <c r="E297" s="341" t="str">
        <f>IFERROR(IF(D297&lt;&gt;"",D297,HLOOKUP($E$2,$F$2:K297,ROW(D297)-1,0)),F297)</f>
        <v>¿Quieres INSERTAR nuevas LÍNEAS, al final de la tabla, para escribir nuevas preguntas?</v>
      </c>
      <c r="F297" s="519" t="s">
        <v>18274</v>
      </c>
      <c r="G297" s="341" t="s">
        <v>18289</v>
      </c>
      <c r="H297" s="341" t="s">
        <v>18288</v>
      </c>
      <c r="I297" s="341" t="s">
        <v>18286</v>
      </c>
      <c r="J297" s="341" t="s">
        <v>18287</v>
      </c>
      <c r="K297" s="341" t="s">
        <v>18285</v>
      </c>
      <c r="L297" s="341" t="str">
        <f t="shared" si="32"/>
        <v>¿Quieres INSERTAR nuevas LÍNEAS, al final de la tabla, para escribir nuevas preguntas?</v>
      </c>
      <c r="M297" s="226" t="s">
        <v>117</v>
      </c>
    </row>
    <row r="298" spans="1:13" outlineLevel="1" x14ac:dyDescent="0.25">
      <c r="A298" s="413" t="str">
        <f t="shared" si="35"/>
        <v>Z_TX_83_1_</v>
      </c>
      <c r="B298" s="413" t="str">
        <f t="shared" si="30"/>
        <v>TX</v>
      </c>
      <c r="C298" s="413" t="s">
        <v>18271</v>
      </c>
      <c r="D298" s="592"/>
      <c r="E298" s="342" t="str">
        <f>IFERROR(IF(D298&lt;&gt;"",D298,HLOOKUP($E$2,$F$2:K298,ROW(D298)-1,0)),F298)</f>
        <v xml:space="preserve">¿Cuántas líneas quieres insertar? 
</v>
      </c>
      <c r="F298" s="571" t="s">
        <v>18269</v>
      </c>
      <c r="G298" s="342" t="s">
        <v>18270</v>
      </c>
      <c r="H298" s="342" t="s">
        <v>18527</v>
      </c>
      <c r="I298" s="342" t="s">
        <v>18530</v>
      </c>
      <c r="J298" s="342" t="s">
        <v>18528</v>
      </c>
      <c r="K298" s="342" t="s">
        <v>18529</v>
      </c>
      <c r="L298" s="342" t="str">
        <f t="shared" si="32"/>
        <v xml:space="preserve">¿Cuántas líneas quieres insertar? 
</v>
      </c>
      <c r="M298" s="226" t="s">
        <v>117</v>
      </c>
    </row>
    <row r="299" spans="1:13" outlineLevel="1" x14ac:dyDescent="0.25">
      <c r="A299" s="412" t="str">
        <f t="shared" si="35"/>
        <v>Z_TX_84_1_</v>
      </c>
      <c r="B299" s="412" t="str">
        <f>B297</f>
        <v>TX</v>
      </c>
      <c r="C299" s="412" t="s">
        <v>18227</v>
      </c>
      <c r="D299" s="591"/>
      <c r="E299" s="341" t="str">
        <f>IFERROR(IF(D299&lt;&gt;"",D299,HLOOKUP($E$2,$F$2:K299,ROW(D299)-1,0)),F299)</f>
        <v xml:space="preserve">Escribe el número de la LÍNEA donde está la pregunta que quieres borrar.
Tiene que ser un valor entre: </v>
      </c>
      <c r="F299" s="519" t="s">
        <v>18225</v>
      </c>
      <c r="G299" s="341" t="s">
        <v>18240</v>
      </c>
      <c r="H299" s="341" t="s">
        <v>18241</v>
      </c>
      <c r="I299" s="341" t="s">
        <v>18242</v>
      </c>
      <c r="J299" s="341" t="s">
        <v>18243</v>
      </c>
      <c r="K299" s="341" t="s">
        <v>18244</v>
      </c>
      <c r="L299" s="341" t="str">
        <f t="shared" si="32"/>
        <v xml:space="preserve">Escribe el número de la LÍNEA donde está la pregunta que quieres borrar.
Tiene que ser un valor entre: </v>
      </c>
      <c r="M299" s="226" t="s">
        <v>117</v>
      </c>
    </row>
    <row r="300" spans="1:13" outlineLevel="1" x14ac:dyDescent="0.25">
      <c r="A300" s="413" t="str">
        <f t="shared" si="35"/>
        <v>Z_TX_84_2_</v>
      </c>
      <c r="B300" s="413" t="str">
        <f t="shared" si="30"/>
        <v>TX</v>
      </c>
      <c r="C300" s="413" t="s">
        <v>18228</v>
      </c>
      <c r="D300" s="578"/>
      <c r="E300" s="342" t="str">
        <f>IFERROR(IF(D300&lt;&gt;"",D300,HLOOKUP($E$2,$F$2:K300,ROW(D300)-1,0)),F300)</f>
        <v xml:space="preserve">Actualmente estás en la LÍNEA: </v>
      </c>
      <c r="F300" s="571" t="s">
        <v>18246</v>
      </c>
      <c r="G300" s="342" t="s">
        <v>18531</v>
      </c>
      <c r="H300" s="342" t="s">
        <v>18532</v>
      </c>
      <c r="I300" s="342" t="s">
        <v>18533</v>
      </c>
      <c r="J300" s="342" t="s">
        <v>18534</v>
      </c>
      <c r="K300" s="342" t="s">
        <v>18535</v>
      </c>
      <c r="L300" s="342" t="str">
        <f t="shared" si="32"/>
        <v xml:space="preserve">Actualmente estás en la LÍNEA: </v>
      </c>
      <c r="M300" s="226" t="s">
        <v>117</v>
      </c>
    </row>
    <row r="301" spans="1:13" outlineLevel="1" x14ac:dyDescent="0.25">
      <c r="A301" s="412" t="str">
        <f t="shared" si="35"/>
        <v>Z_TX_84_3_</v>
      </c>
      <c r="B301" s="412" t="str">
        <f t="shared" si="30"/>
        <v>TX</v>
      </c>
      <c r="C301" s="412" t="s">
        <v>18229</v>
      </c>
      <c r="D301" s="577"/>
      <c r="E301" s="341" t="str">
        <f>IFERROR(IF(D301&lt;&gt;"",D301,HLOOKUP($E$2,$F$2:K301,ROW(D301)-1,0)),F301)</f>
        <v xml:space="preserve"> y la PREGUNTA: </v>
      </c>
      <c r="F301" s="519" t="s">
        <v>18226</v>
      </c>
      <c r="G301" s="341" t="s">
        <v>18236</v>
      </c>
      <c r="H301" s="341" t="s">
        <v>18237</v>
      </c>
      <c r="I301" s="341" t="s">
        <v>18238</v>
      </c>
      <c r="J301" s="341" t="s">
        <v>18235</v>
      </c>
      <c r="K301" s="341" t="s">
        <v>18239</v>
      </c>
      <c r="L301" s="341" t="str">
        <f t="shared" si="32"/>
        <v xml:space="preserve"> y la PREGUNTA: </v>
      </c>
      <c r="M301" s="226" t="s">
        <v>117</v>
      </c>
    </row>
    <row r="302" spans="1:13" outlineLevel="1" x14ac:dyDescent="0.25">
      <c r="A302" s="413" t="str">
        <f t="shared" si="35"/>
        <v>Z_TX_85_1_</v>
      </c>
      <c r="B302" s="413" t="str">
        <f t="shared" si="30"/>
        <v>TX</v>
      </c>
      <c r="C302" s="413" t="s">
        <v>18230</v>
      </c>
      <c r="D302" s="578"/>
      <c r="E302" s="342" t="str">
        <f>IFERROR(IF(D302&lt;&gt;"",D302,HLOOKUP($E$2,$F$2:K302,ROW(D302)-1,0)),F302)</f>
        <v xml:space="preserve">Se va a BORRAR la pregunta N° </v>
      </c>
      <c r="F302" s="571" t="s">
        <v>18282</v>
      </c>
      <c r="G302" s="342" t="s">
        <v>18283</v>
      </c>
      <c r="H302" s="342" t="s">
        <v>18275</v>
      </c>
      <c r="I302" s="342" t="s">
        <v>18277</v>
      </c>
      <c r="J302" s="342" t="s">
        <v>18279</v>
      </c>
      <c r="K302" s="342" t="s">
        <v>1648</v>
      </c>
      <c r="L302" s="342" t="str">
        <f t="shared" si="32"/>
        <v xml:space="preserve">Se va a BORRAR la pregunta N° </v>
      </c>
      <c r="M302" s="226" t="s">
        <v>117</v>
      </c>
    </row>
    <row r="303" spans="1:13" outlineLevel="1" x14ac:dyDescent="0.25">
      <c r="A303" s="412" t="str">
        <f t="shared" si="35"/>
        <v>Z_TX_85_2_</v>
      </c>
      <c r="B303" s="412" t="str">
        <f t="shared" si="30"/>
        <v>TX</v>
      </c>
      <c r="C303" s="412" t="s">
        <v>18231</v>
      </c>
      <c r="D303" s="577"/>
      <c r="E303" s="341" t="str">
        <f>IFERROR(IF(D303&lt;&gt;"",D303,HLOOKUP($E$2,$F$2:K303,ROW(D303)-1,0)),F303)</f>
        <v xml:space="preserve"> que está en la linea </v>
      </c>
      <c r="F303" s="519" t="s">
        <v>18234</v>
      </c>
      <c r="G303" s="341" t="s">
        <v>18284</v>
      </c>
      <c r="H303" s="341" t="s">
        <v>18276</v>
      </c>
      <c r="I303" s="341" t="s">
        <v>18278</v>
      </c>
      <c r="J303" s="341" t="s">
        <v>18280</v>
      </c>
      <c r="K303" s="341" t="s">
        <v>18281</v>
      </c>
      <c r="L303" s="341" t="str">
        <f t="shared" si="32"/>
        <v xml:space="preserve"> que está en la linea </v>
      </c>
      <c r="M303" s="226" t="s">
        <v>117</v>
      </c>
    </row>
    <row r="304" spans="1:13" outlineLevel="1" x14ac:dyDescent="0.25">
      <c r="A304" s="413" t="str">
        <f t="shared" si="35"/>
        <v>Z_TX_85_3_</v>
      </c>
      <c r="B304" s="413" t="str">
        <f t="shared" si="30"/>
        <v>TX</v>
      </c>
      <c r="C304" s="413" t="s">
        <v>18232</v>
      </c>
      <c r="D304" s="578"/>
      <c r="E304" s="342" t="str">
        <f>IFERROR(IF(D304&lt;&gt;"",D304,HLOOKUP($E$2,$F$2:K304,ROW(D304)-1,0)),F304)</f>
        <v xml:space="preserve">El ENUNCIADO de la pregunta es: </v>
      </c>
      <c r="F304" s="571" t="s">
        <v>18536</v>
      </c>
      <c r="G304" s="342" t="s">
        <v>18537</v>
      </c>
      <c r="H304" s="342" t="s">
        <v>18538</v>
      </c>
      <c r="I304" s="342" t="s">
        <v>18539</v>
      </c>
      <c r="J304" s="342" t="s">
        <v>18540</v>
      </c>
      <c r="K304" s="342" t="s">
        <v>18541</v>
      </c>
      <c r="L304" s="342" t="str">
        <f t="shared" si="32"/>
        <v xml:space="preserve">El ENUNCIADO de la pregunta es: </v>
      </c>
      <c r="M304" s="226" t="s">
        <v>117</v>
      </c>
    </row>
    <row r="305" spans="1:13" ht="15.75" outlineLevel="1" thickBot="1" x14ac:dyDescent="0.3">
      <c r="A305" s="412" t="str">
        <f t="shared" si="35"/>
        <v>Z_TX_85_4_</v>
      </c>
      <c r="B305" s="412" t="str">
        <f t="shared" si="30"/>
        <v>TX</v>
      </c>
      <c r="C305" s="412" t="s">
        <v>18233</v>
      </c>
      <c r="D305" s="577"/>
      <c r="E305" s="341" t="str">
        <f>IFERROR(IF(D305&lt;&gt;"",D305,HLOOKUP($E$2,$F$2:K305,ROW(D305)-1,0)),F305)</f>
        <v>¿DESEAS CONTINUAR?</v>
      </c>
      <c r="F305" s="573" t="s">
        <v>734</v>
      </c>
      <c r="G305" s="572" t="s">
        <v>754</v>
      </c>
      <c r="H305" s="572" t="s">
        <v>749</v>
      </c>
      <c r="I305" s="572" t="s">
        <v>739</v>
      </c>
      <c r="J305" s="572" t="s">
        <v>744</v>
      </c>
      <c r="K305" s="572" t="s">
        <v>1003</v>
      </c>
      <c r="L305" s="572" t="str">
        <f t="shared" si="32"/>
        <v>¿DESEAS CONTINUAR?</v>
      </c>
      <c r="M305" s="226" t="s">
        <v>117</v>
      </c>
    </row>
    <row r="306" spans="1:13" outlineLevel="1" x14ac:dyDescent="0.25">
      <c r="A306" s="413" t="str">
        <f t="shared" ref="A306:A313" si="36">$A$1&amp;B306&amp;"_"&amp;C306&amp;"_"&amp;$A$2</f>
        <v>Z_TX_86_</v>
      </c>
      <c r="B306" s="413" t="str">
        <f t="shared" si="30"/>
        <v>TX</v>
      </c>
      <c r="C306" s="413">
        <v>86</v>
      </c>
      <c r="D306" s="594"/>
      <c r="E306" s="342" t="str">
        <f>IFERROR(IF(D306&lt;&gt;"",D306,HLOOKUP($E$2,$F$2:K306,ROW(D306)-1,0)),F306)</f>
        <v>Hay líneas con el enunciado en blanco.
¿Quieres borrarlas?</v>
      </c>
      <c r="F306" s="571" t="s">
        <v>18245</v>
      </c>
      <c r="G306" s="342" t="s">
        <v>18290</v>
      </c>
      <c r="H306" s="342" t="s">
        <v>18291</v>
      </c>
      <c r="I306" s="342" t="s">
        <v>18292</v>
      </c>
      <c r="J306" s="342" t="s">
        <v>18293</v>
      </c>
      <c r="K306" s="342" t="s">
        <v>18294</v>
      </c>
      <c r="L306" s="342" t="str">
        <f t="shared" si="32"/>
        <v>Hay líneas con el enunciado en blanco.
¿Quieres borrarlas?</v>
      </c>
      <c r="M306" s="226" t="s">
        <v>117</v>
      </c>
    </row>
    <row r="307" spans="1:13" outlineLevel="1" x14ac:dyDescent="0.25">
      <c r="A307" s="412" t="str">
        <f t="shared" si="36"/>
        <v>Z_TX_87_1_</v>
      </c>
      <c r="B307" s="412" t="str">
        <f>B305</f>
        <v>TX</v>
      </c>
      <c r="C307" s="412" t="s">
        <v>18597</v>
      </c>
      <c r="D307" s="593"/>
      <c r="E307" s="341" t="str">
        <f>IFERROR(IF(D307&lt;&gt;"",D307,HLOOKUP($E$2,$F$2:K307,ROW(D307)-1,0)),F307)</f>
        <v xml:space="preserve">Selecciona una opción:
[1] EXPORTAR preguntas:
Se exportarán las preguntas tipo OPCIÓN MÚLTIPLE 1R para usar en el JUEGO. 
RECUERDA: Si tienes preguntas de diferente nivel de dificultar (hasta 2), debes cambiar el código en el archivo creado.
[2] VER enlaces:
Se muestran los enlaces para descargar y aprender a usar la aplicación.
[3] CREAR código:
Se generará el CÓDIGO para dar acceso a las preguntas.
[4] BORRAR código:
Se borrará el CÓDIGO para quitar el acceso a las preguntas.
[5] SALIR: 
Sales de la opción EXPORTAR a JUEGO.
</v>
      </c>
      <c r="F307" s="519" t="s">
        <v>18647</v>
      </c>
      <c r="G307" s="341" t="s">
        <v>18651</v>
      </c>
      <c r="H307" s="341" t="s">
        <v>18788</v>
      </c>
      <c r="I307" s="341" t="s">
        <v>18648</v>
      </c>
      <c r="J307" s="341" t="s">
        <v>18649</v>
      </c>
      <c r="K307" s="341" t="s">
        <v>18646</v>
      </c>
      <c r="L307" s="341" t="str">
        <f t="shared" si="32"/>
        <v xml:space="preserve">Selecciona una opción:
[1] EXPORTAR preguntas:
Se exportarán las preguntas tipo OPCIÓN MÚLTIPLE 1R para usar en el JUEGO. 
RECUERDA: Si tienes preguntas de diferente nivel de dificultar (hasta 2), debes cambiar el código en el archivo creado.
[2] VER enlaces:
Se muestran los enlaces para descargar y aprender a usar la aplicación.
[3] CREAR código:
Se generará el CÓDIGO para dar acceso a las preguntas.
[4] BORRAR código:
Se borrará el CÓDIGO para quitar el acceso a las preguntas.
[5] SALIR: 
Sales de la opción EXPORTAR a JUEGO.
</v>
      </c>
      <c r="M307" s="226" t="s">
        <v>117</v>
      </c>
    </row>
    <row r="308" spans="1:13" outlineLevel="1" x14ac:dyDescent="0.25">
      <c r="A308" s="413" t="str">
        <f t="shared" si="36"/>
        <v>Z_TX_87_2_</v>
      </c>
      <c r="B308" s="413" t="str">
        <f t="shared" si="30"/>
        <v>TX</v>
      </c>
      <c r="C308" s="413" t="s">
        <v>18598</v>
      </c>
      <c r="D308" s="578"/>
      <c r="E308" s="342" t="str">
        <f>IFERROR(IF(D308&lt;&gt;"",D308,HLOOKUP($E$2,$F$2:K308,ROW(D308)-1,0)),F308)</f>
        <v>Debes UTILIZAR preguntas en GOOGLE DRIVE compartidas con TODOS.</v>
      </c>
      <c r="F308" s="571" t="s">
        <v>18611</v>
      </c>
      <c r="G308" s="342" t="s">
        <v>18639</v>
      </c>
      <c r="H308" s="342" t="s">
        <v>18619</v>
      </c>
      <c r="I308" s="342" t="s">
        <v>18612</v>
      </c>
      <c r="J308" s="342" t="s">
        <v>18625</v>
      </c>
      <c r="K308" s="342" t="s">
        <v>18632</v>
      </c>
      <c r="L308" s="342" t="str">
        <f t="shared" si="32"/>
        <v>Debes UTILIZAR preguntas en GOOGLE DRIVE compartidas con TODOS.</v>
      </c>
      <c r="M308" s="226" t="s">
        <v>117</v>
      </c>
    </row>
    <row r="309" spans="1:13" outlineLevel="1" x14ac:dyDescent="0.25">
      <c r="A309" s="412" t="str">
        <f t="shared" si="36"/>
        <v>Z_TX_87_3_</v>
      </c>
      <c r="B309" s="412" t="str">
        <f t="shared" si="30"/>
        <v>TX</v>
      </c>
      <c r="C309" s="412" t="s">
        <v>18599</v>
      </c>
      <c r="D309" s="577"/>
      <c r="E309" s="341" t="str">
        <f>IFERROR(IF(D309&lt;&gt;"",D309,HLOOKUP($E$2,$F$2:K309,ROW(D309)-1,0)),F309)</f>
        <v>Escribe la URL de las PREGUNTAS que quieres utilizar.</v>
      </c>
      <c r="F309" s="519" t="s">
        <v>18603</v>
      </c>
      <c r="G309" s="341" t="s">
        <v>18640</v>
      </c>
      <c r="H309" s="341" t="s">
        <v>18620</v>
      </c>
      <c r="I309" s="341" t="s">
        <v>18613</v>
      </c>
      <c r="J309" s="341" t="s">
        <v>18626</v>
      </c>
      <c r="K309" s="341" t="s">
        <v>18633</v>
      </c>
      <c r="L309" s="341" t="str">
        <f t="shared" si="32"/>
        <v>Escribe la URL de las PREGUNTAS que quieres utilizar.</v>
      </c>
      <c r="M309" s="226" t="s">
        <v>117</v>
      </c>
    </row>
    <row r="310" spans="1:13" outlineLevel="1" x14ac:dyDescent="0.25">
      <c r="A310" s="413" t="str">
        <f t="shared" si="36"/>
        <v>Z_TX_87_4_</v>
      </c>
      <c r="B310" s="413" t="str">
        <f t="shared" si="30"/>
        <v>TX</v>
      </c>
      <c r="C310" s="413" t="s">
        <v>18600</v>
      </c>
      <c r="D310" s="578"/>
      <c r="E310" s="342" t="str">
        <f>IFERROR(IF(D310&lt;&gt;"",D310,HLOOKUP($E$2,$F$2:K310,ROW(D310)-1,0)),F310)</f>
        <v>La tabla debe estar compartida con TODOS.</v>
      </c>
      <c r="F310" s="571" t="s">
        <v>18610</v>
      </c>
      <c r="G310" s="342" t="s">
        <v>18641</v>
      </c>
      <c r="H310" s="342" t="s">
        <v>18621</v>
      </c>
      <c r="I310" s="342" t="s">
        <v>18614</v>
      </c>
      <c r="J310" s="342" t="s">
        <v>18627</v>
      </c>
      <c r="K310" s="342" t="s">
        <v>18634</v>
      </c>
      <c r="L310" s="342" t="str">
        <f t="shared" si="32"/>
        <v>La tabla debe estar compartida con TODOS.</v>
      </c>
      <c r="M310" s="226" t="s">
        <v>117</v>
      </c>
    </row>
    <row r="311" spans="1:13" outlineLevel="1" x14ac:dyDescent="0.25">
      <c r="A311" s="412" t="str">
        <f t="shared" si="36"/>
        <v>Z_TX_87_5_</v>
      </c>
      <c r="B311" s="412" t="str">
        <f t="shared" si="30"/>
        <v>TX</v>
      </c>
      <c r="C311" s="412" t="s">
        <v>18601</v>
      </c>
      <c r="D311" s="577"/>
      <c r="E311" s="341" t="str">
        <f>IFERROR(IF(D311&lt;&gt;"",D311,HLOOKUP($E$2,$F$2:K311,ROW(D311)-1,0)),F311)</f>
        <v>El codigo para usar las preguntas en el juego es:</v>
      </c>
      <c r="F311" s="519" t="s">
        <v>18604</v>
      </c>
      <c r="G311" s="341" t="s">
        <v>18642</v>
      </c>
      <c r="H311" s="341" t="s">
        <v>18789</v>
      </c>
      <c r="I311" s="341" t="s">
        <v>18615</v>
      </c>
      <c r="J311" s="341" t="s">
        <v>18628</v>
      </c>
      <c r="K311" s="341" t="s">
        <v>18635</v>
      </c>
      <c r="L311" s="341" t="str">
        <f t="shared" si="32"/>
        <v>El codigo para usar las preguntas en el juego es:</v>
      </c>
      <c r="M311" s="226" t="s">
        <v>117</v>
      </c>
    </row>
    <row r="312" spans="1:13" outlineLevel="1" x14ac:dyDescent="0.25">
      <c r="A312" s="413" t="str">
        <f t="shared" si="36"/>
        <v>Z_TX_87_6_</v>
      </c>
      <c r="B312" s="413" t="str">
        <f t="shared" si="30"/>
        <v>TX</v>
      </c>
      <c r="C312" s="413" t="s">
        <v>18602</v>
      </c>
      <c r="D312" s="578"/>
      <c r="E312" s="342" t="str">
        <f>IFERROR(IF(D312&lt;&gt;"",D312,HLOOKUP($E$2,$F$2:K312,ROW(D312)-1,0)),F312)</f>
        <v>Código borrado con éxito.</v>
      </c>
      <c r="F312" s="571" t="s">
        <v>18605</v>
      </c>
      <c r="G312" s="342" t="s">
        <v>18643</v>
      </c>
      <c r="H312" s="342" t="s">
        <v>18622</v>
      </c>
      <c r="I312" s="342" t="s">
        <v>18616</v>
      </c>
      <c r="J312" s="342" t="s">
        <v>18629</v>
      </c>
      <c r="K312" s="342" t="s">
        <v>18636</v>
      </c>
      <c r="L312" s="342" t="str">
        <f t="shared" si="32"/>
        <v>Código borrado con éxito.</v>
      </c>
      <c r="M312" s="226" t="s">
        <v>117</v>
      </c>
    </row>
    <row r="313" spans="1:13" outlineLevel="1" x14ac:dyDescent="0.25">
      <c r="A313" s="412" t="str">
        <f t="shared" si="36"/>
        <v>Z_TX_87_7_</v>
      </c>
      <c r="B313" s="412" t="str">
        <f t="shared" si="30"/>
        <v>TX</v>
      </c>
      <c r="C313" s="412" t="s">
        <v>18607</v>
      </c>
      <c r="D313" s="577"/>
      <c r="E313" s="341" t="str">
        <f>IFERROR(IF(D313&lt;&gt;"",D313,HLOOKUP($E$2,$F$2:K313,ROW(D313)-1,0)),F313)</f>
        <v>El identificador de la tabla no se encuentra registrado.</v>
      </c>
      <c r="F313" s="519" t="s">
        <v>18606</v>
      </c>
      <c r="G313" s="341" t="s">
        <v>18644</v>
      </c>
      <c r="H313" s="341" t="s">
        <v>18623</v>
      </c>
      <c r="I313" s="341" t="s">
        <v>18617</v>
      </c>
      <c r="J313" s="341" t="s">
        <v>18630</v>
      </c>
      <c r="K313" s="341" t="s">
        <v>18637</v>
      </c>
      <c r="L313" s="341" t="str">
        <f t="shared" si="32"/>
        <v>El identificador de la tabla no se encuentra registrado.</v>
      </c>
      <c r="M313" s="226" t="s">
        <v>117</v>
      </c>
    </row>
    <row r="314" spans="1:13" outlineLevel="1" x14ac:dyDescent="0.25">
      <c r="A314" s="413" t="str">
        <f>$A$1&amp;B314&amp;"_"&amp;C314&amp;"_"&amp;$A$2</f>
        <v>Z_TX_87_8_</v>
      </c>
      <c r="B314" s="413" t="str">
        <f t="shared" si="30"/>
        <v>TX</v>
      </c>
      <c r="C314" s="413" t="s">
        <v>18608</v>
      </c>
      <c r="D314" s="592"/>
      <c r="E314" s="342" t="str">
        <f>IFERROR(IF(D314&lt;&gt;"",D314,HLOOKUP($E$2,$F$2:K314,ROW(D314)-1,0)),F314)</f>
        <v>Escribe la URL de las PREGUNTAS que deseas dejar de dar acceso. 
NO SE BORRARÁ EL ARCHIVO.</v>
      </c>
      <c r="F314" s="571" t="s">
        <v>18609</v>
      </c>
      <c r="G314" s="342" t="s">
        <v>18645</v>
      </c>
      <c r="H314" s="342" t="s">
        <v>18624</v>
      </c>
      <c r="I314" s="342" t="s">
        <v>18618</v>
      </c>
      <c r="J314" s="342" t="s">
        <v>18631</v>
      </c>
      <c r="K314" s="342" t="s">
        <v>18638</v>
      </c>
      <c r="L314" s="342" t="str">
        <f t="shared" si="32"/>
        <v>Escribe la URL de las PREGUNTAS que deseas dejar de dar acceso. 
NO SE BORRARÁ EL ARCHIVO.</v>
      </c>
      <c r="M314" s="226" t="s">
        <v>117</v>
      </c>
    </row>
    <row r="315" spans="1:13" outlineLevel="1" x14ac:dyDescent="0.25">
      <c r="A315" s="412" t="str">
        <f t="shared" ref="A315:A322" si="37">$A$1&amp;B315&amp;"_"&amp;C315&amp;"_"&amp;$A$2</f>
        <v>Z_TX_88_1_</v>
      </c>
      <c r="B315" s="412" t="str">
        <f t="shared" si="30"/>
        <v>TX</v>
      </c>
      <c r="C315" s="412" t="s">
        <v>18736</v>
      </c>
      <c r="D315" s="591"/>
      <c r="E315" s="341" t="str">
        <f>IFERROR(IF(D315&lt;&gt;"",D315,HLOOKUP($E$2,$F$2:K315,ROW(D315)-1,0)),F315)</f>
        <v>Escribe el NÚMERO de la opción que quieres realizar: 
1. GUARDAR Fórmulas
2. RECUPERAR Fórmulas FORMULARIO
3. RECUPERAR Fórmulas de VARIABLES
4. BORRAR Fórmulas 
5. EXPORTAR Fórmulas 
6. IMPORTAR Fórmulas 
(cualquier otro valor para SALIR)</v>
      </c>
      <c r="F315" s="519" t="s">
        <v>18811</v>
      </c>
      <c r="G315" s="341" t="s">
        <v>18812</v>
      </c>
      <c r="H315" s="341" t="s">
        <v>18814</v>
      </c>
      <c r="I315" s="341" t="s">
        <v>18815</v>
      </c>
      <c r="J315" s="341" t="s">
        <v>18816</v>
      </c>
      <c r="K315" s="341" t="s">
        <v>18813</v>
      </c>
      <c r="L315" s="341" t="str">
        <f t="shared" si="32"/>
        <v>Escribe el NÚMERO de la opción que quieres realizar: 
1. GUARDAR Fórmulas
2. RECUPERAR Fórmulas FORMULARIO
3. RECUPERAR Fórmulas de VARIABLES
4. BORRAR Fórmulas 
5. EXPORTAR Fórmulas 
6. IMPORTAR Fórmulas 
(cualquier otro valor para SALIR)</v>
      </c>
      <c r="M315" s="226" t="s">
        <v>117</v>
      </c>
    </row>
    <row r="316" spans="1:13" outlineLevel="1" x14ac:dyDescent="0.25">
      <c r="A316" s="413" t="str">
        <f t="shared" si="37"/>
        <v>Z_TX_88_2_</v>
      </c>
      <c r="B316" s="413" t="str">
        <f t="shared" si="30"/>
        <v>TX</v>
      </c>
      <c r="C316" s="413" t="s">
        <v>18737</v>
      </c>
      <c r="D316" s="592"/>
      <c r="E316" s="342" t="str">
        <f>IFERROR(IF(D316&lt;&gt;"",D316,HLOOKUP($E$2,$F$2:K316,ROW(D316)-1,0)),F316)</f>
        <v>Escribe el NOMBRE con el que quieres GUARDAR las fórmulas.
Los nombres que ya están son:</v>
      </c>
      <c r="F316" s="571" t="s">
        <v>18745</v>
      </c>
      <c r="G316" s="342" t="s">
        <v>18746</v>
      </c>
      <c r="H316" s="342" t="s">
        <v>18790</v>
      </c>
      <c r="I316" s="342" t="s">
        <v>18747</v>
      </c>
      <c r="J316" s="342" t="s">
        <v>18748</v>
      </c>
      <c r="K316" s="342" t="s">
        <v>18702</v>
      </c>
      <c r="L316" s="342" t="str">
        <f t="shared" si="32"/>
        <v>Escribe el NOMBRE con el que quieres GUARDAR las fórmulas.
Los nombres que ya están son:</v>
      </c>
      <c r="M316" s="226" t="s">
        <v>117</v>
      </c>
    </row>
    <row r="317" spans="1:13" outlineLevel="1" x14ac:dyDescent="0.25">
      <c r="A317" s="412" t="str">
        <f t="shared" si="37"/>
        <v>Z_TX_88_3_</v>
      </c>
      <c r="B317" s="412" t="str">
        <f t="shared" si="30"/>
        <v>TX</v>
      </c>
      <c r="C317" s="412" t="s">
        <v>18738</v>
      </c>
      <c r="D317" s="591"/>
      <c r="E317" s="341" t="str">
        <f>IFERROR(IF(D317&lt;&gt;"",D317,HLOOKUP($E$2,$F$2:K317,ROW(D317)-1,0)),F317)</f>
        <v>Escribe el NÚMERO de la opción que quieres RECUPERAR. 
(cualquier otro valor para SALIR)
Las opciones posibles son:</v>
      </c>
      <c r="F317" s="519" t="s">
        <v>18744</v>
      </c>
      <c r="G317" s="341" t="s">
        <v>18703</v>
      </c>
      <c r="H317" s="341" t="s">
        <v>18791</v>
      </c>
      <c r="I317" s="341" t="s">
        <v>18704</v>
      </c>
      <c r="J317" s="341" t="s">
        <v>18705</v>
      </c>
      <c r="K317" s="341" t="s">
        <v>18706</v>
      </c>
      <c r="L317" s="341" t="str">
        <f t="shared" si="32"/>
        <v>Escribe el NÚMERO de la opción que quieres RECUPERAR. 
(cualquier otro valor para SALIR)
Las opciones posibles son:</v>
      </c>
      <c r="M317" s="226" t="s">
        <v>117</v>
      </c>
    </row>
    <row r="318" spans="1:13" outlineLevel="1" x14ac:dyDescent="0.25">
      <c r="A318" s="413" t="str">
        <f t="shared" si="37"/>
        <v>Z_TX_88_4_</v>
      </c>
      <c r="B318" s="413" t="str">
        <f t="shared" si="30"/>
        <v>TX</v>
      </c>
      <c r="C318" s="413" t="s">
        <v>18739</v>
      </c>
      <c r="D318" s="592"/>
      <c r="E318" s="342" t="str">
        <f>IFERROR(IF(D318&lt;&gt;"",D318,HLOOKUP($E$2,$F$2:K318,ROW(D318)-1,0)),F318)</f>
        <v>Escribe el NÚMERO de la opción que quieres BORRAR. 
(cualquier otro valor para SALIR)
Las posibles son:</v>
      </c>
      <c r="F318" s="571" t="s">
        <v>18707</v>
      </c>
      <c r="G318" s="342" t="s">
        <v>18708</v>
      </c>
      <c r="H318" s="342" t="s">
        <v>18792</v>
      </c>
      <c r="I318" s="342" t="s">
        <v>18709</v>
      </c>
      <c r="J318" s="342" t="s">
        <v>18710</v>
      </c>
      <c r="K318" s="342" t="s">
        <v>18711</v>
      </c>
      <c r="L318" s="342" t="str">
        <f t="shared" si="32"/>
        <v>Escribe el NÚMERO de la opción que quieres BORRAR. 
(cualquier otro valor para SALIR)
Las posibles son:</v>
      </c>
      <c r="M318" s="226" t="s">
        <v>117</v>
      </c>
    </row>
    <row r="319" spans="1:13" outlineLevel="1" x14ac:dyDescent="0.25">
      <c r="A319" s="412" t="str">
        <f t="shared" si="37"/>
        <v>Z_TX_88_5_</v>
      </c>
      <c r="B319" s="412" t="str">
        <f t="shared" si="30"/>
        <v>TX</v>
      </c>
      <c r="C319" s="412" t="s">
        <v>18740</v>
      </c>
      <c r="D319" s="577"/>
      <c r="E319" s="341" t="str">
        <f>IFERROR(IF(D319&lt;&gt;"",D319,HLOOKUP($E$2,$F$2:K319,ROW(D319)-1,0)),F319)</f>
        <v>Ese nombre ya existe.</v>
      </c>
      <c r="F319" s="519" t="s">
        <v>18712</v>
      </c>
      <c r="G319" s="341" t="s">
        <v>18713</v>
      </c>
      <c r="H319" s="341" t="s">
        <v>18714</v>
      </c>
      <c r="I319" s="341" t="s">
        <v>18715</v>
      </c>
      <c r="J319" s="341" t="s">
        <v>18716</v>
      </c>
      <c r="K319" s="341" t="s">
        <v>18717</v>
      </c>
      <c r="L319" s="341" t="str">
        <f t="shared" si="32"/>
        <v>Ese nombre ya existe.</v>
      </c>
      <c r="M319" s="226" t="s">
        <v>117</v>
      </c>
    </row>
    <row r="320" spans="1:13" outlineLevel="1" x14ac:dyDescent="0.25">
      <c r="A320" s="413" t="str">
        <f t="shared" si="37"/>
        <v>Z_TX_88_6_</v>
      </c>
      <c r="B320" s="413" t="str">
        <f t="shared" si="30"/>
        <v>TX</v>
      </c>
      <c r="C320" s="413" t="s">
        <v>18741</v>
      </c>
      <c r="D320" s="578"/>
      <c r="E320" s="342" t="str">
        <f>IFERROR(IF(D320&lt;&gt;"",D320,HLOOKUP($E$2,$F$2:K320,ROW(D320)-1,0)),F320)</f>
        <v>No hay nada que se pueda guardar.</v>
      </c>
      <c r="F320" s="571" t="s">
        <v>18718</v>
      </c>
      <c r="G320" s="342" t="s">
        <v>18719</v>
      </c>
      <c r="H320" s="342" t="s">
        <v>18720</v>
      </c>
      <c r="I320" s="342" t="s">
        <v>18721</v>
      </c>
      <c r="J320" s="342" t="s">
        <v>18722</v>
      </c>
      <c r="K320" s="342" t="s">
        <v>18723</v>
      </c>
      <c r="L320" s="342" t="str">
        <f t="shared" si="32"/>
        <v>No hay nada que se pueda guardar.</v>
      </c>
      <c r="M320" s="226" t="s">
        <v>117</v>
      </c>
    </row>
    <row r="321" spans="1:13" outlineLevel="1" x14ac:dyDescent="0.25">
      <c r="A321" s="412" t="str">
        <f t="shared" si="37"/>
        <v>Z_TX_88_7_</v>
      </c>
      <c r="B321" s="412" t="str">
        <f t="shared" si="30"/>
        <v>TX</v>
      </c>
      <c r="C321" s="412" t="s">
        <v>18742</v>
      </c>
      <c r="D321" s="577"/>
      <c r="E321" s="341" t="str">
        <f>IFERROR(IF(D321&lt;&gt;"",D321,HLOOKUP($E$2,$F$2:K321,ROW(D321)-1,0)),F321)</f>
        <v>No hay nada guardado que se pueda recuperar.</v>
      </c>
      <c r="F321" s="519" t="s">
        <v>18724</v>
      </c>
      <c r="G321" s="341" t="s">
        <v>18725</v>
      </c>
      <c r="H321" s="341" t="s">
        <v>18726</v>
      </c>
      <c r="I321" s="341" t="s">
        <v>18727</v>
      </c>
      <c r="J321" s="341" t="s">
        <v>18728</v>
      </c>
      <c r="K321" s="341" t="s">
        <v>18729</v>
      </c>
      <c r="L321" s="341" t="str">
        <f t="shared" si="32"/>
        <v>No hay nada guardado que se pueda recuperar.</v>
      </c>
      <c r="M321" s="226" t="s">
        <v>117</v>
      </c>
    </row>
    <row r="322" spans="1:13" outlineLevel="1" x14ac:dyDescent="0.25">
      <c r="A322" s="413" t="str">
        <f t="shared" si="37"/>
        <v>Z_TX_88_8_</v>
      </c>
      <c r="B322" s="413" t="str">
        <f t="shared" si="30"/>
        <v>TX</v>
      </c>
      <c r="C322" s="413" t="s">
        <v>18743</v>
      </c>
      <c r="D322" s="578"/>
      <c r="E322" s="342" t="str">
        <f>IFERROR(IF(D322&lt;&gt;"",D322,HLOOKUP($E$2,$F$2:K322,ROW(D322)-1,0)),F322)</f>
        <v>No hay nada guardado que se pueda borrar.</v>
      </c>
      <c r="F322" s="571" t="s">
        <v>18730</v>
      </c>
      <c r="G322" s="342" t="s">
        <v>18731</v>
      </c>
      <c r="H322" s="342" t="s">
        <v>18732</v>
      </c>
      <c r="I322" s="342" t="s">
        <v>18733</v>
      </c>
      <c r="J322" s="342" t="s">
        <v>18734</v>
      </c>
      <c r="K322" s="342" t="s">
        <v>18735</v>
      </c>
      <c r="L322" s="342" t="str">
        <f t="shared" si="32"/>
        <v>No hay nada guardado que se pueda borrar.</v>
      </c>
      <c r="M322" s="226" t="s">
        <v>117</v>
      </c>
    </row>
    <row r="323" spans="1:13" outlineLevel="1" x14ac:dyDescent="0.25">
      <c r="A323" s="412" t="str">
        <f t="shared" ref="A323:A328" si="38">$A$1&amp;B323&amp;"_"&amp;C323&amp;"_"&amp;$A$2</f>
        <v>Z_TX_88_</v>
      </c>
      <c r="B323" s="412" t="str">
        <f t="shared" si="30"/>
        <v>TX</v>
      </c>
      <c r="C323" s="412">
        <v>88</v>
      </c>
      <c r="D323" s="577"/>
      <c r="E323" s="341" t="str">
        <f>IFERROR(IF(D323&lt;&gt;"",D323,HLOOKUP($E$2,$F$2:K323,ROW(D323)-1,0)),F323)</f>
        <v>ALMACENAR FORMULAS</v>
      </c>
      <c r="F323" s="519" t="s">
        <v>18701</v>
      </c>
      <c r="G323" s="341" t="s">
        <v>18753</v>
      </c>
      <c r="H323" s="341" t="s">
        <v>18752</v>
      </c>
      <c r="I323" s="341" t="s">
        <v>18751</v>
      </c>
      <c r="J323" s="341" t="s">
        <v>18750</v>
      </c>
      <c r="K323" s="341" t="s">
        <v>18749</v>
      </c>
      <c r="L323" s="341" t="str">
        <f t="shared" ref="L323:L328" si="39">E323</f>
        <v>ALMACENAR FORMULAS</v>
      </c>
      <c r="M323" s="226" t="s">
        <v>117</v>
      </c>
    </row>
    <row r="324" spans="1:13" outlineLevel="1" x14ac:dyDescent="0.25">
      <c r="A324" s="413" t="str">
        <f t="shared" si="38"/>
        <v>Z_TX_89_1_</v>
      </c>
      <c r="B324" s="413" t="str">
        <f t="shared" si="30"/>
        <v>TX</v>
      </c>
      <c r="C324" s="413" t="s">
        <v>18756</v>
      </c>
      <c r="D324" s="578"/>
      <c r="E324" s="342" t="str">
        <f>IFERROR(IF(D324&lt;&gt;"",D324,HLOOKUP($E$2,$F$2:K324,ROW(D324)-1,0)),F324)</f>
        <v>Se han guardado:</v>
      </c>
      <c r="F324" s="571" t="s">
        <v>18759</v>
      </c>
      <c r="G324" s="342" t="s">
        <v>18761</v>
      </c>
      <c r="H324" s="342" t="s">
        <v>18793</v>
      </c>
      <c r="I324" s="342" t="s">
        <v>18764</v>
      </c>
      <c r="J324" s="342" t="s">
        <v>18766</v>
      </c>
      <c r="K324" s="342" t="s">
        <v>18768</v>
      </c>
      <c r="L324" s="342" t="str">
        <f t="shared" si="39"/>
        <v>Se han guardado:</v>
      </c>
      <c r="M324" s="226" t="s">
        <v>117</v>
      </c>
    </row>
    <row r="325" spans="1:13" outlineLevel="1" x14ac:dyDescent="0.25">
      <c r="A325" s="412" t="str">
        <f t="shared" si="38"/>
        <v>Z_TX_89_2_</v>
      </c>
      <c r="B325" s="412" t="str">
        <f>B324</f>
        <v>TX</v>
      </c>
      <c r="C325" s="412" t="s">
        <v>18757</v>
      </c>
      <c r="D325" s="577"/>
      <c r="E325" s="341" t="str">
        <f>IFERROR(IF(D325&lt;&gt;"",D325,HLOOKUP($E$2,$F$2:K325,ROW(D325)-1,0)),F325)</f>
        <v>Fórmulas de DATOS VARIABLES</v>
      </c>
      <c r="F325" s="519" t="s">
        <v>18770</v>
      </c>
      <c r="G325" s="341" t="s">
        <v>18771</v>
      </c>
      <c r="H325" s="341" t="s">
        <v>18772</v>
      </c>
      <c r="I325" s="341" t="s">
        <v>18773</v>
      </c>
      <c r="J325" s="341" t="s">
        <v>18774</v>
      </c>
      <c r="K325" s="341" t="s">
        <v>18775</v>
      </c>
      <c r="L325" s="341" t="str">
        <f t="shared" si="39"/>
        <v>Fórmulas de DATOS VARIABLES</v>
      </c>
      <c r="M325" s="226" t="s">
        <v>117</v>
      </c>
    </row>
    <row r="326" spans="1:13" outlineLevel="1" x14ac:dyDescent="0.25">
      <c r="A326" s="413" t="str">
        <f t="shared" si="38"/>
        <v>Z_TX_89_3_</v>
      </c>
      <c r="B326" s="413" t="str">
        <f>B325</f>
        <v>TX</v>
      </c>
      <c r="C326" s="413" t="s">
        <v>18758</v>
      </c>
      <c r="D326" s="578"/>
      <c r="E326" s="342" t="str">
        <f>IFERROR(IF(D326&lt;&gt;"",D326,HLOOKUP($E$2,$F$2:K326,ROW(D326)-1,0)),F326)</f>
        <v xml:space="preserve">Fórmulas del FORMULARIO </v>
      </c>
      <c r="F326" s="571" t="s">
        <v>18760</v>
      </c>
      <c r="G326" s="342" t="s">
        <v>18762</v>
      </c>
      <c r="H326" s="342" t="s">
        <v>18763</v>
      </c>
      <c r="I326" s="342" t="s">
        <v>18765</v>
      </c>
      <c r="J326" s="342" t="s">
        <v>18767</v>
      </c>
      <c r="K326" s="342" t="s">
        <v>18769</v>
      </c>
      <c r="L326" s="342" t="str">
        <f t="shared" si="39"/>
        <v xml:space="preserve">Fórmulas del FORMULARIO </v>
      </c>
      <c r="M326" s="226" t="s">
        <v>117</v>
      </c>
    </row>
    <row r="327" spans="1:13" outlineLevel="1" x14ac:dyDescent="0.25">
      <c r="A327" s="412" t="str">
        <f t="shared" si="38"/>
        <v>Z_TX_90_1_</v>
      </c>
      <c r="B327" s="412" t="str">
        <f>B326</f>
        <v>TX</v>
      </c>
      <c r="C327" s="412" t="s">
        <v>18776</v>
      </c>
      <c r="D327" s="577"/>
      <c r="E327" s="341" t="str">
        <f>IFERROR(IF(D327&lt;&gt;"",D327,HLOOKUP($E$2,$F$2:K327,ROW(D327)-1,0)),F327)</f>
        <v xml:space="preserve">El FORMULARIO actual es: </v>
      </c>
      <c r="F327" s="519" t="s">
        <v>18778</v>
      </c>
      <c r="G327" s="341" t="s">
        <v>18780</v>
      </c>
      <c r="H327" s="341" t="s">
        <v>18794</v>
      </c>
      <c r="I327" s="341" t="s">
        <v>18786</v>
      </c>
      <c r="J327" s="341" t="s">
        <v>18784</v>
      </c>
      <c r="K327" s="341" t="s">
        <v>18782</v>
      </c>
      <c r="L327" s="341" t="str">
        <f t="shared" si="39"/>
        <v xml:space="preserve">El FORMULARIO actual es: </v>
      </c>
      <c r="M327" s="226" t="s">
        <v>117</v>
      </c>
    </row>
    <row r="328" spans="1:13" outlineLevel="1" x14ac:dyDescent="0.25">
      <c r="A328" s="413" t="str">
        <f t="shared" si="38"/>
        <v>Z_TX_90_2_</v>
      </c>
      <c r="B328" s="413" t="str">
        <f>B327</f>
        <v>TX</v>
      </c>
      <c r="C328" s="413" t="s">
        <v>18777</v>
      </c>
      <c r="D328" s="578"/>
      <c r="E328" s="342" t="str">
        <f>IFERROR(IF(D328&lt;&gt;"",D328,HLOOKUP($E$2,$F$2:K328,ROW(D328)-1,0)),F328)</f>
        <v>Selecciona el Tipo del que quieres recuperar las fórmulas de DATOS VARIABLES:</v>
      </c>
      <c r="F328" s="571" t="s">
        <v>18779</v>
      </c>
      <c r="G328" s="342" t="s">
        <v>18781</v>
      </c>
      <c r="H328" s="342" t="s">
        <v>18795</v>
      </c>
      <c r="I328" s="342" t="s">
        <v>18787</v>
      </c>
      <c r="J328" s="342" t="s">
        <v>18785</v>
      </c>
      <c r="K328" s="342" t="s">
        <v>18783</v>
      </c>
      <c r="L328" s="342" t="str">
        <f t="shared" si="39"/>
        <v>Selecciona el Tipo del que quieres recuperar las fórmulas de DATOS VARIABLES:</v>
      </c>
      <c r="M328" s="226" t="s">
        <v>117</v>
      </c>
    </row>
    <row r="329" spans="1:13" x14ac:dyDescent="0.25">
      <c r="D329" s="585"/>
      <c r="E329" s="586"/>
    </row>
  </sheetData>
  <sheetProtection algorithmName="SHA-512" hashValue="x/q6zS1UM6N1h33uYiYX4tU2Jdcvwl5a/J8w8H4Nb/5LGpL/UxhmaNu+SCkADBMLLaZs9RCy18wtWrNSZCQYkg==" saltValue="+oVRuwzy9h2nMzVg0UgoLA==" spinCount="100000" sheet="1" objects="1" scenarios="1" selectLockedCells="1"/>
  <dataValidations disablePrompts="1" count="2">
    <dataValidation allowBlank="1" showInputMessage="1" showErrorMessage="1" errorTitle="Error" error="El número inicial de las preguntas a exportar debe ser mayor que el menot número de preguntas._x000a__x000a_PULSA ESC para continuar." promptTitle="Nº Inicial" prompt="Debes introducir el nº de la primera pregunta que quieres exportar." sqref="F78"/>
    <dataValidation allowBlank="1" errorTitle="Error" error="El número inicial de las preguntas a exportar debe ser mayor que el menot número de preguntas._x000a__x000a_PULSA ESC para continuar." promptTitle="Nº Inicial" prompt="Debes introducir el nº de la primera pregunta que quieres exportar." sqref="F88"/>
  </dataValidations>
  <pageMargins left="0.7" right="0.7" top="0.75" bottom="0.75" header="0.3" footer="0.3"/>
  <pageSetup paperSize="9" orientation="portrait" horizontalDpi="360" verticalDpi="360" r:id="rId1"/>
  <drawing r:id="rId2"/>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Hoja_00">
    <tabColor rgb="FF005877"/>
  </sheetPr>
  <dimension ref="A1:BU47"/>
  <sheetViews>
    <sheetView showGridLines="0" showRowColHeaders="0" showZeros="0" tabSelected="1" zoomScale="139" zoomScaleNormal="139" workbookViewId="0">
      <pane xSplit="38" ySplit="72" topLeftCell="AM73" activePane="bottomRight" state="frozen"/>
      <selection pane="topRight" activeCell="AM1" sqref="AM1"/>
      <selection pane="bottomLeft" activeCell="A74" sqref="A74"/>
      <selection pane="bottomRight" activeCell="A11" sqref="A11:A13"/>
    </sheetView>
  </sheetViews>
  <sheetFormatPr baseColWidth="10" defaultColWidth="0" defaultRowHeight="15" zeroHeight="1" x14ac:dyDescent="0.25"/>
  <cols>
    <col min="1" max="1" width="10.7109375" customWidth="1"/>
    <col min="2" max="2" width="2.7109375" customWidth="1"/>
    <col min="3" max="23" width="5.7109375" customWidth="1"/>
    <col min="24" max="24" width="2.7109375" customWidth="1"/>
    <col min="25" max="25" width="10.7109375" customWidth="1"/>
    <col min="26" max="26" width="2.7109375" customWidth="1"/>
    <col min="27" max="27" width="10.7109375" customWidth="1"/>
    <col min="28" max="28" width="2.7109375" customWidth="1"/>
    <col min="29" max="73" width="0" hidden="1" customWidth="1"/>
    <col min="74" max="16384" width="11.42578125" hidden="1"/>
  </cols>
  <sheetData>
    <row r="1" spans="1:24" ht="2.25" customHeight="1" thickTop="1" x14ac:dyDescent="0.25">
      <c r="A1" s="672" t="s">
        <v>1579</v>
      </c>
      <c r="B1" s="171"/>
      <c r="C1" s="202"/>
      <c r="D1" s="202"/>
      <c r="E1" s="202"/>
      <c r="F1" s="202"/>
      <c r="G1" s="686" t="s">
        <v>116</v>
      </c>
      <c r="H1" s="686"/>
      <c r="I1" s="686"/>
      <c r="J1" s="686"/>
      <c r="K1" s="686"/>
      <c r="L1" s="686"/>
      <c r="M1" s="686"/>
      <c r="N1" s="686"/>
      <c r="O1" s="686"/>
      <c r="P1" s="686"/>
      <c r="Q1" s="686"/>
      <c r="R1" s="686"/>
      <c r="S1" s="686"/>
      <c r="T1" s="172"/>
      <c r="U1" s="172"/>
      <c r="V1" s="172"/>
      <c r="W1" s="172"/>
      <c r="X1" s="173"/>
    </row>
    <row r="2" spans="1:24" ht="24.95" customHeight="1" x14ac:dyDescent="0.25">
      <c r="A2" s="673"/>
      <c r="B2" s="174"/>
      <c r="C2" s="210"/>
      <c r="D2" s="203"/>
      <c r="E2" s="203"/>
      <c r="F2" s="203"/>
      <c r="G2" s="687"/>
      <c r="H2" s="687"/>
      <c r="I2" s="687"/>
      <c r="J2" s="687"/>
      <c r="K2" s="687"/>
      <c r="L2" s="687"/>
      <c r="M2" s="687"/>
      <c r="N2" s="687"/>
      <c r="O2" s="687"/>
      <c r="P2" s="687"/>
      <c r="Q2" s="687"/>
      <c r="R2" s="687"/>
      <c r="S2" s="687"/>
      <c r="T2" s="688" t="str">
        <f ca="1">INDIRECT("Z_IN_01_"&amp;IDIOMA)</f>
        <v>Ir a DATOS GENERALES</v>
      </c>
      <c r="U2" s="688"/>
      <c r="V2" s="688"/>
      <c r="W2" s="688"/>
      <c r="X2" s="211" t="s">
        <v>129</v>
      </c>
    </row>
    <row r="3" spans="1:24" ht="2.25" customHeight="1" thickBot="1" x14ac:dyDescent="0.3">
      <c r="A3" s="673"/>
      <c r="B3" s="175"/>
      <c r="C3" s="203"/>
      <c r="D3" s="203"/>
      <c r="E3" s="203"/>
      <c r="F3" s="203"/>
      <c r="G3" s="687"/>
      <c r="H3" s="687"/>
      <c r="I3" s="687"/>
      <c r="J3" s="687"/>
      <c r="K3" s="687"/>
      <c r="L3" s="687"/>
      <c r="M3" s="687"/>
      <c r="N3" s="687"/>
      <c r="O3" s="687"/>
      <c r="P3" s="687"/>
      <c r="Q3" s="687"/>
      <c r="R3" s="687"/>
      <c r="S3" s="687"/>
      <c r="T3" s="176"/>
      <c r="U3" s="176"/>
      <c r="V3" s="176"/>
      <c r="W3" s="176"/>
      <c r="X3" s="177"/>
    </row>
    <row r="4" spans="1:24" ht="6" customHeight="1" thickTop="1" x14ac:dyDescent="0.25">
      <c r="A4" s="673"/>
      <c r="B4" s="49"/>
      <c r="C4" s="50"/>
      <c r="D4" s="50"/>
      <c r="E4" s="50"/>
      <c r="F4" s="50"/>
      <c r="G4" s="50"/>
      <c r="H4" s="50"/>
      <c r="I4" s="50"/>
      <c r="J4" s="50"/>
      <c r="K4" s="50"/>
      <c r="L4" s="50"/>
      <c r="M4" s="50"/>
      <c r="N4" s="50"/>
      <c r="O4" s="50"/>
      <c r="P4" s="50"/>
      <c r="Q4" s="50"/>
      <c r="R4" s="50"/>
      <c r="S4" s="50"/>
      <c r="T4" s="678" t="str">
        <f ca="1">INDIRECT("Z_ML_17_"&amp;IDIOMA)</f>
        <v>NO USAR CORTAR
[Ctrl + X]</v>
      </c>
      <c r="U4" s="678"/>
      <c r="V4" s="678"/>
      <c r="W4" s="678"/>
      <c r="X4" s="51"/>
    </row>
    <row r="5" spans="1:24" ht="15" customHeight="1" x14ac:dyDescent="0.25">
      <c r="A5" s="673"/>
      <c r="B5" s="49"/>
      <c r="C5" s="692" t="str">
        <f ca="1">INDIRECT("Z_IN_03_"&amp;IDIOMA)</f>
        <v>NO FUNCIONA CON
VERSIONES DE EXCEL 
ANTERIORES A 2007
NI CON LA ÚLTIMA ACTUALIZACIÓN DE MAC</v>
      </c>
      <c r="D5" s="692"/>
      <c r="E5" s="692"/>
      <c r="F5" s="692"/>
      <c r="G5" s="50"/>
      <c r="H5" s="693" t="str">
        <f ca="1">INDIRECT("Z_IN_05_"&amp;IDIOMA)</f>
        <v>Esta Aplicación ha sido desarrollada, en la primera versión, por:</v>
      </c>
      <c r="I5" s="693"/>
      <c r="J5" s="693"/>
      <c r="K5" s="693"/>
      <c r="L5" s="693"/>
      <c r="M5" s="693"/>
      <c r="N5" s="693"/>
      <c r="O5" s="693"/>
      <c r="P5" s="693"/>
      <c r="Q5" s="693"/>
      <c r="R5" s="693"/>
      <c r="S5" s="50"/>
      <c r="T5" s="679"/>
      <c r="U5" s="679"/>
      <c r="V5" s="679"/>
      <c r="W5" s="679"/>
      <c r="X5" s="51"/>
    </row>
    <row r="6" spans="1:24" ht="6" customHeight="1" thickBot="1" x14ac:dyDescent="0.3">
      <c r="A6" s="673"/>
      <c r="B6" s="49"/>
      <c r="C6" s="692"/>
      <c r="D6" s="692"/>
      <c r="E6" s="692"/>
      <c r="F6" s="692"/>
      <c r="G6" s="50"/>
      <c r="H6" s="50"/>
      <c r="I6" s="50"/>
      <c r="J6" s="50"/>
      <c r="K6" s="50"/>
      <c r="L6" s="50"/>
      <c r="M6" s="50"/>
      <c r="N6" s="50"/>
      <c r="O6" s="50"/>
      <c r="P6" s="50"/>
      <c r="Q6" s="50"/>
      <c r="R6" s="50"/>
      <c r="S6" s="50"/>
      <c r="T6" s="680"/>
      <c r="U6" s="680"/>
      <c r="V6" s="680"/>
      <c r="W6" s="680"/>
      <c r="X6" s="51"/>
    </row>
    <row r="7" spans="1:24" ht="15.75" customHeight="1" thickTop="1" thickBot="1" x14ac:dyDescent="0.3">
      <c r="A7" s="673"/>
      <c r="B7" s="49"/>
      <c r="C7" s="692"/>
      <c r="D7" s="692"/>
      <c r="E7" s="692"/>
      <c r="F7" s="692"/>
      <c r="G7" s="697"/>
      <c r="H7" s="697"/>
      <c r="I7" s="697"/>
      <c r="J7" s="694" t="s">
        <v>0</v>
      </c>
      <c r="K7" s="694"/>
      <c r="L7" s="694"/>
      <c r="M7" s="694"/>
      <c r="N7" s="694"/>
      <c r="O7" s="694"/>
      <c r="P7" s="694"/>
      <c r="Q7" s="697"/>
      <c r="R7" s="697"/>
      <c r="S7" s="697"/>
      <c r="T7" s="689" t="str">
        <f ca="1">INDIRECT("Z_IN_09_"&amp;IDIOMA)</f>
        <v>ÍNDICE</v>
      </c>
      <c r="U7" s="689"/>
      <c r="V7" s="689"/>
      <c r="W7" s="689"/>
      <c r="X7" s="51"/>
    </row>
    <row r="8" spans="1:24" ht="6" customHeight="1" thickTop="1" x14ac:dyDescent="0.25">
      <c r="A8" s="673"/>
      <c r="B8" s="49"/>
      <c r="C8" s="692"/>
      <c r="D8" s="692"/>
      <c r="E8" s="692"/>
      <c r="F8" s="692"/>
      <c r="G8" s="697"/>
      <c r="H8" s="697"/>
      <c r="I8" s="697"/>
      <c r="J8" s="50"/>
      <c r="K8" s="50"/>
      <c r="L8" s="50"/>
      <c r="M8" s="50"/>
      <c r="N8" s="50"/>
      <c r="O8" s="50"/>
      <c r="P8" s="50"/>
      <c r="Q8" s="697"/>
      <c r="R8" s="697"/>
      <c r="S8" s="697"/>
      <c r="T8" s="675" t="str">
        <f ca="1">INDIRECT("Z_IN_02_"&amp;IDIOMA)</f>
        <v>CANAL YOUTUBE</v>
      </c>
      <c r="U8" s="675"/>
      <c r="V8" s="675"/>
      <c r="W8" s="675"/>
      <c r="X8" s="51"/>
    </row>
    <row r="9" spans="1:24" ht="15" customHeight="1" thickBot="1" x14ac:dyDescent="0.3">
      <c r="A9" s="674"/>
      <c r="B9" s="49"/>
      <c r="C9" s="692"/>
      <c r="D9" s="692"/>
      <c r="E9" s="692"/>
      <c r="F9" s="692"/>
      <c r="G9" s="697"/>
      <c r="H9" s="697"/>
      <c r="I9" s="697"/>
      <c r="J9" s="50"/>
      <c r="K9" s="693" t="str">
        <f ca="1">INDIRECT("Z_IN_06_"&amp;IDIOMA)</f>
        <v>Universidad de Cádiz</v>
      </c>
      <c r="L9" s="693"/>
      <c r="M9" s="693"/>
      <c r="N9" s="693"/>
      <c r="O9" s="693"/>
      <c r="P9" s="50"/>
      <c r="Q9" s="697"/>
      <c r="R9" s="697"/>
      <c r="S9" s="697"/>
      <c r="T9" s="676"/>
      <c r="U9" s="676"/>
      <c r="V9" s="676"/>
      <c r="W9" s="676"/>
      <c r="X9" s="51"/>
    </row>
    <row r="10" spans="1:24" ht="6" customHeight="1" thickBot="1" x14ac:dyDescent="0.3">
      <c r="B10" s="49"/>
      <c r="C10" s="50"/>
      <c r="D10" s="50"/>
      <c r="E10" s="50"/>
      <c r="F10" s="50"/>
      <c r="G10" s="697"/>
      <c r="H10" s="697"/>
      <c r="I10" s="697"/>
      <c r="J10" s="50"/>
      <c r="K10" s="50"/>
      <c r="L10" s="50"/>
      <c r="M10" s="50"/>
      <c r="N10" s="50"/>
      <c r="O10" s="50"/>
      <c r="P10" s="50"/>
      <c r="Q10" s="697"/>
      <c r="R10" s="697"/>
      <c r="S10" s="697"/>
      <c r="T10" s="677"/>
      <c r="U10" s="677"/>
      <c r="V10" s="677"/>
      <c r="W10" s="677"/>
      <c r="X10" s="51"/>
    </row>
    <row r="11" spans="1:24" ht="15.75" thickTop="1" x14ac:dyDescent="0.25">
      <c r="A11" s="671" t="s">
        <v>121</v>
      </c>
      <c r="B11" s="49"/>
      <c r="C11" s="696" t="str">
        <f ca="1">INDIRECT("Z_IN_04_"&amp;IDIOMA)</f>
        <v>LEER CON ATENCIÓN</v>
      </c>
      <c r="D11" s="696"/>
      <c r="E11" s="696"/>
      <c r="F11" s="696"/>
      <c r="G11" s="697"/>
      <c r="H11" s="697"/>
      <c r="I11" s="697"/>
      <c r="J11" s="50"/>
      <c r="K11" s="695" t="s">
        <v>120</v>
      </c>
      <c r="L11" s="695"/>
      <c r="M11" s="695"/>
      <c r="N11" s="695"/>
      <c r="O11" s="695"/>
      <c r="P11" s="52"/>
      <c r="Q11" s="697"/>
      <c r="R11" s="697"/>
      <c r="S11" s="697"/>
      <c r="T11" s="689" t="str">
        <f>Cambio_Version</f>
        <v>V - 5.0  - 29/11/2021</v>
      </c>
      <c r="U11" s="689"/>
      <c r="V11" s="689"/>
      <c r="W11" s="689"/>
      <c r="X11" s="51"/>
    </row>
    <row r="12" spans="1:24" ht="6" customHeight="1" x14ac:dyDescent="0.25">
      <c r="A12" s="671"/>
      <c r="B12" s="49"/>
      <c r="C12" s="50"/>
      <c r="D12" s="50"/>
      <c r="E12" s="50"/>
      <c r="F12" s="50"/>
      <c r="G12" s="697"/>
      <c r="H12" s="697"/>
      <c r="I12" s="697"/>
      <c r="J12" s="50"/>
      <c r="K12" s="50"/>
      <c r="L12" s="50"/>
      <c r="M12" s="50"/>
      <c r="N12" s="50"/>
      <c r="O12" s="50"/>
      <c r="P12" s="50"/>
      <c r="Q12" s="697"/>
      <c r="R12" s="697"/>
      <c r="S12" s="697"/>
      <c r="T12" s="50"/>
      <c r="U12" s="50"/>
      <c r="V12" s="50"/>
      <c r="W12" s="50"/>
      <c r="X12" s="51"/>
    </row>
    <row r="13" spans="1:24" ht="15" customHeight="1" x14ac:dyDescent="0.25">
      <c r="A13" s="671"/>
      <c r="B13" s="49"/>
      <c r="C13" s="50"/>
      <c r="D13" s="690" t="str">
        <f ca="1">INDIRECT("Z_IN_07_"&amp;IDIOMA)</f>
        <v>1. Esta aplicación se ha desarrollado gracias a un Proyecto de Innovación Docente aprobado por la Unidad de Innovación Docente de la Universidad de Cádiz.
2. El usuario final es aquel docente que quiera usar los CUESTIONARIOS de la plataforma MOODLE. También la puede usar quien quiera tener sus Preguntas almacenados en un mismo sitio y con orden o quiera exportarlas a un documento de TEXTO.
3. La idea principal es facilitar la creación de un BANCO DE PREGUNTAS para los cuestionarios, por lo que el usuario final, deberá repasar que las preguntas se suben bien (al menos las primeras veces) y que ha rellenado los datos de manera adecuada, como si lo estuviera haciendo en Moodle.
   Si pinchas en cada uno de los tipos que se indican a continuación, podrás ver video tutoriales sobre cómo se crean en MOODLE.</v>
      </c>
      <c r="E13" s="690"/>
      <c r="F13" s="690"/>
      <c r="G13" s="690"/>
      <c r="H13" s="690"/>
      <c r="I13" s="690"/>
      <c r="J13" s="690"/>
      <c r="K13" s="690"/>
      <c r="L13" s="690"/>
      <c r="M13" s="690"/>
      <c r="N13" s="690"/>
      <c r="O13" s="690"/>
      <c r="P13" s="690"/>
      <c r="Q13" s="690"/>
      <c r="R13" s="690"/>
      <c r="S13" s="690"/>
      <c r="T13" s="690"/>
      <c r="U13" s="690"/>
      <c r="V13" s="690"/>
      <c r="W13" s="690"/>
      <c r="X13" s="51"/>
    </row>
    <row r="14" spans="1:24" ht="6" customHeight="1" x14ac:dyDescent="0.25">
      <c r="B14" s="49"/>
      <c r="C14" s="50"/>
      <c r="D14" s="690"/>
      <c r="E14" s="690"/>
      <c r="F14" s="690"/>
      <c r="G14" s="690"/>
      <c r="H14" s="690"/>
      <c r="I14" s="690"/>
      <c r="J14" s="690"/>
      <c r="K14" s="690"/>
      <c r="L14" s="690"/>
      <c r="M14" s="690"/>
      <c r="N14" s="690"/>
      <c r="O14" s="690"/>
      <c r="P14" s="690"/>
      <c r="Q14" s="690"/>
      <c r="R14" s="690"/>
      <c r="S14" s="690"/>
      <c r="T14" s="690"/>
      <c r="U14" s="690"/>
      <c r="V14" s="690"/>
      <c r="W14" s="690"/>
      <c r="X14" s="51"/>
    </row>
    <row r="15" spans="1:24" x14ac:dyDescent="0.25">
      <c r="B15" s="49"/>
      <c r="C15" s="50"/>
      <c r="D15" s="690"/>
      <c r="E15" s="690"/>
      <c r="F15" s="690"/>
      <c r="G15" s="690"/>
      <c r="H15" s="690"/>
      <c r="I15" s="690"/>
      <c r="J15" s="690"/>
      <c r="K15" s="690"/>
      <c r="L15" s="690"/>
      <c r="M15" s="690"/>
      <c r="N15" s="690"/>
      <c r="O15" s="690"/>
      <c r="P15" s="690"/>
      <c r="Q15" s="690"/>
      <c r="R15" s="690"/>
      <c r="S15" s="690"/>
      <c r="T15" s="690"/>
      <c r="U15" s="690"/>
      <c r="V15" s="690"/>
      <c r="W15" s="690"/>
      <c r="X15" s="51"/>
    </row>
    <row r="16" spans="1:24" ht="6" customHeight="1" x14ac:dyDescent="0.25">
      <c r="B16" s="49"/>
      <c r="C16" s="50"/>
      <c r="D16" s="690"/>
      <c r="E16" s="690"/>
      <c r="F16" s="690"/>
      <c r="G16" s="690"/>
      <c r="H16" s="690"/>
      <c r="I16" s="690"/>
      <c r="J16" s="690"/>
      <c r="K16" s="690"/>
      <c r="L16" s="690"/>
      <c r="M16" s="690"/>
      <c r="N16" s="690"/>
      <c r="O16" s="690"/>
      <c r="P16" s="690"/>
      <c r="Q16" s="690"/>
      <c r="R16" s="690"/>
      <c r="S16" s="690"/>
      <c r="T16" s="690"/>
      <c r="U16" s="690"/>
      <c r="V16" s="690"/>
      <c r="W16" s="690"/>
      <c r="X16" s="51"/>
    </row>
    <row r="17" spans="1:24" x14ac:dyDescent="0.25">
      <c r="A17" s="670" t="str">
        <f>IFERROR(HLOOKUP(LANGUAGE,DICCIONARIO!F1:K13,13,0),LANGUAGE)</f>
        <v>PERSONALIZAR DICCIONARIO</v>
      </c>
      <c r="B17" s="49"/>
      <c r="C17" s="50"/>
      <c r="D17" s="690"/>
      <c r="E17" s="690"/>
      <c r="F17" s="690"/>
      <c r="G17" s="690"/>
      <c r="H17" s="690"/>
      <c r="I17" s="690"/>
      <c r="J17" s="690"/>
      <c r="K17" s="690"/>
      <c r="L17" s="690"/>
      <c r="M17" s="690"/>
      <c r="N17" s="690"/>
      <c r="O17" s="690"/>
      <c r="P17" s="690"/>
      <c r="Q17" s="690"/>
      <c r="R17" s="690"/>
      <c r="S17" s="690"/>
      <c r="T17" s="690"/>
      <c r="U17" s="690"/>
      <c r="V17" s="690"/>
      <c r="W17" s="690"/>
      <c r="X17" s="51"/>
    </row>
    <row r="18" spans="1:24" ht="6" customHeight="1" x14ac:dyDescent="0.25">
      <c r="A18" s="670"/>
      <c r="B18" s="49"/>
      <c r="C18" s="50"/>
      <c r="D18" s="690"/>
      <c r="E18" s="690"/>
      <c r="F18" s="690"/>
      <c r="G18" s="690"/>
      <c r="H18" s="690"/>
      <c r="I18" s="690"/>
      <c r="J18" s="690"/>
      <c r="K18" s="690"/>
      <c r="L18" s="690"/>
      <c r="M18" s="690"/>
      <c r="N18" s="690"/>
      <c r="O18" s="690"/>
      <c r="P18" s="690"/>
      <c r="Q18" s="690"/>
      <c r="R18" s="690"/>
      <c r="S18" s="690"/>
      <c r="T18" s="690"/>
      <c r="U18" s="690"/>
      <c r="V18" s="690"/>
      <c r="W18" s="690"/>
      <c r="X18" s="51"/>
    </row>
    <row r="19" spans="1:24" x14ac:dyDescent="0.25">
      <c r="A19" s="670"/>
      <c r="B19" s="49"/>
      <c r="C19" s="50"/>
      <c r="D19" s="690"/>
      <c r="E19" s="690"/>
      <c r="F19" s="690"/>
      <c r="G19" s="690"/>
      <c r="H19" s="690"/>
      <c r="I19" s="690"/>
      <c r="J19" s="690"/>
      <c r="K19" s="690"/>
      <c r="L19" s="690"/>
      <c r="M19" s="690"/>
      <c r="N19" s="690"/>
      <c r="O19" s="690"/>
      <c r="P19" s="690"/>
      <c r="Q19" s="690"/>
      <c r="R19" s="690"/>
      <c r="S19" s="690"/>
      <c r="T19" s="690"/>
      <c r="U19" s="690"/>
      <c r="V19" s="690"/>
      <c r="W19" s="690"/>
      <c r="X19" s="51"/>
    </row>
    <row r="20" spans="1:24" ht="6" customHeight="1" x14ac:dyDescent="0.25">
      <c r="B20" s="49"/>
      <c r="C20" s="50"/>
      <c r="D20" s="690"/>
      <c r="E20" s="690"/>
      <c r="F20" s="690"/>
      <c r="G20" s="690"/>
      <c r="H20" s="690"/>
      <c r="I20" s="690"/>
      <c r="J20" s="690"/>
      <c r="K20" s="690"/>
      <c r="L20" s="690"/>
      <c r="M20" s="690"/>
      <c r="N20" s="690"/>
      <c r="O20" s="690"/>
      <c r="P20" s="690"/>
      <c r="Q20" s="690"/>
      <c r="R20" s="690"/>
      <c r="S20" s="690"/>
      <c r="T20" s="690"/>
      <c r="U20" s="690"/>
      <c r="V20" s="690"/>
      <c r="W20" s="690"/>
      <c r="X20" s="51"/>
    </row>
    <row r="21" spans="1:24" x14ac:dyDescent="0.25">
      <c r="B21" s="49"/>
      <c r="C21" s="50"/>
      <c r="D21" s="690"/>
      <c r="E21" s="690"/>
      <c r="F21" s="690"/>
      <c r="G21" s="690"/>
      <c r="H21" s="690"/>
      <c r="I21" s="690"/>
      <c r="J21" s="690"/>
      <c r="K21" s="690"/>
      <c r="L21" s="690"/>
      <c r="M21" s="690"/>
      <c r="N21" s="690"/>
      <c r="O21" s="690"/>
      <c r="P21" s="690"/>
      <c r="Q21" s="690"/>
      <c r="R21" s="690"/>
      <c r="S21" s="690"/>
      <c r="T21" s="690"/>
      <c r="U21" s="690"/>
      <c r="V21" s="690"/>
      <c r="W21" s="690"/>
      <c r="X21" s="51"/>
    </row>
    <row r="22" spans="1:24" ht="6" customHeight="1" x14ac:dyDescent="0.25">
      <c r="B22" s="49"/>
      <c r="C22" s="50"/>
      <c r="D22" s="690"/>
      <c r="E22" s="690"/>
      <c r="F22" s="690"/>
      <c r="G22" s="690"/>
      <c r="H22" s="690"/>
      <c r="I22" s="690"/>
      <c r="J22" s="690"/>
      <c r="K22" s="690"/>
      <c r="L22" s="690"/>
      <c r="M22" s="690"/>
      <c r="N22" s="690"/>
      <c r="O22" s="690"/>
      <c r="P22" s="690"/>
      <c r="Q22" s="690"/>
      <c r="R22" s="690"/>
      <c r="S22" s="690"/>
      <c r="T22" s="690"/>
      <c r="U22" s="690"/>
      <c r="V22" s="690"/>
      <c r="W22" s="690"/>
      <c r="X22" s="51"/>
    </row>
    <row r="23" spans="1:24" x14ac:dyDescent="0.25">
      <c r="B23" s="49"/>
      <c r="C23" s="50"/>
      <c r="D23" s="690"/>
      <c r="E23" s="690"/>
      <c r="F23" s="690"/>
      <c r="G23" s="690"/>
      <c r="H23" s="690"/>
      <c r="I23" s="690"/>
      <c r="J23" s="690"/>
      <c r="K23" s="690"/>
      <c r="L23" s="690"/>
      <c r="M23" s="690"/>
      <c r="N23" s="690"/>
      <c r="O23" s="690"/>
      <c r="P23" s="690"/>
      <c r="Q23" s="690"/>
      <c r="R23" s="690"/>
      <c r="S23" s="690"/>
      <c r="T23" s="690"/>
      <c r="U23" s="690"/>
      <c r="V23" s="690"/>
      <c r="W23" s="690"/>
      <c r="X23" s="51"/>
    </row>
    <row r="24" spans="1:24" ht="6" customHeight="1" x14ac:dyDescent="0.25">
      <c r="B24" s="49"/>
      <c r="C24" s="50"/>
      <c r="D24" s="690"/>
      <c r="E24" s="690"/>
      <c r="F24" s="690"/>
      <c r="G24" s="690"/>
      <c r="H24" s="690"/>
      <c r="I24" s="690"/>
      <c r="J24" s="690"/>
      <c r="K24" s="690"/>
      <c r="L24" s="690"/>
      <c r="M24" s="690"/>
      <c r="N24" s="690"/>
      <c r="O24" s="690"/>
      <c r="P24" s="690"/>
      <c r="Q24" s="690"/>
      <c r="R24" s="690"/>
      <c r="S24" s="690"/>
      <c r="T24" s="690"/>
      <c r="U24" s="690"/>
      <c r="V24" s="690"/>
      <c r="W24" s="690"/>
      <c r="X24" s="51"/>
    </row>
    <row r="25" spans="1:24" ht="15.75" thickBot="1" x14ac:dyDescent="0.3">
      <c r="B25" s="49"/>
      <c r="C25" s="50"/>
      <c r="D25" s="691"/>
      <c r="E25" s="691"/>
      <c r="F25" s="691"/>
      <c r="G25" s="691"/>
      <c r="H25" s="691"/>
      <c r="I25" s="691"/>
      <c r="J25" s="691"/>
      <c r="K25" s="691"/>
      <c r="L25" s="691"/>
      <c r="M25" s="691"/>
      <c r="N25" s="691"/>
      <c r="O25" s="691"/>
      <c r="P25" s="691"/>
      <c r="Q25" s="691"/>
      <c r="R25" s="691"/>
      <c r="S25" s="691"/>
      <c r="T25" s="691"/>
      <c r="U25" s="691"/>
      <c r="V25" s="691"/>
      <c r="W25" s="691"/>
      <c r="X25" s="51"/>
    </row>
    <row r="26" spans="1:24" ht="6" customHeight="1" x14ac:dyDescent="0.25">
      <c r="B26" s="49"/>
      <c r="C26" s="50"/>
      <c r="D26" s="685" t="str">
        <f ca="1">INDIRECT("Z_IN_08_"&amp;IDIOMA)</f>
        <v>Actualmente están Activos los Cuestionarios Tipo: 
- Opción Múltiple (1 y Varias Respuesta)               - Ensayo
- Verdadero Falso                                                    - Palabra Perdida            
- Emparejar                                                               - Respuesta Corta
- Cloze: permite cálculos numéricos e intercalar distintos tipos de cuestiones en una sola pregunta. Muy útil para hacer muchos problemas con distintos datos muy rápidamente.</v>
      </c>
      <c r="E26" s="685"/>
      <c r="F26" s="685"/>
      <c r="G26" s="685"/>
      <c r="H26" s="685"/>
      <c r="I26" s="685"/>
      <c r="J26" s="685"/>
      <c r="K26" s="685"/>
      <c r="L26" s="685"/>
      <c r="M26" s="685"/>
      <c r="N26" s="685"/>
      <c r="O26" s="685"/>
      <c r="P26" s="685"/>
      <c r="Q26" s="685"/>
      <c r="R26" s="53"/>
      <c r="S26" s="53"/>
      <c r="T26" s="53"/>
      <c r="U26" s="53"/>
      <c r="V26" s="53"/>
      <c r="W26" s="53"/>
      <c r="X26" s="51"/>
    </row>
    <row r="27" spans="1:24" ht="15" customHeight="1" x14ac:dyDescent="0.25">
      <c r="B27" s="49"/>
      <c r="C27" s="50"/>
      <c r="D27" s="685"/>
      <c r="E27" s="685"/>
      <c r="F27" s="685"/>
      <c r="G27" s="685"/>
      <c r="H27" s="685"/>
      <c r="I27" s="685"/>
      <c r="J27" s="685"/>
      <c r="K27" s="685"/>
      <c r="L27" s="685"/>
      <c r="M27" s="685"/>
      <c r="N27" s="685"/>
      <c r="O27" s="685"/>
      <c r="P27" s="685"/>
      <c r="Q27" s="685"/>
      <c r="R27" s="53"/>
      <c r="S27" s="698"/>
      <c r="T27" s="698"/>
      <c r="U27" s="698"/>
      <c r="V27" s="698"/>
      <c r="W27" s="698"/>
      <c r="X27" s="51"/>
    </row>
    <row r="28" spans="1:24" ht="6" customHeight="1" x14ac:dyDescent="0.25">
      <c r="B28" s="49"/>
      <c r="C28" s="50"/>
      <c r="D28" s="685"/>
      <c r="E28" s="685"/>
      <c r="F28" s="685"/>
      <c r="G28" s="685"/>
      <c r="H28" s="685"/>
      <c r="I28" s="685"/>
      <c r="J28" s="685"/>
      <c r="K28" s="685"/>
      <c r="L28" s="685"/>
      <c r="M28" s="685"/>
      <c r="N28" s="685"/>
      <c r="O28" s="685"/>
      <c r="P28" s="685"/>
      <c r="Q28" s="685"/>
      <c r="R28" s="53"/>
      <c r="S28" s="698"/>
      <c r="T28" s="698"/>
      <c r="U28" s="698"/>
      <c r="V28" s="698"/>
      <c r="W28" s="698"/>
      <c r="X28" s="51"/>
    </row>
    <row r="29" spans="1:24" ht="15" customHeight="1" x14ac:dyDescent="0.25">
      <c r="B29" s="49"/>
      <c r="C29" s="50"/>
      <c r="D29" s="685"/>
      <c r="E29" s="685"/>
      <c r="F29" s="685"/>
      <c r="G29" s="685"/>
      <c r="H29" s="685"/>
      <c r="I29" s="685"/>
      <c r="J29" s="685"/>
      <c r="K29" s="685"/>
      <c r="L29" s="685"/>
      <c r="M29" s="685"/>
      <c r="N29" s="685"/>
      <c r="O29" s="685"/>
      <c r="P29" s="685"/>
      <c r="Q29" s="685"/>
      <c r="R29" s="179"/>
      <c r="S29" s="698"/>
      <c r="T29" s="698"/>
      <c r="U29" s="698"/>
      <c r="V29" s="698"/>
      <c r="W29" s="698"/>
      <c r="X29" s="180"/>
    </row>
    <row r="30" spans="1:24" ht="6" customHeight="1" x14ac:dyDescent="0.25">
      <c r="B30" s="49"/>
      <c r="C30" s="50"/>
      <c r="D30" s="685"/>
      <c r="E30" s="685"/>
      <c r="F30" s="685"/>
      <c r="G30" s="685"/>
      <c r="H30" s="685"/>
      <c r="I30" s="685"/>
      <c r="J30" s="685"/>
      <c r="K30" s="685"/>
      <c r="L30" s="685"/>
      <c r="M30" s="685"/>
      <c r="N30" s="685"/>
      <c r="O30" s="685"/>
      <c r="P30" s="685"/>
      <c r="Q30" s="685"/>
      <c r="R30" s="179"/>
      <c r="S30" s="681" t="str">
        <f>"   "&amp;MID(T11,1,8)</f>
        <v xml:space="preserve">   V - 5.0 </v>
      </c>
      <c r="T30" s="681"/>
      <c r="U30" s="681"/>
      <c r="V30" s="681"/>
      <c r="W30" s="681"/>
      <c r="X30" s="682"/>
    </row>
    <row r="31" spans="1:24" x14ac:dyDescent="0.25">
      <c r="B31" s="49"/>
      <c r="C31" s="50"/>
      <c r="D31" s="685"/>
      <c r="E31" s="685"/>
      <c r="F31" s="685"/>
      <c r="G31" s="685"/>
      <c r="H31" s="685"/>
      <c r="I31" s="685"/>
      <c r="J31" s="685"/>
      <c r="K31" s="685"/>
      <c r="L31" s="685"/>
      <c r="M31" s="685"/>
      <c r="N31" s="685"/>
      <c r="O31" s="685"/>
      <c r="P31" s="685"/>
      <c r="Q31" s="685"/>
      <c r="R31" s="179"/>
      <c r="S31" s="681"/>
      <c r="T31" s="681"/>
      <c r="U31" s="681"/>
      <c r="V31" s="681"/>
      <c r="W31" s="681"/>
      <c r="X31" s="682"/>
    </row>
    <row r="32" spans="1:24" ht="6" customHeight="1" x14ac:dyDescent="0.25">
      <c r="B32" s="49"/>
      <c r="C32" s="50"/>
      <c r="D32" s="685"/>
      <c r="E32" s="685"/>
      <c r="F32" s="685"/>
      <c r="G32" s="685"/>
      <c r="H32" s="685"/>
      <c r="I32" s="685"/>
      <c r="J32" s="685"/>
      <c r="K32" s="685"/>
      <c r="L32" s="685"/>
      <c r="M32" s="685"/>
      <c r="N32" s="685"/>
      <c r="O32" s="685"/>
      <c r="P32" s="685"/>
      <c r="Q32" s="685"/>
      <c r="R32" s="179"/>
      <c r="S32" s="681"/>
      <c r="T32" s="681"/>
      <c r="U32" s="681"/>
      <c r="V32" s="681"/>
      <c r="W32" s="681"/>
      <c r="X32" s="682"/>
    </row>
    <row r="33" spans="1:73" x14ac:dyDescent="0.25">
      <c r="B33" s="49"/>
      <c r="C33" s="50"/>
      <c r="D33" s="685"/>
      <c r="E33" s="685"/>
      <c r="F33" s="685"/>
      <c r="G33" s="685"/>
      <c r="H33" s="685"/>
      <c r="I33" s="685"/>
      <c r="J33" s="685"/>
      <c r="K33" s="685"/>
      <c r="L33" s="685"/>
      <c r="M33" s="685"/>
      <c r="N33" s="685"/>
      <c r="O33" s="685"/>
      <c r="P33" s="685"/>
      <c r="Q33" s="685"/>
      <c r="R33" s="179"/>
      <c r="S33" s="681"/>
      <c r="T33" s="681"/>
      <c r="U33" s="681"/>
      <c r="V33" s="681"/>
      <c r="W33" s="681"/>
      <c r="X33" s="682"/>
    </row>
    <row r="34" spans="1:73" ht="6" customHeight="1" x14ac:dyDescent="0.25">
      <c r="B34" s="49"/>
      <c r="C34" s="50"/>
      <c r="D34" s="685"/>
      <c r="E34" s="685"/>
      <c r="F34" s="685"/>
      <c r="G34" s="685"/>
      <c r="H34" s="685"/>
      <c r="I34" s="685"/>
      <c r="J34" s="685"/>
      <c r="K34" s="685"/>
      <c r="L34" s="685"/>
      <c r="M34" s="685"/>
      <c r="N34" s="685"/>
      <c r="O34" s="685"/>
      <c r="P34" s="685"/>
      <c r="Q34" s="685"/>
      <c r="R34" s="179"/>
      <c r="S34" s="681"/>
      <c r="T34" s="681"/>
      <c r="U34" s="681"/>
      <c r="V34" s="681"/>
      <c r="W34" s="681"/>
      <c r="X34" s="682"/>
    </row>
    <row r="35" spans="1:73" x14ac:dyDescent="0.25">
      <c r="B35" s="49"/>
      <c r="C35" s="50"/>
      <c r="D35" s="685"/>
      <c r="E35" s="685"/>
      <c r="F35" s="685"/>
      <c r="G35" s="685"/>
      <c r="H35" s="685"/>
      <c r="I35" s="685"/>
      <c r="J35" s="685"/>
      <c r="K35" s="685"/>
      <c r="L35" s="685"/>
      <c r="M35" s="685"/>
      <c r="N35" s="685"/>
      <c r="O35" s="685"/>
      <c r="P35" s="685"/>
      <c r="Q35" s="685"/>
      <c r="R35" s="179"/>
      <c r="S35" s="681"/>
      <c r="T35" s="681"/>
      <c r="U35" s="681"/>
      <c r="V35" s="681"/>
      <c r="W35" s="681"/>
      <c r="X35" s="682"/>
    </row>
    <row r="36" spans="1:73" ht="9.9499999999999993" customHeight="1" thickBot="1" x14ac:dyDescent="0.3">
      <c r="B36" s="209"/>
      <c r="C36" s="54"/>
      <c r="D36" s="54"/>
      <c r="E36" s="54"/>
      <c r="F36" s="54"/>
      <c r="G36" s="54"/>
      <c r="H36" s="54"/>
      <c r="I36" s="54"/>
      <c r="J36" s="54"/>
      <c r="K36" s="54"/>
      <c r="L36" s="54"/>
      <c r="M36" s="54"/>
      <c r="N36" s="54"/>
      <c r="O36" s="54"/>
      <c r="P36" s="54"/>
      <c r="Q36" s="54"/>
      <c r="R36" s="181"/>
      <c r="S36" s="683"/>
      <c r="T36" s="683"/>
      <c r="U36" s="683"/>
      <c r="V36" s="683"/>
      <c r="W36" s="683"/>
      <c r="X36" s="684"/>
    </row>
    <row r="37" spans="1:73" ht="15.75" hidden="1" customHeight="1" thickTop="1" x14ac:dyDescent="0.25">
      <c r="A37" s="205" t="str">
        <f>IFERROR(VLOOKUP(LANGUAGE,Tabla13[],2,0),"")</f>
        <v>S</v>
      </c>
      <c r="B37" s="1" t="s">
        <v>128</v>
      </c>
      <c r="C37" s="1" t="s">
        <v>3</v>
      </c>
      <c r="D37" s="1" t="b">
        <v>1</v>
      </c>
      <c r="F37" s="229">
        <v>6</v>
      </c>
      <c r="G37" s="232">
        <v>123456</v>
      </c>
      <c r="H37" s="232" t="s">
        <v>18810</v>
      </c>
    </row>
    <row r="38" spans="1:73" s="11" customFormat="1" ht="15" hidden="1" customHeight="1" x14ac:dyDescent="0.25">
      <c r="A38" s="213" t="s">
        <v>23</v>
      </c>
      <c r="B38" s="214" t="s">
        <v>161</v>
      </c>
      <c r="BA38"/>
      <c r="BB38"/>
      <c r="BC38"/>
      <c r="BD38"/>
      <c r="BE38"/>
      <c r="BF38"/>
      <c r="BG38"/>
      <c r="BH38"/>
      <c r="BI38"/>
      <c r="BJ38"/>
      <c r="BK38"/>
      <c r="BL38"/>
      <c r="BM38"/>
      <c r="BN38"/>
      <c r="BO38"/>
      <c r="BP38"/>
      <c r="BQ38"/>
      <c r="BR38"/>
      <c r="BS38"/>
      <c r="BT38"/>
      <c r="BU38"/>
    </row>
    <row r="39" spans="1:73" s="11" customFormat="1" ht="15" hidden="1" customHeight="1" x14ac:dyDescent="0.25">
      <c r="A39" s="212" t="s">
        <v>121</v>
      </c>
      <c r="B39" s="212" t="s">
        <v>125</v>
      </c>
      <c r="BA39"/>
      <c r="BB39"/>
      <c r="BC39"/>
      <c r="BD39"/>
      <c r="BE39"/>
      <c r="BF39"/>
      <c r="BG39"/>
      <c r="BH39"/>
      <c r="BI39"/>
      <c r="BJ39"/>
      <c r="BK39"/>
      <c r="BL39"/>
      <c r="BM39"/>
      <c r="BN39"/>
      <c r="BO39"/>
      <c r="BP39"/>
      <c r="BQ39"/>
      <c r="BR39"/>
      <c r="BS39"/>
      <c r="BT39"/>
      <c r="BU39"/>
    </row>
    <row r="40" spans="1:73" s="11" customFormat="1" ht="15" hidden="1" customHeight="1" x14ac:dyDescent="0.25">
      <c r="A40" s="212" t="s">
        <v>461</v>
      </c>
      <c r="B40" s="212" t="s">
        <v>11</v>
      </c>
      <c r="BA40"/>
      <c r="BB40"/>
      <c r="BC40"/>
      <c r="BD40"/>
      <c r="BE40"/>
      <c r="BF40"/>
      <c r="BG40"/>
      <c r="BH40"/>
      <c r="BI40"/>
      <c r="BJ40"/>
      <c r="BK40"/>
      <c r="BL40"/>
      <c r="BM40"/>
      <c r="BN40"/>
      <c r="BO40"/>
      <c r="BP40"/>
      <c r="BQ40"/>
      <c r="BR40"/>
      <c r="BS40"/>
      <c r="BT40"/>
      <c r="BU40"/>
    </row>
    <row r="41" spans="1:73" s="11" customFormat="1" ht="15" hidden="1" customHeight="1" x14ac:dyDescent="0.25">
      <c r="A41" s="212" t="s">
        <v>462</v>
      </c>
      <c r="B41" s="212" t="s">
        <v>123</v>
      </c>
      <c r="BA41"/>
      <c r="BB41"/>
      <c r="BC41"/>
      <c r="BD41"/>
      <c r="BE41"/>
      <c r="BF41"/>
      <c r="BG41"/>
      <c r="BH41"/>
      <c r="BI41"/>
      <c r="BJ41"/>
      <c r="BK41"/>
      <c r="BL41"/>
      <c r="BM41"/>
      <c r="BN41"/>
      <c r="BO41"/>
      <c r="BP41"/>
      <c r="BQ41"/>
      <c r="BR41"/>
      <c r="BS41"/>
      <c r="BT41"/>
      <c r="BU41"/>
    </row>
    <row r="42" spans="1:73" s="11" customFormat="1" ht="15" hidden="1" customHeight="1" x14ac:dyDescent="0.25">
      <c r="A42" s="212" t="s">
        <v>464</v>
      </c>
      <c r="B42" s="212" t="s">
        <v>124</v>
      </c>
      <c r="BA42"/>
      <c r="BB42"/>
      <c r="BC42"/>
      <c r="BD42"/>
      <c r="BE42"/>
      <c r="BF42"/>
      <c r="BG42"/>
      <c r="BH42"/>
      <c r="BI42"/>
      <c r="BJ42"/>
      <c r="BK42"/>
      <c r="BL42"/>
      <c r="BM42"/>
      <c r="BN42"/>
      <c r="BO42"/>
      <c r="BP42"/>
      <c r="BQ42"/>
      <c r="BR42"/>
      <c r="BS42"/>
      <c r="BT42"/>
      <c r="BU42"/>
    </row>
    <row r="43" spans="1:73" s="11" customFormat="1" ht="15" hidden="1" customHeight="1" x14ac:dyDescent="0.25">
      <c r="A43" s="212" t="s">
        <v>463</v>
      </c>
      <c r="B43" s="212" t="s">
        <v>122</v>
      </c>
      <c r="BA43"/>
      <c r="BB43"/>
      <c r="BC43"/>
      <c r="BD43"/>
      <c r="BE43"/>
      <c r="BF43"/>
      <c r="BG43"/>
      <c r="BH43"/>
      <c r="BI43"/>
      <c r="BJ43"/>
      <c r="BK43"/>
      <c r="BL43"/>
      <c r="BM43"/>
      <c r="BN43"/>
      <c r="BO43"/>
      <c r="BP43"/>
      <c r="BQ43"/>
      <c r="BR43"/>
      <c r="BS43"/>
      <c r="BT43"/>
      <c r="BU43"/>
    </row>
    <row r="44" spans="1:73" s="11" customFormat="1" ht="15" hidden="1" customHeight="1" x14ac:dyDescent="0.25">
      <c r="A44" s="212" t="s">
        <v>882</v>
      </c>
      <c r="B44" s="212" t="s">
        <v>881</v>
      </c>
      <c r="BA44"/>
      <c r="BB44"/>
      <c r="BC44"/>
      <c r="BD44"/>
      <c r="BE44"/>
      <c r="BF44"/>
      <c r="BG44"/>
      <c r="BH44"/>
      <c r="BI44"/>
      <c r="BJ44"/>
      <c r="BK44"/>
      <c r="BL44"/>
      <c r="BM44"/>
      <c r="BN44"/>
      <c r="BO44"/>
      <c r="BP44"/>
      <c r="BQ44"/>
      <c r="BR44"/>
      <c r="BS44"/>
      <c r="BT44"/>
      <c r="BU44"/>
    </row>
    <row r="45" spans="1:73" s="11" customFormat="1" hidden="1" x14ac:dyDescent="0.25">
      <c r="A45" s="408" t="str">
        <f>A17</f>
        <v>PERSONALIZAR DICCIONARIO</v>
      </c>
      <c r="B45" s="212" t="s">
        <v>1818</v>
      </c>
      <c r="BA45"/>
      <c r="BB45"/>
      <c r="BC45"/>
      <c r="BD45"/>
      <c r="BE45"/>
      <c r="BF45"/>
      <c r="BG45"/>
      <c r="BH45"/>
      <c r="BI45"/>
      <c r="BJ45"/>
      <c r="BK45"/>
      <c r="BL45"/>
      <c r="BM45"/>
      <c r="BN45"/>
      <c r="BO45"/>
      <c r="BP45"/>
      <c r="BQ45"/>
      <c r="BR45"/>
      <c r="BS45"/>
      <c r="BT45"/>
      <c r="BU45"/>
    </row>
    <row r="46" spans="1:73" ht="5.0999999999999996" customHeight="1" thickTop="1" x14ac:dyDescent="0.25"/>
    <row r="47" spans="1:73" ht="15" customHeight="1" x14ac:dyDescent="0.25"/>
  </sheetData>
  <sheetProtection algorithmName="SHA-512" hashValue="EPv30iPCcEPdRizUog+Kj6RNBDjozMNKAUe9XnCWIgSkmE4ucmwBLiNIoqxAoaVHBR6xxpFrzInW/lG85yA63w==" saltValue="+feK038JitcZVbOLuGgtwg==" spinCount="100000" sheet="1" objects="1" scenarios="1" selectLockedCells="1"/>
  <dataConsolidate/>
  <mergeCells count="21">
    <mergeCell ref="S30:X36"/>
    <mergeCell ref="D26:Q35"/>
    <mergeCell ref="G1:S3"/>
    <mergeCell ref="T2:W2"/>
    <mergeCell ref="T11:W11"/>
    <mergeCell ref="D13:W25"/>
    <mergeCell ref="C5:F9"/>
    <mergeCell ref="H5:R5"/>
    <mergeCell ref="J7:P7"/>
    <mergeCell ref="K9:O9"/>
    <mergeCell ref="K11:O11"/>
    <mergeCell ref="C11:F11"/>
    <mergeCell ref="T7:W7"/>
    <mergeCell ref="G7:I12"/>
    <mergeCell ref="Q7:S12"/>
    <mergeCell ref="S27:W29"/>
    <mergeCell ref="A17:A19"/>
    <mergeCell ref="A11:A13"/>
    <mergeCell ref="A1:A9"/>
    <mergeCell ref="T8:W10"/>
    <mergeCell ref="T4:W6"/>
  </mergeCells>
  <dataValidations count="1">
    <dataValidation type="list" allowBlank="1" showInputMessage="1" showErrorMessage="1" sqref="A11 A39">
      <formula1>$A$39:$A$45</formula1>
    </dataValidation>
  </dataValidations>
  <hyperlinks>
    <hyperlink ref="K11" r:id="rId1"/>
  </hyperlinks>
  <pageMargins left="0.7" right="0.7" top="0.75" bottom="0.75" header="0.3" footer="0.3"/>
  <pageSetup paperSize="9" orientation="portrait" r:id="rId2"/>
  <drawing r:id="rId3"/>
  <tableParts count="1">
    <tablePart r:id="rId4"/>
  </tableParts>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Hoja_01">
    <tabColor rgb="FFE87B00"/>
  </sheetPr>
  <dimension ref="A1:AH127"/>
  <sheetViews>
    <sheetView showGridLines="0" showRowColHeaders="0" zoomScale="138" zoomScaleNormal="138" workbookViewId="0">
      <pane xSplit="40" ySplit="74" topLeftCell="AO75" activePane="bottomRight" state="frozen"/>
      <selection activeCell="A35" sqref="A35"/>
      <selection pane="topRight" activeCell="A35" sqref="A35"/>
      <selection pane="bottomLeft" activeCell="A35" sqref="A35"/>
      <selection pane="bottomRight" activeCell="K7" sqref="K7:O7"/>
    </sheetView>
  </sheetViews>
  <sheetFormatPr baseColWidth="10" defaultColWidth="0" defaultRowHeight="15" zeroHeight="1" x14ac:dyDescent="0.25"/>
  <cols>
    <col min="1" max="1" width="10.7109375" customWidth="1"/>
    <col min="2" max="2" width="2.7109375" customWidth="1"/>
    <col min="3" max="23" width="5.7109375" customWidth="1"/>
    <col min="24" max="24" width="2.7109375" customWidth="1"/>
    <col min="25" max="25" width="10.7109375" customWidth="1"/>
    <col min="26" max="26" width="2.7109375" style="290" customWidth="1"/>
    <col min="27" max="27" width="10.7109375" customWidth="1"/>
    <col min="28" max="28" width="2.7109375" customWidth="1"/>
    <col min="29" max="32" width="5.7109375" hidden="1" customWidth="1"/>
    <col min="33" max="41" width="11.42578125" hidden="1" customWidth="1"/>
    <col min="42" max="16384" width="11.42578125" hidden="1"/>
  </cols>
  <sheetData>
    <row r="1" spans="1:34" ht="2.25" customHeight="1" thickTop="1" thickBot="1" x14ac:dyDescent="0.3">
      <c r="A1" s="737" t="str">
        <f ca="1">INDIRECT("Z_ML_01_"&amp;IDIOMA)</f>
        <v>CÓDIGOS 
ESPECIALES</v>
      </c>
      <c r="B1" s="730" t="str">
        <f ca="1">APP&amp;" - "&amp;INDIRECT("Z_DG_00_"&amp;IDIOMA)</f>
        <v>FastTest PlugIn - DATOS GENERALES</v>
      </c>
      <c r="C1" s="731"/>
      <c r="D1" s="731"/>
      <c r="E1" s="731"/>
      <c r="F1" s="731"/>
      <c r="G1" s="731"/>
      <c r="H1" s="731"/>
      <c r="I1" s="731"/>
      <c r="J1" s="731"/>
      <c r="K1" s="731"/>
      <c r="L1" s="731"/>
      <c r="M1" s="731"/>
      <c r="N1" s="731"/>
      <c r="O1" s="731"/>
      <c r="P1" s="661"/>
      <c r="Q1" s="661"/>
      <c r="R1" s="661"/>
      <c r="S1" s="661"/>
      <c r="T1" s="661"/>
      <c r="U1" s="172"/>
      <c r="V1" s="172"/>
      <c r="W1" s="172"/>
      <c r="X1" s="173"/>
      <c r="Y1" s="713" t="str">
        <f ca="1">INDIRECT("Z_ML_17_"&amp;IDIOMA)</f>
        <v>NO USAR CORTAR
[Ctrl + X]</v>
      </c>
      <c r="Z1" s="289"/>
      <c r="AB1" s="4">
        <f>COUNTA(K7,S7,K9,S9,K13,K15,K17,K19,K21,D33)</f>
        <v>1</v>
      </c>
      <c r="AC1" s="590" t="str">
        <f>IFERROR(HLOOKUP(AC4,$AB$4:AB4,1,0),"OK")</f>
        <v>OK</v>
      </c>
      <c r="AD1" s="590"/>
      <c r="AE1" s="590"/>
      <c r="AF1" s="590"/>
      <c r="AG1" s="590"/>
      <c r="AH1" s="590"/>
    </row>
    <row r="2" spans="1:34" ht="24.95" customHeight="1" thickTop="1" thickBot="1" x14ac:dyDescent="0.3">
      <c r="A2" s="738"/>
      <c r="B2" s="732"/>
      <c r="C2" s="733"/>
      <c r="D2" s="733"/>
      <c r="E2" s="733"/>
      <c r="F2" s="733"/>
      <c r="G2" s="733"/>
      <c r="H2" s="733"/>
      <c r="I2" s="733"/>
      <c r="J2" s="733"/>
      <c r="K2" s="733"/>
      <c r="L2" s="733"/>
      <c r="M2" s="733"/>
      <c r="N2" s="733"/>
      <c r="O2" s="733"/>
      <c r="P2" s="734" t="str">
        <f ca="1">INDIRECT("Z_TX_88_"&amp;IDIOMA)&amp;" ("&amp;AC4-COLUMN(AC2)&amp;")"</f>
        <v>ALMACENAR FORMULAS (0)</v>
      </c>
      <c r="Q2" s="735"/>
      <c r="R2" s="735"/>
      <c r="S2" s="736"/>
      <c r="T2" s="662"/>
      <c r="U2" s="720" t="str">
        <f ca="1">INDIRECT("Z_ML_18_"&amp;IDIOMA)</f>
        <v>Ir a INICIO</v>
      </c>
      <c r="V2" s="720"/>
      <c r="W2" s="720"/>
      <c r="X2" s="258" t="s">
        <v>129</v>
      </c>
      <c r="Y2" s="714"/>
      <c r="Z2" s="668" t="s">
        <v>1310</v>
      </c>
      <c r="AA2" s="313" t="s">
        <v>1303</v>
      </c>
      <c r="AB2" s="581">
        <f>COUNTA(Y5:Y35)+COUNTA(AA5:AA35)</f>
        <v>28</v>
      </c>
      <c r="AC2" s="590">
        <f>COUNTA(AC5:AC36)</f>
        <v>0</v>
      </c>
      <c r="AD2" s="590"/>
      <c r="AE2" s="590"/>
      <c r="AF2" s="590"/>
      <c r="AG2" s="590"/>
      <c r="AH2" s="590"/>
    </row>
    <row r="3" spans="1:34" ht="2.25" customHeight="1" thickTop="1" thickBot="1" x14ac:dyDescent="0.3">
      <c r="A3" s="739"/>
      <c r="B3" s="732"/>
      <c r="C3" s="733"/>
      <c r="D3" s="733"/>
      <c r="E3" s="733"/>
      <c r="F3" s="733"/>
      <c r="G3" s="733"/>
      <c r="H3" s="733"/>
      <c r="I3" s="733"/>
      <c r="J3" s="733"/>
      <c r="K3" s="733"/>
      <c r="L3" s="733"/>
      <c r="M3" s="733"/>
      <c r="N3" s="733"/>
      <c r="O3" s="733"/>
      <c r="P3" s="662"/>
      <c r="Q3" s="662"/>
      <c r="R3" s="662"/>
      <c r="S3" s="662"/>
      <c r="T3" s="662"/>
      <c r="U3" s="176"/>
      <c r="V3" s="176"/>
      <c r="W3" s="176"/>
      <c r="X3" s="177"/>
      <c r="Y3" s="715"/>
      <c r="Z3" s="292"/>
      <c r="AA3" s="201"/>
      <c r="AB3" s="583" t="s">
        <v>18754</v>
      </c>
      <c r="AC3" s="590">
        <f>COUNTA(AC39:AC79)</f>
        <v>0</v>
      </c>
      <c r="AD3" s="590"/>
      <c r="AE3" s="590"/>
      <c r="AF3" s="590"/>
      <c r="AG3" s="590"/>
      <c r="AH3" s="590"/>
    </row>
    <row r="4" spans="1:34" ht="6" customHeight="1" thickBot="1" x14ac:dyDescent="0.3">
      <c r="A4" s="192"/>
      <c r="B4" s="182"/>
      <c r="C4" s="183"/>
      <c r="D4" s="183"/>
      <c r="E4" s="183"/>
      <c r="F4" s="183"/>
      <c r="G4" s="183"/>
      <c r="H4" s="183"/>
      <c r="I4" s="183"/>
      <c r="J4" s="183"/>
      <c r="K4" s="664" t="s">
        <v>12</v>
      </c>
      <c r="L4" s="665"/>
      <c r="M4" s="184"/>
      <c r="N4" s="184"/>
      <c r="O4" s="184"/>
      <c r="P4" s="184"/>
      <c r="Q4" s="184"/>
      <c r="R4" s="184"/>
      <c r="S4" s="184"/>
      <c r="T4" s="184"/>
      <c r="U4" s="184"/>
      <c r="V4" s="184"/>
      <c r="W4" s="184"/>
      <c r="X4" s="185"/>
      <c r="Z4" s="291"/>
      <c r="AA4" s="588"/>
      <c r="AB4" s="583" t="s">
        <v>18755</v>
      </c>
      <c r="AC4" s="590">
        <f>COLUMN()+COUNTA(AD4:XFD4)</f>
        <v>29</v>
      </c>
    </row>
    <row r="5" spans="1:34" ht="15" customHeight="1" x14ac:dyDescent="0.25">
      <c r="A5" s="194" t="str">
        <f ca="1">INDIRECT("Z_ML_02_"&amp;IDIOMA)</f>
        <v>FÓRMULA</v>
      </c>
      <c r="B5" s="55"/>
      <c r="C5" s="747" t="s">
        <v>138</v>
      </c>
      <c r="D5" s="747"/>
      <c r="E5" s="700" t="str">
        <f ca="1">INDIRECT("Z_DG_01_"&amp;IDIOMA)</f>
        <v>Tipo Pregunta</v>
      </c>
      <c r="F5" s="700"/>
      <c r="G5" s="700"/>
      <c r="H5" s="700"/>
      <c r="I5" s="700"/>
      <c r="J5" s="700"/>
      <c r="K5" s="744">
        <f>Tipo_Cuestionario_Num</f>
        <v>1</v>
      </c>
      <c r="L5" s="744"/>
      <c r="M5" s="744"/>
      <c r="N5" s="744"/>
      <c r="O5" s="744"/>
      <c r="P5" s="912">
        <f>AC4+'Formulario OM'!AC4+'Formulario O2'!AC4+'Formulario VF'!AC4+'Formulario EM'!AC4+'Formulario PP'!AC4+'Formulario EN'!AC4+'Formulario RC'!AC4+'Formulario CL'!AC4-29*9</f>
        <v>0</v>
      </c>
      <c r="Q5" s="913"/>
      <c r="R5" s="746" t="str">
        <f ca="1">INDIRECT("Z_DG_15_"&amp;IDIOMA)&amp;": "&amp;P_Min&amp;IF(P_Max=0,""," - "&amp;P_Max)</f>
        <v>Rango de preguntas almacenadas: 0</v>
      </c>
      <c r="S5" s="746"/>
      <c r="T5" s="746"/>
      <c r="U5" s="746"/>
      <c r="V5" s="746"/>
      <c r="W5" s="746"/>
      <c r="X5" s="51"/>
      <c r="Y5" s="666" t="s">
        <v>1586</v>
      </c>
      <c r="Z5" s="669">
        <v>1</v>
      </c>
      <c r="AA5" s="666" t="s">
        <v>1598</v>
      </c>
      <c r="AB5" s="669">
        <f>Z23+1</f>
        <v>11</v>
      </c>
      <c r="AC5" s="4"/>
    </row>
    <row r="6" spans="1:34" ht="6" customHeight="1" thickBot="1" x14ac:dyDescent="0.3">
      <c r="A6" s="19"/>
      <c r="B6" s="55"/>
      <c r="C6" s="747"/>
      <c r="D6" s="747"/>
      <c r="E6" s="57"/>
      <c r="F6" s="57"/>
      <c r="G6" s="57"/>
      <c r="H6" s="57"/>
      <c r="I6" s="57"/>
      <c r="J6" s="216"/>
      <c r="K6" s="186">
        <v>1</v>
      </c>
      <c r="L6" s="53"/>
      <c r="M6" s="53"/>
      <c r="N6" s="53"/>
      <c r="O6" s="53"/>
      <c r="P6" s="53"/>
      <c r="Q6" s="53"/>
      <c r="R6" s="53"/>
      <c r="S6" s="53"/>
      <c r="T6" s="53"/>
      <c r="U6" s="53"/>
      <c r="V6" s="53"/>
      <c r="W6" s="53"/>
      <c r="X6" s="51"/>
      <c r="Y6" s="296"/>
      <c r="Z6" s="297"/>
      <c r="AA6" s="296"/>
      <c r="AB6" s="297"/>
      <c r="AC6" s="4"/>
    </row>
    <row r="7" spans="1:34" ht="15" customHeight="1" thickTop="1" thickBot="1" x14ac:dyDescent="0.3">
      <c r="A7" s="194" t="str">
        <f ca="1">INDIRECT("Z_ML_03_"&amp;IDIOMA)</f>
        <v>SUPERÍNDICE</v>
      </c>
      <c r="B7" s="55"/>
      <c r="C7" s="747"/>
      <c r="D7" s="747"/>
      <c r="E7" s="700" t="str">
        <f ca="1">INDIRECT("Z_DG_02_"&amp;IDIOMA)</f>
        <v>Título  CATEGORÍA</v>
      </c>
      <c r="F7" s="700"/>
      <c r="G7" s="700"/>
      <c r="H7" s="700"/>
      <c r="I7" s="700"/>
      <c r="J7" s="700"/>
      <c r="K7" s="745"/>
      <c r="L7" s="745"/>
      <c r="M7" s="745"/>
      <c r="N7" s="745"/>
      <c r="O7" s="745"/>
      <c r="P7" s="700" t="str">
        <f ca="1">INDIRECT("Z_DG_16_"&amp;IDIOMA)</f>
        <v>Descripción</v>
      </c>
      <c r="Q7" s="700"/>
      <c r="R7" s="701"/>
      <c r="S7" s="741"/>
      <c r="T7" s="742"/>
      <c r="U7" s="742"/>
      <c r="V7" s="742"/>
      <c r="W7" s="743"/>
      <c r="X7" s="51"/>
      <c r="Y7" s="666" t="s">
        <v>1587</v>
      </c>
      <c r="Z7" s="669">
        <f>Z5+1</f>
        <v>2</v>
      </c>
      <c r="AA7" s="666" t="s">
        <v>1599</v>
      </c>
      <c r="AB7" s="669">
        <f>AB5+1</f>
        <v>12</v>
      </c>
      <c r="AC7" s="296"/>
    </row>
    <row r="8" spans="1:34" ht="6" customHeight="1" thickTop="1" thickBot="1" x14ac:dyDescent="0.3">
      <c r="A8" s="20"/>
      <c r="B8" s="55"/>
      <c r="C8" s="747"/>
      <c r="D8" s="747"/>
      <c r="E8" s="57"/>
      <c r="F8" s="57"/>
      <c r="G8" s="57"/>
      <c r="H8" s="57"/>
      <c r="I8" s="57"/>
      <c r="J8" s="216"/>
      <c r="K8" s="53"/>
      <c r="L8" s="53"/>
      <c r="M8" s="53"/>
      <c r="N8" s="53"/>
      <c r="O8" s="53"/>
      <c r="P8" s="53"/>
      <c r="Q8" s="53"/>
      <c r="R8" s="58"/>
      <c r="S8" s="53"/>
      <c r="T8" s="53"/>
      <c r="U8" s="53"/>
      <c r="V8" s="53"/>
      <c r="W8" s="53"/>
      <c r="X8" s="51"/>
      <c r="Y8" s="296"/>
      <c r="Z8" s="297"/>
      <c r="AA8" s="296"/>
      <c r="AB8" s="297"/>
      <c r="AC8" s="296"/>
    </row>
    <row r="9" spans="1:34" ht="15" customHeight="1" thickTop="1" thickBot="1" x14ac:dyDescent="0.3">
      <c r="A9" s="194" t="str">
        <f ca="1">INDIRECT("Z_ML_04_"&amp;IDIOMA)</f>
        <v>SUBÍNDICE</v>
      </c>
      <c r="B9" s="55"/>
      <c r="C9" s="337" t="str">
        <f>Version</f>
        <v xml:space="preserve">   V - 5.0 </v>
      </c>
      <c r="D9" s="57"/>
      <c r="E9" s="700" t="str">
        <f ca="1">INDIRECT("Z_DG_03_"&amp;IDIOMA)</f>
        <v>Título SUBCATEGORÍA</v>
      </c>
      <c r="F9" s="700"/>
      <c r="G9" s="700"/>
      <c r="H9" s="700"/>
      <c r="I9" s="700"/>
      <c r="J9" s="700"/>
      <c r="K9" s="745"/>
      <c r="L9" s="745"/>
      <c r="M9" s="745"/>
      <c r="N9" s="745"/>
      <c r="O9" s="745"/>
      <c r="P9" s="700" t="str">
        <f ca="1">INDIRECT("Z_DG_16_"&amp;IDIOMA)</f>
        <v>Descripción</v>
      </c>
      <c r="Q9" s="700"/>
      <c r="R9" s="701"/>
      <c r="S9" s="741"/>
      <c r="T9" s="742"/>
      <c r="U9" s="742"/>
      <c r="V9" s="742"/>
      <c r="W9" s="743"/>
      <c r="X9" s="51"/>
      <c r="Y9" s="666" t="s">
        <v>1588</v>
      </c>
      <c r="Z9" s="669">
        <f>Z7+1</f>
        <v>3</v>
      </c>
      <c r="AA9" s="666" t="s">
        <v>1600</v>
      </c>
      <c r="AB9" s="669">
        <f>AB7+1</f>
        <v>13</v>
      </c>
      <c r="AC9" s="296"/>
    </row>
    <row r="10" spans="1:34" ht="6" customHeight="1" thickTop="1" x14ac:dyDescent="0.25">
      <c r="A10" s="19"/>
      <c r="B10" s="55"/>
      <c r="C10" s="57"/>
      <c r="D10" s="57"/>
      <c r="E10" s="57"/>
      <c r="F10" s="57"/>
      <c r="G10" s="57"/>
      <c r="H10" s="57"/>
      <c r="I10" s="57"/>
      <c r="J10" s="216"/>
      <c r="K10" s="53"/>
      <c r="L10" s="53"/>
      <c r="M10" s="53"/>
      <c r="N10" s="53"/>
      <c r="O10" s="53"/>
      <c r="P10" s="53"/>
      <c r="Q10" s="53"/>
      <c r="R10" s="58"/>
      <c r="S10" s="53"/>
      <c r="T10" s="53"/>
      <c r="U10" s="53"/>
      <c r="V10" s="53"/>
      <c r="W10" s="53"/>
      <c r="X10" s="51"/>
      <c r="Y10" s="296"/>
      <c r="Z10" s="297"/>
      <c r="AA10" s="296"/>
      <c r="AB10" s="297"/>
      <c r="AC10" s="296"/>
    </row>
    <row r="11" spans="1:34" ht="15" customHeight="1" x14ac:dyDescent="0.25">
      <c r="A11" s="194" t="str">
        <f ca="1">INDIRECT("Z_ML_05_"&amp;IDIOMA)</f>
        <v>SALTO LÍNEA</v>
      </c>
      <c r="B11" s="55"/>
      <c r="C11" s="748" t="s">
        <v>1578</v>
      </c>
      <c r="D11" s="748"/>
      <c r="E11" s="700" t="str">
        <f ca="1">INDIRECT("Z_DG_18_"&amp;IDIOMA)</f>
        <v>Penalización intento, en caso de permitir más de uno.</v>
      </c>
      <c r="F11" s="700"/>
      <c r="G11" s="700"/>
      <c r="H11" s="700"/>
      <c r="I11" s="700"/>
      <c r="J11" s="700"/>
      <c r="K11" s="700"/>
      <c r="L11" s="700"/>
      <c r="M11" s="700"/>
      <c r="N11" s="700"/>
      <c r="O11" s="259">
        <v>0.33333333333333331</v>
      </c>
      <c r="P11" s="700" t="str">
        <f ca="1">INDIRECT("Z_DG_17_"&amp;IDIOMA)</f>
        <v>Puntos</v>
      </c>
      <c r="Q11" s="700"/>
      <c r="R11" s="700"/>
      <c r="S11" s="663">
        <v>1</v>
      </c>
      <c r="T11" s="700" t="str">
        <f ca="1">INDIRECT("Z_DG_19_"&amp;IDIOMA)</f>
        <v>Oculto</v>
      </c>
      <c r="U11" s="700"/>
      <c r="V11" s="700"/>
      <c r="W11" s="663">
        <v>0</v>
      </c>
      <c r="X11" s="51"/>
      <c r="Y11" s="666" t="s">
        <v>1589</v>
      </c>
      <c r="Z11" s="669">
        <f>Z9+1</f>
        <v>4</v>
      </c>
      <c r="AA11" s="666" t="s">
        <v>1601</v>
      </c>
      <c r="AB11" s="669">
        <f>AB9+1</f>
        <v>14</v>
      </c>
      <c r="AC11" s="296"/>
    </row>
    <row r="12" spans="1:34" ht="6" customHeight="1" thickBot="1" x14ac:dyDescent="0.3">
      <c r="A12" s="2"/>
      <c r="B12" s="55"/>
      <c r="C12" s="748"/>
      <c r="D12" s="748"/>
      <c r="E12" s="57"/>
      <c r="F12" s="57"/>
      <c r="G12" s="57"/>
      <c r="H12" s="57"/>
      <c r="I12" s="57"/>
      <c r="J12" s="216"/>
      <c r="K12" s="53"/>
      <c r="L12" s="53"/>
      <c r="M12" s="53"/>
      <c r="N12" s="53"/>
      <c r="O12" s="53"/>
      <c r="P12" s="53"/>
      <c r="Q12" s="53"/>
      <c r="R12" s="58"/>
      <c r="S12" s="53"/>
      <c r="T12" s="53"/>
      <c r="U12" s="53"/>
      <c r="V12" s="53"/>
      <c r="W12" s="53"/>
      <c r="X12" s="51"/>
      <c r="Y12" s="296"/>
      <c r="Z12" s="297"/>
      <c r="AA12" s="296"/>
      <c r="AB12" s="297"/>
      <c r="AC12" s="296"/>
    </row>
    <row r="13" spans="1:34" ht="16.5" customHeight="1" thickTop="1" thickBot="1" x14ac:dyDescent="0.3">
      <c r="A13" s="194" t="str">
        <f ca="1">INDIRECT("Z_ML_06_"&amp;IDIOMA)</f>
        <v>CONCATENAR</v>
      </c>
      <c r="B13" s="55"/>
      <c r="C13" s="748"/>
      <c r="D13" s="748"/>
      <c r="E13" s="700" t="str">
        <f ca="1">INDIRECT("Z_DG_04_"&amp;IDIOMA)</f>
        <v>Retroalimentación General</v>
      </c>
      <c r="F13" s="700"/>
      <c r="G13" s="700"/>
      <c r="H13" s="700"/>
      <c r="I13" s="700"/>
      <c r="J13" s="701"/>
      <c r="K13" s="703"/>
      <c r="L13" s="704"/>
      <c r="M13" s="704"/>
      <c r="N13" s="704"/>
      <c r="O13" s="704"/>
      <c r="P13" s="705"/>
      <c r="Q13" s="700" t="str">
        <f ca="1">INDIRECT("Z_DG_05_"&amp;IDIOMA)</f>
        <v>Contraseña/Nº Identificación</v>
      </c>
      <c r="R13" s="700"/>
      <c r="S13" s="700"/>
      <c r="T13" s="700"/>
      <c r="U13" s="700"/>
      <c r="V13" s="700"/>
      <c r="W13" s="193"/>
      <c r="X13" s="51"/>
      <c r="Y13" s="666" t="s">
        <v>1590</v>
      </c>
      <c r="Z13" s="669">
        <f>Z11+1</f>
        <v>5</v>
      </c>
      <c r="AA13" s="666" t="s">
        <v>1602</v>
      </c>
      <c r="AB13" s="669">
        <f>AB11+1</f>
        <v>15</v>
      </c>
      <c r="AC13" s="296"/>
    </row>
    <row r="14" spans="1:34" ht="6" customHeight="1" thickTop="1" thickBot="1" x14ac:dyDescent="0.3">
      <c r="B14" s="55"/>
      <c r="C14" s="56"/>
      <c r="D14" s="57"/>
      <c r="E14" s="57"/>
      <c r="F14" s="57"/>
      <c r="G14" s="57"/>
      <c r="H14" s="57"/>
      <c r="I14" s="57"/>
      <c r="J14" s="216"/>
      <c r="K14" s="53"/>
      <c r="L14" s="53"/>
      <c r="M14" s="53"/>
      <c r="N14" s="53"/>
      <c r="O14" s="53"/>
      <c r="P14" s="53"/>
      <c r="Q14" s="53"/>
      <c r="R14" s="58"/>
      <c r="S14" s="53"/>
      <c r="T14" s="53"/>
      <c r="U14" s="53"/>
      <c r="V14" s="53"/>
      <c r="W14" s="53"/>
      <c r="X14" s="51"/>
      <c r="Y14" s="296"/>
      <c r="Z14" s="297"/>
      <c r="AA14" s="296"/>
      <c r="AB14" s="297"/>
      <c r="AC14" s="296"/>
    </row>
    <row r="15" spans="1:34" s="304" customFormat="1" ht="16.5" thickTop="1" thickBot="1" x14ac:dyDescent="0.3">
      <c r="A15" s="194" t="str">
        <f ca="1">INDIRECT("Z_ML_07_"&amp;IDIOMA)</f>
        <v>NEGRITA</v>
      </c>
      <c r="B15" s="702" t="str">
        <f ca="1">INDIRECT("Z_DG_06_"&amp;IDIOMA)</f>
        <v>Retroalimentación Respuesta Correcta</v>
      </c>
      <c r="C15" s="700"/>
      <c r="D15" s="700"/>
      <c r="E15" s="700"/>
      <c r="F15" s="700"/>
      <c r="G15" s="700"/>
      <c r="H15" s="700"/>
      <c r="I15" s="700"/>
      <c r="J15" s="701"/>
      <c r="K15" s="716"/>
      <c r="L15" s="717"/>
      <c r="M15" s="717"/>
      <c r="N15" s="717"/>
      <c r="O15" s="717"/>
      <c r="P15" s="717"/>
      <c r="Q15" s="718"/>
      <c r="R15" s="711" t="str">
        <f ca="1">INDIRECT("Z_OM_15_"&amp;IDIOMA)&amp;":"</f>
        <v>Centrar Valores Tablas:</v>
      </c>
      <c r="S15" s="712"/>
      <c r="T15" s="712"/>
      <c r="U15" s="712"/>
      <c r="V15" s="712"/>
      <c r="W15" s="53"/>
      <c r="X15" s="180"/>
      <c r="Y15" s="666" t="s">
        <v>1591</v>
      </c>
      <c r="Z15" s="669">
        <f>Z13+1</f>
        <v>6</v>
      </c>
      <c r="AA15" s="666" t="s">
        <v>1603</v>
      </c>
      <c r="AB15" s="669">
        <f>AB13+1</f>
        <v>16</v>
      </c>
      <c r="AC15" s="296"/>
    </row>
    <row r="16" spans="1:34" ht="6" customHeight="1" thickTop="1" thickBot="1" x14ac:dyDescent="0.3">
      <c r="B16" s="55"/>
      <c r="C16" s="56"/>
      <c r="D16" s="57"/>
      <c r="E16" s="57"/>
      <c r="F16" s="57"/>
      <c r="G16" s="57"/>
      <c r="H16" s="57"/>
      <c r="I16" s="57"/>
      <c r="J16" s="216"/>
      <c r="K16" s="53"/>
      <c r="L16" s="53"/>
      <c r="M16" s="53"/>
      <c r="N16" s="53"/>
      <c r="O16" s="53"/>
      <c r="P16" s="53"/>
      <c r="Q16" s="53"/>
      <c r="R16" s="53"/>
      <c r="S16" s="57"/>
      <c r="T16" s="53"/>
      <c r="U16" s="53"/>
      <c r="V16" s="53"/>
      <c r="W16" s="53"/>
      <c r="X16" s="51"/>
      <c r="Y16" s="296"/>
      <c r="Z16" s="297"/>
      <c r="AA16" s="296"/>
      <c r="AB16" s="297"/>
      <c r="AC16" s="296"/>
    </row>
    <row r="17" spans="1:29" ht="15" customHeight="1" thickTop="1" thickBot="1" x14ac:dyDescent="0.3">
      <c r="A17" s="194" t="str">
        <f ca="1">INDIRECT("Z_ML_08_"&amp;IDIOMA)</f>
        <v>ESPACIOS (+1)</v>
      </c>
      <c r="B17" s="702" t="str">
        <f ca="1">INDIRECT("Z_DG_07_"&amp;IDIOMA)</f>
        <v>Retroalimentación Respuesta Parcialmente Correcta</v>
      </c>
      <c r="C17" s="700"/>
      <c r="D17" s="700"/>
      <c r="E17" s="700"/>
      <c r="F17" s="700"/>
      <c r="G17" s="700"/>
      <c r="H17" s="700"/>
      <c r="I17" s="700"/>
      <c r="J17" s="701"/>
      <c r="K17" s="716"/>
      <c r="L17" s="717"/>
      <c r="M17" s="717"/>
      <c r="N17" s="717"/>
      <c r="O17" s="717"/>
      <c r="P17" s="717"/>
      <c r="Q17" s="718"/>
      <c r="R17" s="92"/>
      <c r="S17" s="719" t="str">
        <f ca="1">INDIRECT("Z_DG_20_"&amp;IDIOMA)</f>
        <v>FORMULARIO</v>
      </c>
      <c r="T17" s="719"/>
      <c r="U17" s="719"/>
      <c r="V17" s="719"/>
      <c r="W17" s="719"/>
      <c r="X17" s="51"/>
      <c r="Y17" s="666" t="s">
        <v>1592</v>
      </c>
      <c r="Z17" s="669">
        <f>Z15+1</f>
        <v>7</v>
      </c>
      <c r="AA17" s="666" t="s">
        <v>1604</v>
      </c>
      <c r="AB17" s="669">
        <f>AB15+1</f>
        <v>17</v>
      </c>
      <c r="AC17" s="296"/>
    </row>
    <row r="18" spans="1:29" ht="6" customHeight="1" thickTop="1" thickBot="1" x14ac:dyDescent="0.3">
      <c r="B18" s="55"/>
      <c r="C18" s="56"/>
      <c r="D18" s="57"/>
      <c r="E18" s="57"/>
      <c r="F18" s="57"/>
      <c r="G18" s="57"/>
      <c r="H18" s="57"/>
      <c r="I18" s="57"/>
      <c r="J18" s="216"/>
      <c r="K18" s="53"/>
      <c r="L18" s="53"/>
      <c r="M18" s="53"/>
      <c r="N18" s="53"/>
      <c r="O18" s="53"/>
      <c r="P18" s="53"/>
      <c r="Q18" s="53"/>
      <c r="R18" s="92"/>
      <c r="S18" s="178"/>
      <c r="T18" s="170"/>
      <c r="U18" s="170"/>
      <c r="V18" s="170"/>
      <c r="W18" s="170"/>
      <c r="X18" s="51"/>
      <c r="Y18" s="296"/>
      <c r="Z18" s="297"/>
      <c r="AA18" s="296"/>
      <c r="AB18" s="297"/>
      <c r="AC18" s="296"/>
    </row>
    <row r="19" spans="1:29" ht="16.5" thickTop="1" thickBot="1" x14ac:dyDescent="0.3">
      <c r="A19" s="194" t="str">
        <f ca="1">INDIRECT("Z_ML_09_"&amp;IDIOMA)</f>
        <v>TEXTO ROJO</v>
      </c>
      <c r="B19" s="702" t="str">
        <f ca="1">INDIRECT("Z_DG_08_"&amp;IDIOMA)</f>
        <v>Retroalimentación Respuesta Incorrecta</v>
      </c>
      <c r="C19" s="700"/>
      <c r="D19" s="700"/>
      <c r="E19" s="700"/>
      <c r="F19" s="700"/>
      <c r="G19" s="700"/>
      <c r="H19" s="700"/>
      <c r="I19" s="700"/>
      <c r="J19" s="701"/>
      <c r="K19" s="716"/>
      <c r="L19" s="717"/>
      <c r="M19" s="717"/>
      <c r="N19" s="717"/>
      <c r="O19" s="717"/>
      <c r="P19" s="717"/>
      <c r="Q19" s="718"/>
      <c r="R19" s="92"/>
      <c r="S19" s="719" t="str">
        <f ca="1">INDIRECT("Z_DG_21_"&amp;IDIOMA)</f>
        <v>BANCO DE PREGUNTAS</v>
      </c>
      <c r="T19" s="719"/>
      <c r="U19" s="719"/>
      <c r="V19" s="719"/>
      <c r="W19" s="719"/>
      <c r="X19" s="51"/>
      <c r="Y19" s="666" t="s">
        <v>1593</v>
      </c>
      <c r="Z19" s="669">
        <f>Z17+1</f>
        <v>8</v>
      </c>
      <c r="AA19" s="666" t="s">
        <v>1605</v>
      </c>
      <c r="AB19" s="669">
        <f>AB17+1</f>
        <v>18</v>
      </c>
      <c r="AC19" s="296"/>
    </row>
    <row r="20" spans="1:29" ht="6" customHeight="1" thickTop="1" x14ac:dyDescent="0.25">
      <c r="A20" s="195"/>
      <c r="B20" s="55"/>
      <c r="C20" s="56"/>
      <c r="D20" s="57"/>
      <c r="E20" s="57"/>
      <c r="F20" s="57"/>
      <c r="G20" s="57"/>
      <c r="H20" s="57"/>
      <c r="I20" s="57"/>
      <c r="J20" s="216"/>
      <c r="K20" s="53"/>
      <c r="L20" s="53"/>
      <c r="M20" s="53"/>
      <c r="N20" s="53"/>
      <c r="O20" s="53"/>
      <c r="P20" s="53"/>
      <c r="Q20" s="53"/>
      <c r="R20" s="53"/>
      <c r="S20" s="170"/>
      <c r="T20" s="170"/>
      <c r="U20" s="170"/>
      <c r="V20" s="170"/>
      <c r="W20" s="170"/>
      <c r="X20" s="51"/>
      <c r="Y20" s="296"/>
      <c r="Z20" s="297"/>
      <c r="AA20" s="296"/>
      <c r="AB20" s="297"/>
      <c r="AC20" s="296"/>
    </row>
    <row r="21" spans="1:29" x14ac:dyDescent="0.25">
      <c r="A21" s="194" t="str">
        <f ca="1">INDIRECT("Z_ML_10_"&amp;IDIOMA)</f>
        <v>TEXTO AZUL</v>
      </c>
      <c r="B21" s="702" t="str">
        <f ca="1">INDIRECT("Z_DG_09_"&amp;IDIOMA)</f>
        <v>Prefijo de las preguntas (no más de 15 caracteres)</v>
      </c>
      <c r="C21" s="700"/>
      <c r="D21" s="700"/>
      <c r="E21" s="700"/>
      <c r="F21" s="700"/>
      <c r="G21" s="700"/>
      <c r="H21" s="700"/>
      <c r="I21" s="700"/>
      <c r="J21" s="700"/>
      <c r="K21" s="740"/>
      <c r="L21" s="740"/>
      <c r="M21" s="740"/>
      <c r="N21" s="740"/>
      <c r="O21" s="740"/>
      <c r="P21" s="740"/>
      <c r="Q21" s="740"/>
      <c r="R21" s="53"/>
      <c r="S21" s="719" t="str">
        <f ca="1">INDIRECT("Z_DG_22_"&amp;IDIOMA)</f>
        <v>IMPORTAR DE LIBRO EXCEL</v>
      </c>
      <c r="T21" s="719"/>
      <c r="U21" s="719"/>
      <c r="V21" s="719"/>
      <c r="W21" s="719"/>
      <c r="X21" s="51"/>
      <c r="Y21" s="666" t="s">
        <v>1594</v>
      </c>
      <c r="Z21" s="669">
        <f>Z19+1</f>
        <v>9</v>
      </c>
      <c r="AA21" s="666" t="s">
        <v>1597</v>
      </c>
      <c r="AB21" s="669">
        <f>AB19+1</f>
        <v>19</v>
      </c>
      <c r="AC21" s="296"/>
    </row>
    <row r="22" spans="1:29" ht="6" customHeight="1" x14ac:dyDescent="0.25">
      <c r="B22" s="55"/>
      <c r="C22" s="56"/>
      <c r="D22" s="57"/>
      <c r="E22" s="57"/>
      <c r="F22" s="57"/>
      <c r="G22" s="57"/>
      <c r="H22" s="57"/>
      <c r="I22" s="57"/>
      <c r="J22" s="216"/>
      <c r="K22" s="53"/>
      <c r="L22" s="53"/>
      <c r="M22" s="53"/>
      <c r="N22" s="53"/>
      <c r="O22" s="53"/>
      <c r="P22" s="53"/>
      <c r="Q22" s="53"/>
      <c r="R22" s="53"/>
      <c r="S22" s="170"/>
      <c r="T22" s="170"/>
      <c r="U22" s="170"/>
      <c r="V22" s="170"/>
      <c r="W22" s="170"/>
      <c r="X22" s="51"/>
      <c r="Y22" s="296"/>
      <c r="Z22" s="297"/>
      <c r="AA22" s="296"/>
      <c r="AB22" s="297"/>
      <c r="AC22" s="296"/>
    </row>
    <row r="23" spans="1:29" ht="15" customHeight="1" x14ac:dyDescent="0.25">
      <c r="A23" s="194" t="str">
        <f ca="1">INDIRECT("Z_ML_11_"&amp;IDIOMA)</f>
        <v>OTRO COLOR</v>
      </c>
      <c r="B23" s="749" t="str">
        <f ca="1">INDIRECT("Z_DG_10_"&amp;IDIOMA)</f>
        <v>Nº Inicial de pregunta a exportar</v>
      </c>
      <c r="C23" s="750"/>
      <c r="D23" s="750"/>
      <c r="E23" s="750"/>
      <c r="F23" s="750"/>
      <c r="G23" s="750"/>
      <c r="H23" s="750"/>
      <c r="I23" s="750"/>
      <c r="J23" s="750"/>
      <c r="K23" s="520">
        <f>N_INICIAL</f>
        <v>0</v>
      </c>
      <c r="L23" s="53"/>
      <c r="M23" s="751" t="str">
        <f ca="1">IF(OR(N_FINAL&gt;P_Max,N_INICIAL&lt;P_Min),INDIRECT("Z_DG_39_"&amp;IDIOMA),
  IF(OR(P_Min&lt;N_INICIAL,P_Max&gt;N_FINAL),"El rango de preguntas a exportar no coincide con el Nº total de preguntas.",""))</f>
        <v/>
      </c>
      <c r="N23" s="751"/>
      <c r="O23" s="751"/>
      <c r="P23" s="751"/>
      <c r="Q23" s="751"/>
      <c r="R23" s="53"/>
      <c r="S23" s="719" t="str">
        <f ca="1">INDIRECT("Z_DG_23_"&amp;IDIOMA)</f>
        <v>EXPORTAR A LIBRO EXCEL</v>
      </c>
      <c r="T23" s="719"/>
      <c r="U23" s="719"/>
      <c r="V23" s="719"/>
      <c r="W23" s="719"/>
      <c r="X23" s="51"/>
      <c r="Y23" s="666" t="s">
        <v>1595</v>
      </c>
      <c r="Z23" s="669">
        <f>Z21+1</f>
        <v>10</v>
      </c>
      <c r="AA23" s="666" t="s">
        <v>1596</v>
      </c>
      <c r="AB23" s="669">
        <f>AB21+1</f>
        <v>20</v>
      </c>
      <c r="AC23" s="296"/>
    </row>
    <row r="24" spans="1:29" ht="6" customHeight="1" thickBot="1" x14ac:dyDescent="0.3">
      <c r="B24" s="55"/>
      <c r="C24" s="56"/>
      <c r="D24" s="57"/>
      <c r="E24" s="57"/>
      <c r="F24" s="57"/>
      <c r="G24" s="57"/>
      <c r="H24" s="57"/>
      <c r="I24" s="57"/>
      <c r="J24" s="216"/>
      <c r="K24" s="53"/>
      <c r="L24" s="53"/>
      <c r="M24" s="751"/>
      <c r="N24" s="751"/>
      <c r="O24" s="751"/>
      <c r="P24" s="751"/>
      <c r="Q24" s="751"/>
      <c r="R24" s="53"/>
      <c r="S24" s="170"/>
      <c r="T24" s="170"/>
      <c r="U24" s="170"/>
      <c r="V24" s="170"/>
      <c r="W24" s="170"/>
      <c r="X24" s="51"/>
      <c r="Y24" s="667"/>
      <c r="Z24" s="297"/>
      <c r="AA24" s="667"/>
      <c r="AB24" s="298"/>
    </row>
    <row r="25" spans="1:29" ht="15" customHeight="1" x14ac:dyDescent="0.25">
      <c r="A25" s="737" t="str">
        <f ca="1">INDIRECT("Z_ML_12_"&amp;IDIOMA)</f>
        <v>INSERTAR
IMÁGENES</v>
      </c>
      <c r="B25" s="749" t="str">
        <f ca="1">INDIRECT("Z_DG_11_"&amp;IDIOMA)</f>
        <v>Nº Final de pregunta a exportar</v>
      </c>
      <c r="C25" s="750"/>
      <c r="D25" s="750"/>
      <c r="E25" s="750"/>
      <c r="F25" s="750"/>
      <c r="G25" s="750"/>
      <c r="H25" s="750"/>
      <c r="I25" s="750"/>
      <c r="J25" s="750"/>
      <c r="K25" s="521">
        <f>N_FINAL</f>
        <v>0</v>
      </c>
      <c r="L25" s="53"/>
      <c r="M25" s="751"/>
      <c r="N25" s="751"/>
      <c r="O25" s="751"/>
      <c r="P25" s="751"/>
      <c r="Q25" s="751"/>
      <c r="R25" s="53"/>
      <c r="S25" s="719" t="str">
        <f ca="1">INDIRECT("Z_DG_24_"&amp;IDIOMA)</f>
        <v>EXPORTAR A MOODLE</v>
      </c>
      <c r="T25" s="719"/>
      <c r="U25" s="719"/>
      <c r="V25" s="719"/>
      <c r="W25" s="719"/>
      <c r="X25" s="51"/>
      <c r="Y25" s="666" t="s">
        <v>1865</v>
      </c>
      <c r="Z25" s="669">
        <v>1</v>
      </c>
      <c r="AA25" s="666" t="s">
        <v>1864</v>
      </c>
      <c r="AB25" s="669">
        <f>Z35+1</f>
        <v>7</v>
      </c>
      <c r="AC25" s="296"/>
    </row>
    <row r="26" spans="1:29" ht="6" customHeight="1" thickBot="1" x14ac:dyDescent="0.3">
      <c r="A26" s="738"/>
      <c r="B26" s="55"/>
      <c r="C26" s="56"/>
      <c r="D26" s="57"/>
      <c r="E26" s="57"/>
      <c r="F26" s="57"/>
      <c r="G26" s="57"/>
      <c r="H26" s="57"/>
      <c r="I26" s="57"/>
      <c r="J26" s="216"/>
      <c r="K26" s="53"/>
      <c r="L26" s="53"/>
      <c r="M26" s="53"/>
      <c r="N26" s="53"/>
      <c r="O26" s="53"/>
      <c r="P26" s="53"/>
      <c r="Q26" s="53"/>
      <c r="R26" s="53"/>
      <c r="S26" s="170"/>
      <c r="T26" s="170"/>
      <c r="U26" s="170"/>
      <c r="V26" s="170"/>
      <c r="W26" s="170"/>
      <c r="X26" s="51"/>
      <c r="Y26" s="296"/>
      <c r="Z26" s="297"/>
      <c r="AA26" s="299"/>
      <c r="AB26" s="297"/>
      <c r="AC26" s="296"/>
    </row>
    <row r="27" spans="1:29" ht="15" customHeight="1" thickBot="1" x14ac:dyDescent="0.3">
      <c r="A27" s="739"/>
      <c r="B27" s="702" t="str">
        <f ca="1">INDIRECT("Z_DG_12_"&amp;IDIOMA)</f>
        <v>Barajar respuestas en el cuestionario (SÍ= true)</v>
      </c>
      <c r="C27" s="700"/>
      <c r="D27" s="700"/>
      <c r="E27" s="700"/>
      <c r="F27" s="700"/>
      <c r="G27" s="700"/>
      <c r="H27" s="700"/>
      <c r="I27" s="700"/>
      <c r="J27" s="700"/>
      <c r="K27" s="663" t="s">
        <v>12</v>
      </c>
      <c r="L27" s="53"/>
      <c r="M27" s="721" t="str">
        <f ca="1">INDIRECT("Z_DG_38_"&amp;IDIOMA)</f>
        <v>Pincha aquí si quieres poner el rango completo de preguntas.</v>
      </c>
      <c r="N27" s="722"/>
      <c r="O27" s="722"/>
      <c r="P27" s="722"/>
      <c r="Q27" s="723"/>
      <c r="R27" s="53"/>
      <c r="S27" s="719" t="str">
        <f ca="1">INDIRECT("Z_DG_25_"&amp;IDIOMA)</f>
        <v>EXPORTAR A TEXTO (doc/txt)</v>
      </c>
      <c r="T27" s="719"/>
      <c r="U27" s="719"/>
      <c r="V27" s="719"/>
      <c r="W27" s="719"/>
      <c r="X27" s="51"/>
      <c r="Y27" s="666" t="s">
        <v>1866</v>
      </c>
      <c r="Z27" s="669">
        <f>Z25+1</f>
        <v>2</v>
      </c>
      <c r="AA27" s="666" t="s">
        <v>1863</v>
      </c>
      <c r="AB27" s="669">
        <f>AB25+1</f>
        <v>8</v>
      </c>
      <c r="AC27" s="296"/>
    </row>
    <row r="28" spans="1:29" ht="6" customHeight="1" thickBot="1" x14ac:dyDescent="0.3">
      <c r="B28" s="55"/>
      <c r="C28" s="56"/>
      <c r="D28" s="57"/>
      <c r="E28" s="57"/>
      <c r="F28" s="57"/>
      <c r="G28" s="57"/>
      <c r="H28" s="57"/>
      <c r="I28" s="57"/>
      <c r="J28" s="57"/>
      <c r="K28" s="53"/>
      <c r="L28" s="53"/>
      <c r="M28" s="724"/>
      <c r="N28" s="725"/>
      <c r="O28" s="725"/>
      <c r="P28" s="725"/>
      <c r="Q28" s="726"/>
      <c r="R28" s="53"/>
      <c r="S28" s="53"/>
      <c r="T28" s="53"/>
      <c r="U28" s="53"/>
      <c r="V28" s="53"/>
      <c r="W28" s="53"/>
      <c r="X28" s="51"/>
      <c r="Y28" s="296"/>
      <c r="Z28" s="297"/>
      <c r="AA28" s="299"/>
      <c r="AB28" s="297"/>
      <c r="AC28" s="296"/>
    </row>
    <row r="29" spans="1:29" ht="15" customHeight="1" thickBot="1" x14ac:dyDescent="0.3">
      <c r="A29" s="737" t="str">
        <f ca="1">INDIRECT("Z_ML_13_"&amp;IDIOMA)</f>
        <v>LISTA DESPLEGABLE CATEGORÍAS</v>
      </c>
      <c r="B29" s="702" t="str">
        <f ca="1">INDIRECT("Z_DG_13_"&amp;IDIOMA)</f>
        <v>¿Numerar las elecciones? (NINGUNA = none)</v>
      </c>
      <c r="C29" s="700"/>
      <c r="D29" s="700"/>
      <c r="E29" s="700"/>
      <c r="F29" s="700"/>
      <c r="G29" s="700"/>
      <c r="H29" s="700"/>
      <c r="I29" s="700"/>
      <c r="J29" s="700"/>
      <c r="K29" s="663" t="s">
        <v>7</v>
      </c>
      <c r="L29" s="53"/>
      <c r="M29" s="727"/>
      <c r="N29" s="728"/>
      <c r="O29" s="728"/>
      <c r="P29" s="728"/>
      <c r="Q29" s="729"/>
      <c r="R29" s="179"/>
      <c r="S29" s="719" t="str">
        <f ca="1">INDIRECT("Z_DG_26_"&amp;IDIOMA)</f>
        <v>EXPORTAR A JUEGO</v>
      </c>
      <c r="T29" s="719"/>
      <c r="U29" s="719"/>
      <c r="V29" s="719"/>
      <c r="W29" s="719"/>
      <c r="X29" s="180"/>
      <c r="Y29" s="666" t="s">
        <v>1867</v>
      </c>
      <c r="Z29" s="669">
        <f>Z27+1</f>
        <v>3</v>
      </c>
      <c r="AA29" s="666"/>
      <c r="AB29" s="669">
        <f>AB27+1</f>
        <v>9</v>
      </c>
      <c r="AC29" s="296"/>
    </row>
    <row r="30" spans="1:29" ht="6" customHeight="1" x14ac:dyDescent="0.25">
      <c r="A30" s="738"/>
      <c r="B30" s="55"/>
      <c r="C30" s="179"/>
      <c r="D30" s="179"/>
      <c r="E30" s="179"/>
      <c r="F30" s="179"/>
      <c r="G30" s="179"/>
      <c r="H30" s="179"/>
      <c r="I30" s="179"/>
      <c r="J30" s="179"/>
      <c r="K30" s="179"/>
      <c r="L30" s="179"/>
      <c r="M30" s="179"/>
      <c r="N30" s="179"/>
      <c r="O30" s="179"/>
      <c r="P30" s="179"/>
      <c r="Q30" s="179"/>
      <c r="R30" s="179"/>
      <c r="S30" s="179"/>
      <c r="T30" s="179"/>
      <c r="U30" s="179"/>
      <c r="V30" s="179"/>
      <c r="W30" s="179"/>
      <c r="X30" s="180"/>
      <c r="Y30" s="296"/>
      <c r="Z30" s="297"/>
      <c r="AA30" s="299"/>
      <c r="AB30" s="297"/>
      <c r="AC30" s="296"/>
    </row>
    <row r="31" spans="1:29" ht="15" customHeight="1" thickBot="1" x14ac:dyDescent="0.3">
      <c r="A31" s="739"/>
      <c r="B31" s="702" t="str">
        <f ca="1">INDIRECT("Z_TX_68_"&amp;IDIOMA)</f>
        <v>¿Quieres que el alumno pueda marcar las respuestas que no son correctas?</v>
      </c>
      <c r="C31" s="700"/>
      <c r="D31" s="700"/>
      <c r="E31" s="700"/>
      <c r="F31" s="700"/>
      <c r="G31" s="700"/>
      <c r="H31" s="700"/>
      <c r="I31" s="700"/>
      <c r="J31" s="700"/>
      <c r="K31" s="700"/>
      <c r="L31" s="700"/>
      <c r="M31" s="700"/>
      <c r="N31" s="700"/>
      <c r="O31" s="700"/>
      <c r="P31" s="710" t="s">
        <v>1223</v>
      </c>
      <c r="Q31" s="710"/>
      <c r="R31" s="179"/>
      <c r="S31" s="706"/>
      <c r="T31" s="706"/>
      <c r="U31" s="706"/>
      <c r="V31" s="706"/>
      <c r="W31" s="706"/>
      <c r="X31" s="707"/>
      <c r="Y31" s="666" t="s">
        <v>1868</v>
      </c>
      <c r="Z31" s="669">
        <f>Z29+1</f>
        <v>4</v>
      </c>
      <c r="AA31" s="666"/>
      <c r="AB31" s="669">
        <f>AB29+1</f>
        <v>10</v>
      </c>
      <c r="AC31" s="296"/>
    </row>
    <row r="32" spans="1:29" ht="6" customHeight="1" x14ac:dyDescent="0.25">
      <c r="A32" s="195"/>
      <c r="B32" s="55"/>
      <c r="C32" s="56"/>
      <c r="D32" s="57"/>
      <c r="E32" s="57"/>
      <c r="F32" s="57"/>
      <c r="G32" s="57"/>
      <c r="H32" s="57"/>
      <c r="I32" s="57"/>
      <c r="J32" s="216"/>
      <c r="K32" s="53"/>
      <c r="L32" s="53"/>
      <c r="M32" s="53"/>
      <c r="N32" s="53"/>
      <c r="O32" s="53"/>
      <c r="P32" s="53"/>
      <c r="Q32" s="53"/>
      <c r="R32" s="179"/>
      <c r="S32" s="706"/>
      <c r="T32" s="706"/>
      <c r="U32" s="706"/>
      <c r="V32" s="706"/>
      <c r="W32" s="706"/>
      <c r="X32" s="707"/>
      <c r="Y32" s="296"/>
      <c r="Z32" s="297"/>
      <c r="AA32" s="296"/>
      <c r="AB32" s="297"/>
      <c r="AC32" s="296"/>
    </row>
    <row r="33" spans="1:29" ht="15" customHeight="1" x14ac:dyDescent="0.25">
      <c r="A33" s="194" t="str">
        <f ca="1">INDIRECT("Z_ML_15_"&amp;IDIOMA)</f>
        <v>ACTIVAR</v>
      </c>
      <c r="B33" s="55"/>
      <c r="C33" s="56"/>
      <c r="D33" s="699" t="s">
        <v>18551</v>
      </c>
      <c r="E33" s="699" t="s">
        <v>18551</v>
      </c>
      <c r="F33" s="699" t="s">
        <v>18551</v>
      </c>
      <c r="G33" s="699" t="s">
        <v>18551</v>
      </c>
      <c r="H33" s="699" t="s">
        <v>18551</v>
      </c>
      <c r="I33" s="699" t="s">
        <v>18551</v>
      </c>
      <c r="J33" s="699" t="s">
        <v>18551</v>
      </c>
      <c r="K33" s="699" t="s">
        <v>18551</v>
      </c>
      <c r="L33" s="699" t="s">
        <v>18551</v>
      </c>
      <c r="M33" s="699" t="s">
        <v>18551</v>
      </c>
      <c r="N33" s="699" t="s">
        <v>18551</v>
      </c>
      <c r="O33" s="699" t="s">
        <v>18551</v>
      </c>
      <c r="P33" s="699" t="s">
        <v>18551</v>
      </c>
      <c r="Q33" s="699" t="s">
        <v>18551</v>
      </c>
      <c r="R33" s="179"/>
      <c r="S33" s="706"/>
      <c r="T33" s="706"/>
      <c r="U33" s="706"/>
      <c r="V33" s="706"/>
      <c r="W33" s="706"/>
      <c r="X33" s="707"/>
      <c r="Y33" s="666" t="s">
        <v>1869</v>
      </c>
      <c r="Z33" s="669">
        <f>Z31+1</f>
        <v>5</v>
      </c>
      <c r="AA33" s="666"/>
      <c r="AB33" s="669">
        <f>AB31+1</f>
        <v>11</v>
      </c>
      <c r="AC33" s="296"/>
    </row>
    <row r="34" spans="1:29" ht="6" customHeight="1" thickBot="1" x14ac:dyDescent="0.3">
      <c r="A34" s="2"/>
      <c r="B34" s="55"/>
      <c r="C34" s="56"/>
      <c r="D34" s="699" t="s">
        <v>18551</v>
      </c>
      <c r="E34" s="699" t="s">
        <v>18551</v>
      </c>
      <c r="F34" s="699" t="s">
        <v>18551</v>
      </c>
      <c r="G34" s="699" t="s">
        <v>18551</v>
      </c>
      <c r="H34" s="699" t="s">
        <v>18551</v>
      </c>
      <c r="I34" s="699" t="s">
        <v>18551</v>
      </c>
      <c r="J34" s="699" t="s">
        <v>18551</v>
      </c>
      <c r="K34" s="699" t="s">
        <v>18551</v>
      </c>
      <c r="L34" s="699" t="s">
        <v>18551</v>
      </c>
      <c r="M34" s="699" t="s">
        <v>18551</v>
      </c>
      <c r="N34" s="699" t="s">
        <v>18551</v>
      </c>
      <c r="O34" s="699" t="s">
        <v>18551</v>
      </c>
      <c r="P34" s="699" t="s">
        <v>18551</v>
      </c>
      <c r="Q34" s="699" t="s">
        <v>18551</v>
      </c>
      <c r="R34" s="179"/>
      <c r="S34" s="706"/>
      <c r="T34" s="706"/>
      <c r="U34" s="706"/>
      <c r="V34" s="706"/>
      <c r="W34" s="706"/>
      <c r="X34" s="707"/>
      <c r="Y34" s="296"/>
      <c r="Z34" s="297"/>
      <c r="AA34" s="296"/>
      <c r="AB34" s="297"/>
      <c r="AC34" s="296"/>
    </row>
    <row r="35" spans="1:29" x14ac:dyDescent="0.25">
      <c r="A35" s="194" t="str">
        <f ca="1">INDIRECT("Z_ML_16_"&amp;IDIOMA)</f>
        <v>DESACTIVAR</v>
      </c>
      <c r="B35" s="55"/>
      <c r="C35" s="56"/>
      <c r="D35" s="699" t="s">
        <v>18551</v>
      </c>
      <c r="E35" s="699" t="s">
        <v>18551</v>
      </c>
      <c r="F35" s="699" t="s">
        <v>18551</v>
      </c>
      <c r="G35" s="699" t="s">
        <v>18551</v>
      </c>
      <c r="H35" s="699" t="s">
        <v>18551</v>
      </c>
      <c r="I35" s="699" t="s">
        <v>18551</v>
      </c>
      <c r="J35" s="699" t="s">
        <v>18551</v>
      </c>
      <c r="K35" s="699" t="s">
        <v>18551</v>
      </c>
      <c r="L35" s="699" t="s">
        <v>18551</v>
      </c>
      <c r="M35" s="699" t="s">
        <v>18551</v>
      </c>
      <c r="N35" s="699" t="s">
        <v>18551</v>
      </c>
      <c r="O35" s="699" t="s">
        <v>18551</v>
      </c>
      <c r="P35" s="699" t="s">
        <v>18551</v>
      </c>
      <c r="Q35" s="699" t="s">
        <v>18551</v>
      </c>
      <c r="R35" s="179"/>
      <c r="S35" s="706"/>
      <c r="T35" s="706"/>
      <c r="U35" s="706"/>
      <c r="V35" s="706"/>
      <c r="W35" s="706"/>
      <c r="X35" s="707"/>
      <c r="Y35" s="666" t="s">
        <v>1870</v>
      </c>
      <c r="Z35" s="669">
        <f>Z33+1</f>
        <v>6</v>
      </c>
      <c r="AA35" s="666"/>
      <c r="AB35" s="669">
        <f>AB33+1</f>
        <v>12</v>
      </c>
      <c r="AC35" s="296"/>
    </row>
    <row r="36" spans="1:29" ht="9.9499999999999993" customHeight="1" thickBot="1" x14ac:dyDescent="0.3">
      <c r="A36" s="653">
        <f>COUNTA(Y5:Y35)+COUNTA(AA5:AA35)</f>
        <v>28</v>
      </c>
      <c r="B36" s="315"/>
      <c r="C36" s="336"/>
      <c r="D36" s="59"/>
      <c r="E36" s="59"/>
      <c r="F36" s="59"/>
      <c r="G36" s="59"/>
      <c r="H36" s="59"/>
      <c r="I36" s="59"/>
      <c r="J36" s="59"/>
      <c r="K36" s="54"/>
      <c r="L36" s="54"/>
      <c r="M36" s="54"/>
      <c r="N36" s="54"/>
      <c r="O36" s="54"/>
      <c r="P36" s="54"/>
      <c r="Q36" s="54"/>
      <c r="R36" s="181"/>
      <c r="S36" s="708"/>
      <c r="T36" s="708"/>
      <c r="U36" s="708"/>
      <c r="V36" s="708"/>
      <c r="W36" s="708"/>
      <c r="X36" s="709"/>
      <c r="AC36" s="296"/>
    </row>
    <row r="37" spans="1:29" s="3" customFormat="1" ht="30" hidden="1" customHeight="1" thickTop="1" thickBot="1" x14ac:dyDescent="0.3">
      <c r="B37" s="130">
        <v>3</v>
      </c>
      <c r="C37" s="131">
        <v>4</v>
      </c>
      <c r="D37" s="132" t="s">
        <v>101</v>
      </c>
      <c r="E37" s="132"/>
      <c r="F37" s="132"/>
      <c r="G37" s="132"/>
      <c r="H37" s="132"/>
      <c r="I37" s="132"/>
      <c r="J37" s="133" t="s">
        <v>105</v>
      </c>
      <c r="K37" s="134" t="s">
        <v>4</v>
      </c>
      <c r="L37" s="140"/>
      <c r="M37" s="137" t="s">
        <v>98</v>
      </c>
      <c r="N37" s="137" t="s">
        <v>18273</v>
      </c>
      <c r="O37" s="138" t="s">
        <v>100</v>
      </c>
      <c r="P37" s="139" t="s">
        <v>99</v>
      </c>
      <c r="Q37" s="136" t="s">
        <v>5</v>
      </c>
      <c r="R37" s="132"/>
      <c r="S37" s="132"/>
      <c r="T37" s="132"/>
      <c r="U37" s="132"/>
      <c r="V37" s="132"/>
      <c r="W37" s="132"/>
      <c r="X37" s="135"/>
      <c r="Z37" s="291"/>
    </row>
    <row r="38" spans="1:29" s="3" customFormat="1" hidden="1" x14ac:dyDescent="0.25">
      <c r="A38" s="6"/>
      <c r="B38" s="95">
        <v>1</v>
      </c>
      <c r="C38" s="96"/>
      <c r="D38" s="96"/>
      <c r="E38" s="96"/>
      <c r="F38" s="96"/>
      <c r="G38" s="96"/>
      <c r="H38" s="96"/>
      <c r="I38" s="96"/>
      <c r="J38" s="97" t="str">
        <f ca="1">INDIRECT("Z_DG_27_"&amp;IDIOMA)</f>
        <v xml:space="preserve">Opción Múltiple 1R </v>
      </c>
      <c r="K38" s="125" t="s">
        <v>6</v>
      </c>
      <c r="L38" s="167">
        <f ca="1">N38-M38+1</f>
        <v>1</v>
      </c>
      <c r="M38" s="121">
        <f ca="1">IF(INDIRECT("'Datos "&amp;K38&amp;"'!N_Preguntas")=0,0,INDIRECT("N_I_"&amp;K38))</f>
        <v>0</v>
      </c>
      <c r="N38" s="122">
        <f ca="1">MAX(M38+INDIRECT("'Datos "&amp;K38&amp;"'!N_Preguntas")-1,0)</f>
        <v>0</v>
      </c>
      <c r="O38" s="117">
        <v>100</v>
      </c>
      <c r="P38" s="118">
        <v>101</v>
      </c>
      <c r="Q38" s="111" t="s">
        <v>7</v>
      </c>
      <c r="R38" s="96"/>
      <c r="S38" s="96"/>
      <c r="T38" s="96"/>
      <c r="U38" s="98" t="str">
        <f>IF(OR(NUMERAR_R="",NUMERAR_R="none"),"Las respuestas no tendrán numeración.",NUMERAR_R)</f>
        <v>abc</v>
      </c>
      <c r="V38" s="96"/>
      <c r="W38" s="96"/>
      <c r="X38" s="99">
        <v>6</v>
      </c>
      <c r="Y38" s="522">
        <v>0</v>
      </c>
      <c r="Z38" s="291"/>
    </row>
    <row r="39" spans="1:29" s="3" customFormat="1" hidden="1" x14ac:dyDescent="0.25">
      <c r="A39" s="6"/>
      <c r="B39" s="100">
        <v>2</v>
      </c>
      <c r="C39" s="6"/>
      <c r="D39" s="6"/>
      <c r="E39" s="6"/>
      <c r="F39" s="6"/>
      <c r="G39" s="6"/>
      <c r="H39" s="6"/>
      <c r="I39" s="6"/>
      <c r="J39" s="7" t="str">
        <f ca="1">INDIRECT("Z_DG_28_"&amp;IDIOMA)</f>
        <v xml:space="preserve">Opción Múltiple +R </v>
      </c>
      <c r="K39" s="126" t="s">
        <v>102</v>
      </c>
      <c r="L39" s="168">
        <f t="shared" ref="L39:L45" ca="1" si="0">N39-M39+1</f>
        <v>1</v>
      </c>
      <c r="M39" s="123">
        <f t="shared" ref="M39:M45" ca="1" si="1">IF(INDIRECT("'Datos "&amp;K39&amp;"'!N_Preguntas")=0,0,INDIRECT("'Datos "&amp;K39&amp;"'!A4"))</f>
        <v>0</v>
      </c>
      <c r="N39" s="124">
        <f t="shared" ref="N39:N45" ca="1" si="2">MAX(M39+INDIRECT("'Datos "&amp;K39&amp;"'!N_Preguntas")-1,0)</f>
        <v>0</v>
      </c>
      <c r="O39" s="119">
        <v>10</v>
      </c>
      <c r="P39" s="120">
        <v>201</v>
      </c>
      <c r="Q39" s="112" t="s">
        <v>20</v>
      </c>
      <c r="R39" s="6"/>
      <c r="S39" s="6"/>
      <c r="T39" s="6"/>
      <c r="U39" s="10"/>
      <c r="V39" s="9"/>
      <c r="W39" s="6"/>
      <c r="X39" s="101">
        <v>6</v>
      </c>
      <c r="Y39" s="522">
        <v>0</v>
      </c>
      <c r="Z39" s="291"/>
    </row>
    <row r="40" spans="1:29" s="3" customFormat="1" hidden="1" x14ac:dyDescent="0.25">
      <c r="A40" s="6"/>
      <c r="B40" s="100">
        <v>3</v>
      </c>
      <c r="C40" s="6"/>
      <c r="D40" s="6"/>
      <c r="E40" s="6"/>
      <c r="F40" s="6"/>
      <c r="G40" s="6"/>
      <c r="H40" s="6"/>
      <c r="I40" s="6"/>
      <c r="J40" s="7" t="str">
        <f ca="1">INDIRECT("Z_DG_29_"&amp;IDIOMA)</f>
        <v>Verdadero/Falso</v>
      </c>
      <c r="K40" s="126" t="s">
        <v>8</v>
      </c>
      <c r="L40" s="168">
        <f t="shared" ca="1" si="0"/>
        <v>1</v>
      </c>
      <c r="M40" s="123">
        <f t="shared" ca="1" si="1"/>
        <v>0</v>
      </c>
      <c r="N40" s="124">
        <f t="shared" ca="1" si="2"/>
        <v>0</v>
      </c>
      <c r="O40" s="119">
        <v>-100</v>
      </c>
      <c r="P40" s="120">
        <v>301</v>
      </c>
      <c r="Q40" s="112" t="s">
        <v>9</v>
      </c>
      <c r="R40" s="6"/>
      <c r="S40" s="6"/>
      <c r="T40" s="6"/>
      <c r="U40" s="10" t="str">
        <f ca="1">IF(BARAJAR_R="true",INDIRECT("Z_DG_34_"&amp;IDIOMA),INDIRECT("Z_DG_35_"&amp;IDIOMA))</f>
        <v>Las respuestas se barajarán.</v>
      </c>
      <c r="V40" s="6"/>
      <c r="W40" s="6"/>
      <c r="X40" s="101">
        <v>2</v>
      </c>
      <c r="Y40" s="302" t="b">
        <v>1</v>
      </c>
      <c r="Z40" s="291"/>
    </row>
    <row r="41" spans="1:29" s="3" customFormat="1" ht="15.75" hidden="1" x14ac:dyDescent="0.25">
      <c r="A41" s="199"/>
      <c r="B41" s="100">
        <v>4</v>
      </c>
      <c r="C41" s="6"/>
      <c r="D41" s="6"/>
      <c r="E41" s="6"/>
      <c r="F41" s="6"/>
      <c r="G41" s="6"/>
      <c r="H41" s="6"/>
      <c r="I41" s="6"/>
      <c r="J41" s="7" t="str">
        <f ca="1">INDIRECT("Z_DG_30_"&amp;IDIOMA)</f>
        <v>Emparejar</v>
      </c>
      <c r="K41" s="126" t="s">
        <v>155</v>
      </c>
      <c r="L41" s="168">
        <f t="shared" ca="1" si="0"/>
        <v>1</v>
      </c>
      <c r="M41" s="123">
        <f t="shared" ca="1" si="1"/>
        <v>0</v>
      </c>
      <c r="N41" s="124">
        <f t="shared" ca="1" si="2"/>
        <v>0</v>
      </c>
      <c r="O41" s="119">
        <v>-100</v>
      </c>
      <c r="P41" s="120">
        <v>401</v>
      </c>
      <c r="Q41" s="112">
        <v>123</v>
      </c>
      <c r="R41" s="6"/>
      <c r="S41" s="6"/>
      <c r="T41" s="6"/>
      <c r="U41" s="8" t="s">
        <v>12</v>
      </c>
      <c r="V41" s="6"/>
      <c r="W41" s="6"/>
      <c r="X41" s="101">
        <v>24</v>
      </c>
      <c r="Y41" s="3" t="str">
        <f ca="1">INDIRECT("Z_TX_71_"&amp;IDIOMA)</f>
        <v>No</v>
      </c>
      <c r="Z41" s="291"/>
    </row>
    <row r="42" spans="1:29" s="3" customFormat="1" hidden="1" x14ac:dyDescent="0.25">
      <c r="A42" s="6"/>
      <c r="B42" s="100">
        <v>5</v>
      </c>
      <c r="C42" s="6"/>
      <c r="D42" s="6"/>
      <c r="E42" s="6"/>
      <c r="F42" s="6"/>
      <c r="G42" s="6"/>
      <c r="H42" s="6"/>
      <c r="I42" s="6"/>
      <c r="J42" s="7" t="str">
        <f ca="1">INDIRECT("Z_DG_31_"&amp;IDIOMA)</f>
        <v>Respuesta Corta</v>
      </c>
      <c r="K42" s="126" t="s">
        <v>14</v>
      </c>
      <c r="L42" s="168">
        <f t="shared" ca="1" si="0"/>
        <v>1</v>
      </c>
      <c r="M42" s="123">
        <f t="shared" ca="1" si="1"/>
        <v>0</v>
      </c>
      <c r="N42" s="124">
        <f t="shared" ca="1" si="2"/>
        <v>0</v>
      </c>
      <c r="O42" s="119">
        <v>-100</v>
      </c>
      <c r="P42" s="120">
        <v>501</v>
      </c>
      <c r="Q42" s="112" t="s">
        <v>15</v>
      </c>
      <c r="R42" s="6"/>
      <c r="S42" s="6"/>
      <c r="T42" s="6"/>
      <c r="U42" s="8" t="s">
        <v>16</v>
      </c>
      <c r="V42" s="6"/>
      <c r="W42" s="6"/>
      <c r="X42" s="101">
        <v>24</v>
      </c>
      <c r="Y42" s="3" t="str">
        <f ca="1">INDIRECT("Z_TX_72_"&amp;IDIOMA)</f>
        <v>Sí, cambiar a gris.</v>
      </c>
      <c r="Z42" s="291"/>
    </row>
    <row r="43" spans="1:29" s="3" customFormat="1" hidden="1" x14ac:dyDescent="0.25">
      <c r="A43" s="6"/>
      <c r="B43" s="100">
        <v>6</v>
      </c>
      <c r="C43" s="6"/>
      <c r="D43" s="6"/>
      <c r="E43" s="6"/>
      <c r="F43" s="6"/>
      <c r="G43" s="6"/>
      <c r="H43" s="6"/>
      <c r="I43" s="6"/>
      <c r="J43" s="7" t="str">
        <f ca="1">INDIRECT("Z_DG_32_"&amp;IDIOMA)</f>
        <v>Palabra Perdida</v>
      </c>
      <c r="K43" s="126" t="s">
        <v>18</v>
      </c>
      <c r="L43" s="168">
        <f t="shared" ca="1" si="0"/>
        <v>1</v>
      </c>
      <c r="M43" s="123">
        <f t="shared" ca="1" si="1"/>
        <v>0</v>
      </c>
      <c r="N43" s="124">
        <f t="shared" ca="1" si="2"/>
        <v>0</v>
      </c>
      <c r="O43" s="119">
        <v>10</v>
      </c>
      <c r="P43" s="120">
        <v>601</v>
      </c>
      <c r="Q43" s="112" t="s">
        <v>19</v>
      </c>
      <c r="R43" s="6"/>
      <c r="S43" s="6"/>
      <c r="T43" s="6"/>
      <c r="U43" s="10" t="str">
        <f ca="1">INDIRECT("Z_DG_36_"&amp;IDIOMA)</f>
        <v>(una respuesta)</v>
      </c>
      <c r="V43" s="9"/>
      <c r="W43" s="6"/>
      <c r="X43" s="101">
        <v>24</v>
      </c>
      <c r="Y43" s="3" t="str">
        <f ca="1">INDIRECT("Z_TX_73_"&amp;IDIOMA)</f>
        <v>Sí, tachar en rojo.</v>
      </c>
      <c r="Z43" s="291"/>
    </row>
    <row r="44" spans="1:29" s="3" customFormat="1" hidden="1" x14ac:dyDescent="0.25">
      <c r="A44" s="6"/>
      <c r="B44" s="100">
        <v>7</v>
      </c>
      <c r="C44" s="6"/>
      <c r="D44" s="6"/>
      <c r="E44" s="6"/>
      <c r="F44" s="6"/>
      <c r="G44" s="6"/>
      <c r="H44" s="6"/>
      <c r="I44" s="6"/>
      <c r="J44" s="7" t="str">
        <f ca="1">INDIRECT("Z_DG_33_2_"&amp;IDIOMA)</f>
        <v>Ensayo</v>
      </c>
      <c r="K44" s="126" t="s">
        <v>1091</v>
      </c>
      <c r="L44" s="168">
        <f t="shared" ca="1" si="0"/>
        <v>1</v>
      </c>
      <c r="M44" s="123">
        <f t="shared" ca="1" si="1"/>
        <v>0</v>
      </c>
      <c r="N44" s="124">
        <f t="shared" ca="1" si="2"/>
        <v>0</v>
      </c>
      <c r="O44" s="119">
        <v>100</v>
      </c>
      <c r="P44" s="120">
        <v>701</v>
      </c>
      <c r="Q44" s="112"/>
      <c r="R44" s="6"/>
      <c r="S44" s="6"/>
      <c r="T44" s="6"/>
      <c r="U44" s="10" t="str">
        <f ca="1">INDIRECT("Z_DG_37_"&amp;IDIOMA)</f>
        <v>(varias respuestas)</v>
      </c>
      <c r="V44" s="9"/>
      <c r="W44" s="6"/>
      <c r="X44" s="101">
        <v>1</v>
      </c>
      <c r="Y44" s="3" t="str">
        <f ca="1">INDIRECT("Z_TX_69_"&amp;IDIOMA)</f>
        <v>Haga clic en las etiquetas de texto para alternar el color: negro/gris. &lt;br&gt;
Haga clic en los botones para seleccionar la respuesta.</v>
      </c>
      <c r="Z44" s="291"/>
    </row>
    <row r="45" spans="1:29" s="3" customFormat="1" ht="15.75" hidden="1" thickBot="1" x14ac:dyDescent="0.3">
      <c r="A45" s="6"/>
      <c r="B45" s="127">
        <v>8</v>
      </c>
      <c r="C45" s="114"/>
      <c r="D45" s="114"/>
      <c r="E45" s="114"/>
      <c r="F45" s="114"/>
      <c r="G45" s="114"/>
      <c r="H45" s="114"/>
      <c r="I45" s="114"/>
      <c r="J45" s="128" t="str">
        <f ca="1">INDIRECT("Z_DG_33_"&amp;IDIOMA)</f>
        <v>Cloze</v>
      </c>
      <c r="K45" s="129" t="s">
        <v>1204</v>
      </c>
      <c r="L45" s="169">
        <f t="shared" ca="1" si="0"/>
        <v>1</v>
      </c>
      <c r="M45" s="123">
        <f t="shared" ca="1" si="1"/>
        <v>0</v>
      </c>
      <c r="N45" s="124">
        <f t="shared" ca="1" si="2"/>
        <v>0</v>
      </c>
      <c r="O45" s="119">
        <v>-10</v>
      </c>
      <c r="P45" s="120">
        <v>801</v>
      </c>
      <c r="Q45" s="113"/>
      <c r="R45" s="114"/>
      <c r="S45" s="114"/>
      <c r="T45" s="114"/>
      <c r="U45" s="141"/>
      <c r="V45" s="115"/>
      <c r="W45" s="114"/>
      <c r="X45" s="116"/>
      <c r="Y45" s="3" t="str">
        <f ca="1">INDIRECT("Z_TX_70_"&amp;IDIOMA)</f>
        <v xml:space="preserve">Haga clic en las etiquetas de texto para alternar: normal/rojo ondulado. &lt;br&gt;
Haga clic en los botones para seleccionar la respuesta. </v>
      </c>
      <c r="Z45" s="291"/>
    </row>
    <row r="46" spans="1:29" s="3" customFormat="1" ht="15.75" hidden="1" thickBot="1" x14ac:dyDescent="0.3">
      <c r="A46" s="6"/>
      <c r="B46" s="102">
        <v>1</v>
      </c>
      <c r="C46" s="103"/>
      <c r="D46" s="103"/>
      <c r="E46" s="103"/>
      <c r="F46" s="103"/>
      <c r="G46" s="104" t="str">
        <f ca="1">UPPER(Tipo_Cuestionario_Nom)</f>
        <v xml:space="preserve">OPCIÓN MÚLTIPLE 1R </v>
      </c>
      <c r="H46" s="103"/>
      <c r="I46" s="103"/>
      <c r="J46" s="105" t="str">
        <f ca="1">VLOOKUP($B$46,$B$38:$O$45,9,0)</f>
        <v xml:space="preserve">Opción Múltiple 1R </v>
      </c>
      <c r="K46" s="106" t="str">
        <f>VLOOKUP($B$46,$B$38:$O$45,10,0)</f>
        <v>OM</v>
      </c>
      <c r="L46" s="499">
        <f ca="1">MAX(L38:L45)</f>
        <v>1</v>
      </c>
      <c r="M46" s="106">
        <f ca="1">VLOOKUP(Tipo_Cuestionario_Num,$B$38:$N$45,12,0)</f>
        <v>0</v>
      </c>
      <c r="N46" s="106">
        <f ca="1">VLOOKUP(Tipo_Cuestionario_Num,$B$38:$O$45,13,0)</f>
        <v>0</v>
      </c>
      <c r="O46" s="107">
        <f>N_FINAL-N_INICIAL+1</f>
        <v>1</v>
      </c>
      <c r="P46" s="108">
        <v>1</v>
      </c>
      <c r="Q46" s="109" t="s">
        <v>21</v>
      </c>
      <c r="R46" s="103"/>
      <c r="S46" s="103"/>
      <c r="T46" s="103"/>
      <c r="U46" s="103"/>
      <c r="V46" s="103"/>
      <c r="W46" s="103"/>
      <c r="X46" s="110">
        <f>VLOOKUP(Tipo_Cuestionario_Num,$B$38:$X$45,23,0)</f>
        <v>6</v>
      </c>
      <c r="Y46" s="3" t="str">
        <f ca="1">IF(Marcar_RI=Y42,Y44,Y45)</f>
        <v xml:space="preserve">Haga clic en las etiquetas de texto para alternar: normal/rojo ondulado. &lt;br&gt;
Haga clic en los botones para seleccionar la respuesta. </v>
      </c>
      <c r="Z46" s="291"/>
    </row>
    <row r="47" spans="1:29" s="3" customFormat="1" ht="15" hidden="1" customHeight="1" x14ac:dyDescent="0.25">
      <c r="B47" s="3">
        <v>1</v>
      </c>
      <c r="O47" s="5" t="s">
        <v>22</v>
      </c>
      <c r="P47" s="322">
        <f ca="1">SUM(N38:N45)</f>
        <v>0</v>
      </c>
      <c r="Y47" s="295" t="str">
        <f>"$Y$48:$Y$"&amp;67-COUNTIF(Y48:Y67,"")</f>
        <v>$Y$48:$Y$67</v>
      </c>
      <c r="Z47" s="291"/>
      <c r="AA47" s="295" t="str">
        <f>"$AA48:$AA$"&amp;59-COUNTIF(AA48:AA59,"")</f>
        <v>$AA48:$AA$55</v>
      </c>
    </row>
    <row r="48" spans="1:29" ht="15" hidden="1" customHeight="1" x14ac:dyDescent="0.25">
      <c r="Y48" s="654" t="str">
        <f>IF(Categ_01="","",Categ_01)</f>
        <v>T 01</v>
      </c>
      <c r="AA48" s="654" t="str">
        <f>IF(SubCat_01="","",SubCat_01)</f>
        <v>01_OM</v>
      </c>
    </row>
    <row r="49" spans="25:27" ht="15" hidden="1" customHeight="1" x14ac:dyDescent="0.25">
      <c r="Y49" s="654" t="str">
        <f>IF(Categ_02="","",Categ_02)</f>
        <v>T 02</v>
      </c>
      <c r="AA49" s="654" t="str">
        <f>IF(SubCat_02="","",SubCat_02)</f>
        <v>02_O2</v>
      </c>
    </row>
    <row r="50" spans="25:27" ht="15" hidden="1" customHeight="1" x14ac:dyDescent="0.25">
      <c r="Y50" s="654" t="str">
        <f>IF(Categ_03="","",Categ_03)</f>
        <v>T 03</v>
      </c>
      <c r="AA50" s="654" t="str">
        <f>IF(SubCat_03="","",SubCat_03)</f>
        <v>03_VF</v>
      </c>
    </row>
    <row r="51" spans="25:27" ht="15" hidden="1" customHeight="1" x14ac:dyDescent="0.25">
      <c r="Y51" s="654" t="str">
        <f>IF(Categ_04="","",Categ_04)</f>
        <v>T 04</v>
      </c>
      <c r="AA51" s="654" t="str">
        <f>IF(SubCat_04="","",SubCat_04)</f>
        <v>04_EM</v>
      </c>
    </row>
    <row r="52" spans="25:27" ht="15" hidden="1" customHeight="1" x14ac:dyDescent="0.25">
      <c r="Y52" s="654" t="str">
        <f>IF(Categ_05="","",Categ_05)</f>
        <v>T 05</v>
      </c>
      <c r="AA52" s="654" t="str">
        <f>IF(SubCat_05="","",SubCat_05)</f>
        <v>05_RC</v>
      </c>
    </row>
    <row r="53" spans="25:27" hidden="1" x14ac:dyDescent="0.25">
      <c r="Y53" s="654" t="str">
        <f>IF(Categ_06="","",Categ_06)</f>
        <v>T 06</v>
      </c>
      <c r="AA53" s="654" t="str">
        <f>IF(SubCat_06="","",SubCat_06)</f>
        <v>06_PP</v>
      </c>
    </row>
    <row r="54" spans="25:27" hidden="1" x14ac:dyDescent="0.25">
      <c r="Y54" s="654" t="str">
        <f>IF(Categ_07="","",Categ_07)</f>
        <v>T 07</v>
      </c>
      <c r="AA54" s="654" t="str">
        <f>IF(SubCat_07="","",SubCat_07)</f>
        <v>07_EN</v>
      </c>
    </row>
    <row r="55" spans="25:27" hidden="1" x14ac:dyDescent="0.25">
      <c r="Y55" s="654" t="str">
        <f>IF(Categ_08="","",Categ_08)</f>
        <v>T 08</v>
      </c>
      <c r="AA55" s="654" t="str">
        <f>IF(SubCat_08="","",SubCat_08)</f>
        <v>08_CL</v>
      </c>
    </row>
    <row r="56" spans="25:27" hidden="1" x14ac:dyDescent="0.25">
      <c r="Y56" s="654" t="str">
        <f>IF(Categ_09="","",Categ_09)</f>
        <v>T 09</v>
      </c>
      <c r="AA56" s="654" t="str">
        <f>IF(SubCat_09="","",SubCat_09)</f>
        <v/>
      </c>
    </row>
    <row r="57" spans="25:27" hidden="1" x14ac:dyDescent="0.25">
      <c r="Y57" s="654" t="str">
        <f>IF(Categ_10="","",Categ_10)</f>
        <v>T 10</v>
      </c>
      <c r="AA57" s="654" t="str">
        <f>IF(SubCat_10="","",SubCat_10)</f>
        <v/>
      </c>
    </row>
    <row r="58" spans="25:27" hidden="1" x14ac:dyDescent="0.25">
      <c r="Y58" s="654" t="str">
        <f>IF(Categ_11="","",Categ_11)</f>
        <v>T 11</v>
      </c>
      <c r="AA58" s="654" t="str">
        <f>IF(SubCat_11="","",SubCat_11)</f>
        <v/>
      </c>
    </row>
    <row r="59" spans="25:27" hidden="1" x14ac:dyDescent="0.25">
      <c r="Y59" s="654" t="str">
        <f>IF(Categ_12="","",Categ_12)</f>
        <v>T 12</v>
      </c>
      <c r="AA59" s="654" t="str">
        <f>IF(SubCat_12="","",SubCat_12)</f>
        <v/>
      </c>
    </row>
    <row r="60" spans="25:27" hidden="1" x14ac:dyDescent="0.25">
      <c r="Y60" s="654" t="str">
        <f>IF(Categ_13="","",Categ_13)</f>
        <v>T 13</v>
      </c>
    </row>
    <row r="61" spans="25:27" hidden="1" x14ac:dyDescent="0.25">
      <c r="Y61" s="654" t="str">
        <f>IF(Categ_14="","",Categ_14)</f>
        <v>T 14</v>
      </c>
    </row>
    <row r="62" spans="25:27" hidden="1" x14ac:dyDescent="0.25">
      <c r="Y62" s="654" t="str">
        <f>IF(Categ_15="","",Categ_15)</f>
        <v>T 15</v>
      </c>
    </row>
    <row r="63" spans="25:27" hidden="1" x14ac:dyDescent="0.25">
      <c r="Y63" s="654" t="str">
        <f>IF(Categ_16="","",Categ_16)</f>
        <v>T 16</v>
      </c>
    </row>
    <row r="64" spans="25:27" hidden="1" x14ac:dyDescent="0.25">
      <c r="Y64" s="654" t="str">
        <f>IF(Categ_17="","",Categ_17)</f>
        <v>T 17</v>
      </c>
    </row>
    <row r="65" spans="25:25" hidden="1" x14ac:dyDescent="0.25">
      <c r="Y65" s="654" t="str">
        <f>IF(Categ_18="","",Categ_18)</f>
        <v>T 18</v>
      </c>
    </row>
    <row r="66" spans="25:25" hidden="1" x14ac:dyDescent="0.25">
      <c r="Y66" s="654" t="str">
        <f>IF(Categ_19="","",Categ_19)</f>
        <v>T 19</v>
      </c>
    </row>
    <row r="67" spans="25:25" hidden="1" x14ac:dyDescent="0.25">
      <c r="Y67" s="654" t="str">
        <f>IF(Categ_20="","",Categ_20)</f>
        <v>T 20</v>
      </c>
    </row>
    <row r="68" spans="25:25" ht="5.0999999999999996" customHeight="1" thickTop="1" x14ac:dyDescent="0.25"/>
    <row r="69" spans="25:25" ht="15" customHeight="1" x14ac:dyDescent="0.25"/>
    <row r="70" spans="25:25" hidden="1" x14ac:dyDescent="0.25"/>
    <row r="71" spans="25:25" hidden="1" x14ac:dyDescent="0.25"/>
    <row r="72" spans="25:25" hidden="1" x14ac:dyDescent="0.25"/>
    <row r="73" spans="25:25" hidden="1" x14ac:dyDescent="0.25"/>
    <row r="74" spans="25:25" hidden="1" x14ac:dyDescent="0.25"/>
    <row r="75" spans="25:25" hidden="1" x14ac:dyDescent="0.25"/>
    <row r="76" spans="25:25" hidden="1" x14ac:dyDescent="0.25"/>
    <row r="77" spans="25:25" hidden="1" x14ac:dyDescent="0.25"/>
    <row r="78" spans="25:25" hidden="1" x14ac:dyDescent="0.25"/>
    <row r="79" spans="25:25" hidden="1" x14ac:dyDescent="0.25"/>
    <row r="80" spans="25:25" hidden="1" x14ac:dyDescent="0.25"/>
    <row r="81" hidden="1" x14ac:dyDescent="0.25"/>
    <row r="82" hidden="1" x14ac:dyDescent="0.25"/>
    <row r="83" hidden="1" x14ac:dyDescent="0.25"/>
    <row r="84" hidden="1" x14ac:dyDescent="0.25"/>
    <row r="85" hidden="1" x14ac:dyDescent="0.25"/>
    <row r="86" hidden="1" x14ac:dyDescent="0.25"/>
    <row r="87" hidden="1" x14ac:dyDescent="0.25"/>
    <row r="88" hidden="1" x14ac:dyDescent="0.25"/>
    <row r="89" hidden="1" x14ac:dyDescent="0.25"/>
    <row r="90" hidden="1" x14ac:dyDescent="0.25"/>
    <row r="91" hidden="1" x14ac:dyDescent="0.25"/>
    <row r="92" hidden="1" x14ac:dyDescent="0.25"/>
    <row r="93" hidden="1" x14ac:dyDescent="0.25"/>
    <row r="94" hidden="1" x14ac:dyDescent="0.25"/>
    <row r="95" hidden="1" x14ac:dyDescent="0.25"/>
    <row r="96" hidden="1" x14ac:dyDescent="0.25"/>
    <row r="97" hidden="1" x14ac:dyDescent="0.25"/>
    <row r="98" hidden="1" x14ac:dyDescent="0.25"/>
    <row r="99" hidden="1" x14ac:dyDescent="0.25"/>
    <row r="100" hidden="1" x14ac:dyDescent="0.25"/>
    <row r="101" hidden="1" x14ac:dyDescent="0.25"/>
    <row r="102" hidden="1" x14ac:dyDescent="0.25"/>
    <row r="103" hidden="1" x14ac:dyDescent="0.25"/>
    <row r="104" hidden="1" x14ac:dyDescent="0.25"/>
    <row r="105" hidden="1" x14ac:dyDescent="0.25"/>
    <row r="106" hidden="1" x14ac:dyDescent="0.25"/>
    <row r="107" hidden="1" x14ac:dyDescent="0.25"/>
    <row r="108" hidden="1" x14ac:dyDescent="0.25"/>
    <row r="109" hidden="1" x14ac:dyDescent="0.25"/>
    <row r="110" hidden="1" x14ac:dyDescent="0.25"/>
    <row r="111" hidden="1" x14ac:dyDescent="0.25"/>
    <row r="112" hidden="1" x14ac:dyDescent="0.25"/>
    <row r="113" hidden="1" x14ac:dyDescent="0.25"/>
    <row r="114" hidden="1" x14ac:dyDescent="0.25"/>
    <row r="115" hidden="1" x14ac:dyDescent="0.25"/>
    <row r="116" hidden="1" x14ac:dyDescent="0.25"/>
    <row r="117" hidden="1" x14ac:dyDescent="0.25"/>
    <row r="118" hidden="1" x14ac:dyDescent="0.25"/>
    <row r="119" hidden="1" x14ac:dyDescent="0.25"/>
    <row r="120" hidden="1" x14ac:dyDescent="0.25"/>
    <row r="121" hidden="1" x14ac:dyDescent="0.25"/>
    <row r="122" hidden="1" x14ac:dyDescent="0.25"/>
    <row r="123" hidden="1" x14ac:dyDescent="0.25"/>
    <row r="124" hidden="1" x14ac:dyDescent="0.25"/>
    <row r="125" hidden="1" x14ac:dyDescent="0.25"/>
    <row r="126" hidden="1" x14ac:dyDescent="0.25"/>
    <row r="127" hidden="1" x14ac:dyDescent="0.25"/>
  </sheetData>
  <sheetProtection algorithmName="SHA-512" hashValue="01p8G6HmbdqfTlZT6tWl3ys3DjiUvnHqA/1976HECqtLdykECpfRmkrLB7vAiiyh6R0WQFYRNtivDdbUQJanMw==" saltValue="xSOaxzNTjg5s/mHCwMR8zg==" spinCount="100000" sheet="1" objects="1" scenarios="1" selectLockedCells="1"/>
  <mergeCells count="53">
    <mergeCell ref="A25:A27"/>
    <mergeCell ref="K15:Q15"/>
    <mergeCell ref="S29:W29"/>
    <mergeCell ref="A29:A31"/>
    <mergeCell ref="Q13:V13"/>
    <mergeCell ref="B17:J17"/>
    <mergeCell ref="B19:J19"/>
    <mergeCell ref="B21:J21"/>
    <mergeCell ref="B27:J27"/>
    <mergeCell ref="B29:J29"/>
    <mergeCell ref="B23:J23"/>
    <mergeCell ref="B25:J25"/>
    <mergeCell ref="M23:Q25"/>
    <mergeCell ref="B31:O31"/>
    <mergeCell ref="A1:A3"/>
    <mergeCell ref="K21:Q21"/>
    <mergeCell ref="K19:Q19"/>
    <mergeCell ref="S9:W9"/>
    <mergeCell ref="K5:O5"/>
    <mergeCell ref="K7:O7"/>
    <mergeCell ref="K9:O9"/>
    <mergeCell ref="R5:W5"/>
    <mergeCell ref="C5:D8"/>
    <mergeCell ref="C11:D13"/>
    <mergeCell ref="S7:W7"/>
    <mergeCell ref="E5:J5"/>
    <mergeCell ref="E7:J7"/>
    <mergeCell ref="E9:J9"/>
    <mergeCell ref="E13:J13"/>
    <mergeCell ref="Y1:Y3"/>
    <mergeCell ref="K17:Q17"/>
    <mergeCell ref="S27:W27"/>
    <mergeCell ref="U2:W2"/>
    <mergeCell ref="S17:W17"/>
    <mergeCell ref="S19:W19"/>
    <mergeCell ref="S21:W21"/>
    <mergeCell ref="S23:W23"/>
    <mergeCell ref="S25:W25"/>
    <mergeCell ref="P11:R11"/>
    <mergeCell ref="P9:R9"/>
    <mergeCell ref="M27:Q29"/>
    <mergeCell ref="B1:O3"/>
    <mergeCell ref="P2:S2"/>
    <mergeCell ref="P5:Q5"/>
    <mergeCell ref="D33:Q35"/>
    <mergeCell ref="P7:R7"/>
    <mergeCell ref="T11:V11"/>
    <mergeCell ref="B15:J15"/>
    <mergeCell ref="E11:N11"/>
    <mergeCell ref="K13:P13"/>
    <mergeCell ref="S31:X36"/>
    <mergeCell ref="P31:Q31"/>
    <mergeCell ref="R15:V15"/>
  </mergeCells>
  <conditionalFormatting sqref="K29">
    <cfRule type="cellIs" dxfId="668" priority="56" operator="equal">
      <formula>""</formula>
    </cfRule>
  </conditionalFormatting>
  <conditionalFormatting sqref="K27">
    <cfRule type="cellIs" dxfId="667" priority="100" operator="equal">
      <formula>""</formula>
    </cfRule>
  </conditionalFormatting>
  <conditionalFormatting sqref="R5">
    <cfRule type="expression" dxfId="666" priority="48">
      <formula>OR(P_Min&lt;N_INICIAL,P_Max&gt;N_FINAL)</formula>
    </cfRule>
  </conditionalFormatting>
  <conditionalFormatting sqref="K25">
    <cfRule type="cellIs" dxfId="665" priority="166" operator="lessThan">
      <formula>$M$46</formula>
    </cfRule>
    <cfRule type="cellIs" dxfId="664" priority="167" operator="greaterThan">
      <formula>$N$46</formula>
    </cfRule>
  </conditionalFormatting>
  <conditionalFormatting sqref="K23">
    <cfRule type="cellIs" dxfId="663" priority="164" operator="greaterThan">
      <formula>$N$46</formula>
    </cfRule>
    <cfRule type="cellIs" dxfId="662" priority="165" operator="lessThan">
      <formula>M46</formula>
    </cfRule>
  </conditionalFormatting>
  <conditionalFormatting sqref="M23">
    <cfRule type="cellIs" dxfId="661" priority="163" stopIfTrue="1" operator="notEqual">
      <formula>""</formula>
    </cfRule>
  </conditionalFormatting>
  <conditionalFormatting sqref="P31:Q31 B31 K29 B29">
    <cfRule type="expression" dxfId="660" priority="200" stopIfTrue="1">
      <formula>AND($B$46&lt;&gt;$B$38,$B$46&lt;&gt;$B$39)</formula>
    </cfRule>
  </conditionalFormatting>
  <conditionalFormatting sqref="K27 B27">
    <cfRule type="expression" dxfId="659" priority="202" stopIfTrue="1">
      <formula>AND($B$46&lt;&gt;$B$38,$B$46&lt;&gt;$B$41,$B$46&lt;&gt;$B$43,$B$46&lt;&gt;$B$39)</formula>
    </cfRule>
  </conditionalFormatting>
  <conditionalFormatting sqref="Y7">
    <cfRule type="expression" dxfId="658" priority="46">
      <formula>AND(Y5="",Y7&lt;&gt;"")</formula>
    </cfRule>
  </conditionalFormatting>
  <conditionalFormatting sqref="Y9">
    <cfRule type="expression" dxfId="657" priority="44">
      <formula>AND(Y7="",Y9&lt;&gt;"")</formula>
    </cfRule>
  </conditionalFormatting>
  <conditionalFormatting sqref="Y11">
    <cfRule type="expression" dxfId="656" priority="43">
      <formula>AND(Y9="",Y11&lt;&gt;"")</formula>
    </cfRule>
  </conditionalFormatting>
  <conditionalFormatting sqref="Y13">
    <cfRule type="expression" dxfId="655" priority="42">
      <formula>AND(Y11="",Y13&lt;&gt;"")</formula>
    </cfRule>
  </conditionalFormatting>
  <conditionalFormatting sqref="Y15">
    <cfRule type="expression" dxfId="654" priority="41">
      <formula>AND(Y13="",Y15&lt;&gt;"")</formula>
    </cfRule>
  </conditionalFormatting>
  <conditionalFormatting sqref="Y17">
    <cfRule type="expression" dxfId="653" priority="40">
      <formula>AND(Y15="",Y17&lt;&gt;"")</formula>
    </cfRule>
  </conditionalFormatting>
  <conditionalFormatting sqref="Y19">
    <cfRule type="expression" dxfId="652" priority="39">
      <formula>AND(Y17="",Y19&lt;&gt;"")</formula>
    </cfRule>
  </conditionalFormatting>
  <conditionalFormatting sqref="Y21">
    <cfRule type="expression" dxfId="651" priority="38">
      <formula>AND(Y19="",Y21&lt;&gt;"")</formula>
    </cfRule>
  </conditionalFormatting>
  <conditionalFormatting sqref="Y23">
    <cfRule type="expression" dxfId="650" priority="37">
      <formula>AND(Y21="",Y23&lt;&gt;"")</formula>
    </cfRule>
  </conditionalFormatting>
  <conditionalFormatting sqref="AA5">
    <cfRule type="expression" dxfId="649" priority="36">
      <formula>AND(Y23="",AA5&lt;&gt;"")</formula>
    </cfRule>
  </conditionalFormatting>
  <conditionalFormatting sqref="AA7">
    <cfRule type="expression" dxfId="648" priority="35">
      <formula>AND(AA5="",AA7&lt;&gt;"")</formula>
    </cfRule>
  </conditionalFormatting>
  <conditionalFormatting sqref="AA9">
    <cfRule type="expression" dxfId="647" priority="34">
      <formula>AND(AA7="",AA9&lt;&gt;"")</formula>
    </cfRule>
  </conditionalFormatting>
  <conditionalFormatting sqref="AA11">
    <cfRule type="expression" dxfId="646" priority="33">
      <formula>AND(AA9="",AA11&lt;&gt;"")</formula>
    </cfRule>
  </conditionalFormatting>
  <conditionalFormatting sqref="AA13">
    <cfRule type="expression" dxfId="645" priority="32">
      <formula>AND(AA11="",AA13&lt;&gt;"")</formula>
    </cfRule>
  </conditionalFormatting>
  <conditionalFormatting sqref="AA15">
    <cfRule type="expression" dxfId="644" priority="31">
      <formula>AND(AA13="",AA15&lt;&gt;"")</formula>
    </cfRule>
  </conditionalFormatting>
  <conditionalFormatting sqref="AA17">
    <cfRule type="expression" dxfId="643" priority="30">
      <formula>AND(AA15="",AA17&lt;&gt;"")</formula>
    </cfRule>
  </conditionalFormatting>
  <conditionalFormatting sqref="AA19">
    <cfRule type="expression" dxfId="642" priority="29">
      <formula>AND(AA17="",AA19&lt;&gt;"")</formula>
    </cfRule>
  </conditionalFormatting>
  <conditionalFormatting sqref="AA21">
    <cfRule type="expression" dxfId="641" priority="28">
      <formula>AND(AA19="",AA21&lt;&gt;"")</formula>
    </cfRule>
  </conditionalFormatting>
  <conditionalFormatting sqref="AA23">
    <cfRule type="expression" dxfId="640" priority="27">
      <formula>AND(AA21="",AA23&lt;&gt;"")</formula>
    </cfRule>
  </conditionalFormatting>
  <conditionalFormatting sqref="Y27">
    <cfRule type="expression" dxfId="639" priority="26">
      <formula>AND(Y25="",Y27&lt;&gt;"")</formula>
    </cfRule>
  </conditionalFormatting>
  <conditionalFormatting sqref="Y29">
    <cfRule type="expression" dxfId="638" priority="25">
      <formula>AND(Y27="",Y29&lt;&gt;"")</formula>
    </cfRule>
  </conditionalFormatting>
  <conditionalFormatting sqref="Y31">
    <cfRule type="expression" dxfId="637" priority="24">
      <formula>AND(Y29="",Y31&lt;&gt;"")</formula>
    </cfRule>
  </conditionalFormatting>
  <conditionalFormatting sqref="Y33">
    <cfRule type="expression" dxfId="636" priority="23">
      <formula>AND(Y31="",Y33&lt;&gt;"")</formula>
    </cfRule>
  </conditionalFormatting>
  <conditionalFormatting sqref="Y35">
    <cfRule type="expression" dxfId="635" priority="22">
      <formula>AND(Y33="",Y35&lt;&gt;"")</formula>
    </cfRule>
  </conditionalFormatting>
  <conditionalFormatting sqref="AA27">
    <cfRule type="expression" dxfId="634" priority="20">
      <formula>AND(AA25="",AA27&lt;&gt;"")</formula>
    </cfRule>
  </conditionalFormatting>
  <conditionalFormatting sqref="AA29">
    <cfRule type="expression" dxfId="633" priority="19">
      <formula>AND(AA27="",AA29&lt;&gt;"")</formula>
    </cfRule>
  </conditionalFormatting>
  <conditionalFormatting sqref="AA31">
    <cfRule type="expression" dxfId="632" priority="18">
      <formula>AND(AA29="",AA31&lt;&gt;"")</formula>
    </cfRule>
  </conditionalFormatting>
  <conditionalFormatting sqref="AA33">
    <cfRule type="expression" dxfId="631" priority="17">
      <formula>AND(AA31="",AA33&lt;&gt;"")</formula>
    </cfRule>
  </conditionalFormatting>
  <conditionalFormatting sqref="AA35">
    <cfRule type="expression" dxfId="630" priority="16">
      <formula>AND(AA33="",AA35&lt;&gt;"")</formula>
    </cfRule>
  </conditionalFormatting>
  <conditionalFormatting sqref="AA25">
    <cfRule type="expression" dxfId="629" priority="15">
      <formula>AND(Y35="",AA25&lt;&gt;"")</formula>
    </cfRule>
  </conditionalFormatting>
  <conditionalFormatting sqref="P31">
    <cfRule type="cellIs" dxfId="628" priority="3" operator="equal">
      <formula>""</formula>
    </cfRule>
  </conditionalFormatting>
  <conditionalFormatting sqref="AA2">
    <cfRule type="expression" dxfId="627" priority="2">
      <formula>$Z$2="OK"</formula>
    </cfRule>
  </conditionalFormatting>
  <conditionalFormatting sqref="M27:Q29">
    <cfRule type="expression" dxfId="626" priority="1566">
      <formula>$M$23=""</formula>
    </cfRule>
  </conditionalFormatting>
  <conditionalFormatting sqref="D33:Q35">
    <cfRule type="expression" dxfId="625" priority="1">
      <formula>OR($P$31="NO",$K$5&gt;2)</formula>
    </cfRule>
  </conditionalFormatting>
  <dataValidations xWindow="88" yWindow="247" count="18">
    <dataValidation type="whole" allowBlank="1" showErrorMessage="1" promptTitle="Puntuación" prompt="Puntos que va a tener cada pregunta. Por defecto MOODLE pone uno, pues este valor se puede cambiar cuando se crea el CUESTIONARIO." sqref="S11">
      <formula1>1</formula1>
      <formula2>100</formula2>
    </dataValidation>
    <dataValidation type="list" allowBlank="1" showErrorMessage="1" errorTitle="Error_Oculto" error="Solo vale 0 o 1" promptTitle="OCULTO" prompt="Valor para visible y oculto, por defecto hay que poner 0." sqref="W11">
      <formula1>"0,1"</formula1>
    </dataValidation>
    <dataValidation allowBlank="1" showErrorMessage="1" promptTitle="Contraseña" prompt="Si introduces una contraseña o código, debes comunicarlo a los alumnos que van a rellenar el cuestionario." sqref="W13"/>
    <dataValidation type="list" showErrorMessage="1" errorTitle="Error_cuestionario" error="Debes escribir TRUE o FALSE" promptTitle="Barajar respuesta" prompt="Si quieres barajar las respuestas, selecciona true." sqref="K27">
      <formula1>$U$41:$U$42</formula1>
    </dataValidation>
    <dataValidation allowBlank="1" showErrorMessage="1" errorTitle="Error" error="El número inicial de las preguntas a exportar debe ser mayor que el menot número de preguntas._x000a__x000a_PULSA ESC para continuar." promptTitle="Nº Inicial" prompt="Debes introducir el nº de la primera pregunta que quieres exportar." sqref="K23"/>
    <dataValidation allowBlank="1" showErrorMessage="1" promptTitle="RETROALIMENTACIÓN" prompt="Escribe la respuesta genérica que quieres que se muestre al terminar el cuestionario." sqref="K13"/>
    <dataValidation allowBlank="1" showErrorMessage="1" promptTitle="Descripción de la SUBCATEGORÍA" prompt="Si quieres escribir algo sobre la categoría, sólo es un comentario. Si no quieres escribir nada, lo puedes dejar en blanco." sqref="S9:W9 S7"/>
    <dataValidation type="list" allowBlank="1" promptTitle="Penalización del INTENTO" prompt="Penalización para sucesivos intentos. Si no quieres penalizar las respuestas incorrectas, lo puedes configurar en el cuestionario." sqref="O11">
      <formula1>"+1/2,+1/3,+1/4,+1/5,+1/6,+1/7,+1/8"</formula1>
    </dataValidation>
    <dataValidation type="list" showErrorMessage="1" errorTitle="Error_tipo_numeracion" error="Debes seleccionar alguno de los datos de la lista._x000a__x000a_Presiona ESC para continuar." promptTitle="Tipo numeración" prompt="Seleccione el tipo de numeración de las respuestas, si no quiere numeración, seleccione NONE." sqref="K29">
      <formula1>$Q$38:$Q$43</formula1>
    </dataValidation>
    <dataValidation allowBlank="1" showErrorMessage="1" promptTitle="Respuesta Correcta" prompt="Escribe lo que quieres que se muestre al responder correctamente. Si no quieres poner nada, déjalo en blanco." sqref="K15"/>
    <dataValidation allowBlank="1" showErrorMessage="1" promptTitle="Respuesta no del todo correcta" prompt="Escribe lo que quieres que se muestre al responder de forma parcialmente correcta. Si no quieres poner nada, déjalo en blanco." sqref="K17"/>
    <dataValidation allowBlank="1" showErrorMessage="1" promptTitle="Respuesta Incorrecta" prompt="Escribe lo que quieres que se muestre al responder de manera incorrecta. Si no quieres poner nada, déjalo en blanco." sqref="K19"/>
    <dataValidation type="textLength" allowBlank="1" showErrorMessage="1" errorTitle="Erro_prefijo" error="El prefijo no es recomendable que sea muy largo, reducelo." promptTitle="Prefijo" prompt="Prefijo que tendrán todas las preguntas del cuestionario. Se numerarán corelativamente con ese prefijo y así te ayuda a tener las preguntas ordenadas. Si no quires ningún prefijo, lo puedes dejar en blanco." sqref="K21">
      <formula1>1</formula1>
      <formula2>15</formula2>
    </dataValidation>
    <dataValidation type="list" showErrorMessage="1" errorTitle="Error_cuestionario" error="Debes escribir TRUE o FALSE" promptTitle="Barajar respuesta" prompt="Si quieres barajar las respuestas, selecciona true." sqref="P31">
      <formula1>$Y$41:$Y$43</formula1>
    </dataValidation>
    <dataValidation allowBlank="1" showErrorMessage="1" errorTitle="Error_U_P" error="El número máximo de preguntas a exportar debe ser menor que el máximo de preguntas que hay._x000a__x000a_Pulsa ESC para continuar." promptTitle="Nº Final pregunta" prompt="Introduce el nº de la última pregunta que quieres exportar al cuestionario." sqref="K25"/>
    <dataValidation type="list" allowBlank="1" showInputMessage="1" sqref="D33:Q35">
      <formula1>$Y$46</formula1>
    </dataValidation>
    <dataValidation type="list" errorStyle="information" allowBlank="1" promptTitle="Título de la CATEGORÍA" prompt="Si quieres crear una CATEGORÍA para las preguntas. Si no, lo dejas en blanco y las preg. _x000a_Puedes crear tu lista desplegable o escribir el nombre que quieras." sqref="K7">
      <formula1>INDIRECT($Y$47)</formula1>
    </dataValidation>
    <dataValidation type="list" errorStyle="information" allowBlank="1" promptTitle="Título de la SUBCATEGORÍA" prompt="Si quieres crear una subcatergoría para las preguntas. Si no, lo dejas en blanco. Puedes elegir de la lista desplegable o escribir el nombre que quieras._x000a_Para incluir más subcategorías, debes escribir el símolo &quot;/&quot;:_x000a_Ej.: &quot;subcat1/subcat2/subcat3&quot; " sqref="K9">
      <formula1>INDIRECT($AA$47)</formula1>
    </dataValidation>
  </dataValidations>
  <pageMargins left="0.7" right="0.7" top="0.75" bottom="0.75" header="0.3" footer="0.3"/>
  <pageSetup paperSize="9" orientation="portrait" horizontalDpi="1200" verticalDpi="1200" r:id="rId1"/>
  <drawing r:id="rId2"/>
  <legacyDrawing r:id="rId3"/>
  <mc:AlternateContent xmlns:mc="http://schemas.openxmlformats.org/markup-compatibility/2006">
    <mc:Choice Requires="x14">
      <controls>
        <mc:AlternateContent xmlns:mc="http://schemas.openxmlformats.org/markup-compatibility/2006">
          <mc:Choice Requires="x14">
            <control shapeId="2051" r:id="rId4" name="Caja Tipos de Preguntas">
              <controlPr defaultSize="0" autoLine="0" autoPict="0" macro="[0]!Desbloquea_Bloquea">
                <anchor moveWithCells="1">
                  <from>
                    <xdr:col>10</xdr:col>
                    <xdr:colOff>0</xdr:colOff>
                    <xdr:row>4</xdr:row>
                    <xdr:rowOff>0</xdr:rowOff>
                  </from>
                  <to>
                    <xdr:col>15</xdr:col>
                    <xdr:colOff>9525</xdr:colOff>
                    <xdr:row>5</xdr:row>
                    <xdr:rowOff>9525</xdr:rowOff>
                  </to>
                </anchor>
              </controlPr>
            </control>
          </mc:Choice>
        </mc:AlternateContent>
        <mc:AlternateContent xmlns:mc="http://schemas.openxmlformats.org/markup-compatibility/2006">
          <mc:Choice Requires="x14">
            <control shapeId="2057" r:id="rId5" name="Contador FINAL">
              <controlPr defaultSize="0" autoPict="0" macro="[0]!Cambio_N_DATOS_GENERALES" altText="Para consultar los datos de cada pregunta.">
                <anchor moveWithCells="1" sizeWithCells="1">
                  <from>
                    <xdr:col>10</xdr:col>
                    <xdr:colOff>333375</xdr:colOff>
                    <xdr:row>24</xdr:row>
                    <xdr:rowOff>0</xdr:rowOff>
                  </from>
                  <to>
                    <xdr:col>11</xdr:col>
                    <xdr:colOff>38100</xdr:colOff>
                    <xdr:row>25</xdr:row>
                    <xdr:rowOff>9525</xdr:rowOff>
                  </to>
                </anchor>
              </controlPr>
            </control>
          </mc:Choice>
        </mc:AlternateContent>
        <mc:AlternateContent xmlns:mc="http://schemas.openxmlformats.org/markup-compatibility/2006">
          <mc:Choice Requires="x14">
            <control shapeId="2058" r:id="rId6" name="Contador INICIAL">
              <controlPr defaultSize="0" autoPict="0" macro="[0]!Cambio_N_DATOS_GENERALES" altText="Para consultar los datos de cada pregunta.">
                <anchor moveWithCells="1" sizeWithCells="1">
                  <from>
                    <xdr:col>10</xdr:col>
                    <xdr:colOff>333375</xdr:colOff>
                    <xdr:row>21</xdr:row>
                    <xdr:rowOff>76200</xdr:rowOff>
                  </from>
                  <to>
                    <xdr:col>11</xdr:col>
                    <xdr:colOff>38100</xdr:colOff>
                    <xdr:row>23</xdr:row>
                    <xdr:rowOff>9525</xdr:rowOff>
                  </to>
                </anchor>
              </controlPr>
            </control>
          </mc:Choice>
        </mc:AlternateContent>
        <mc:AlternateContent xmlns:mc="http://schemas.openxmlformats.org/markup-compatibility/2006">
          <mc:Choice Requires="x14">
            <control shapeId="2060" r:id="rId7" name="Box CENTRAR">
              <controlPr defaultSize="0" autoFill="0" autoLine="0" autoPict="0">
                <anchor moveWithCells="1">
                  <from>
                    <xdr:col>22</xdr:col>
                    <xdr:colOff>47625</xdr:colOff>
                    <xdr:row>14</xdr:row>
                    <xdr:rowOff>9525</xdr:rowOff>
                  </from>
                  <to>
                    <xdr:col>22</xdr:col>
                    <xdr:colOff>285750</xdr:colOff>
                    <xdr:row>15</xdr:row>
                    <xdr:rowOff>0</xdr:rowOff>
                  </to>
                </anchor>
              </controlPr>
            </control>
          </mc:Choice>
        </mc:AlternateContent>
      </controls>
    </mc:Choice>
  </mc:AlternateContent>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Hoja_11">
    <tabColor rgb="FF005877"/>
    <pageSetUpPr fitToPage="1"/>
  </sheetPr>
  <dimension ref="A1:AZ127"/>
  <sheetViews>
    <sheetView showGridLines="0" showRowColHeaders="0" zoomScale="140" zoomScaleNormal="140" workbookViewId="0">
      <pane xSplit="38" ySplit="73" topLeftCell="AM74" activePane="bottomRight" state="frozen"/>
      <selection activeCell="K7" sqref="K7:O7"/>
      <selection pane="topRight" activeCell="K7" sqref="K7:O7"/>
      <selection pane="bottomLeft" activeCell="K7" sqref="K7:O7"/>
      <selection pane="bottomRight" activeCell="H9" sqref="H9:M9"/>
    </sheetView>
  </sheetViews>
  <sheetFormatPr baseColWidth="10" defaultColWidth="0" defaultRowHeight="15" zeroHeight="1" x14ac:dyDescent="0.25"/>
  <cols>
    <col min="1" max="1" width="10.7109375" customWidth="1"/>
    <col min="2" max="2" width="2.7109375" style="4" customWidth="1"/>
    <col min="3" max="23" width="5.7109375" style="4" customWidth="1"/>
    <col min="24" max="24" width="2.7109375" style="4" customWidth="1"/>
    <col min="25" max="25" width="10.7109375" style="93" customWidth="1"/>
    <col min="26" max="26" width="2.7109375" style="4" customWidth="1"/>
    <col min="27" max="27" width="10.7109375" style="4" customWidth="1"/>
    <col min="28" max="28" width="2.7109375" style="4" customWidth="1"/>
    <col min="29" max="52" width="5.7109375" style="4" hidden="1" customWidth="1"/>
    <col min="53" max="16384" width="11.42578125" style="4" hidden="1"/>
  </cols>
  <sheetData>
    <row r="1" spans="1:34" ht="2.25" customHeight="1" thickTop="1" x14ac:dyDescent="0.25">
      <c r="A1" s="737" t="str">
        <f ca="1">'DATOS GENERALES'!A1</f>
        <v>CÓDIGOS 
ESPECIALES</v>
      </c>
      <c r="B1" s="776" t="str">
        <f ca="1">APP&amp;" - " &amp;Tipo_1</f>
        <v xml:space="preserve">FastTest PlugIn - Opción Múltiple 1R </v>
      </c>
      <c r="C1" s="777"/>
      <c r="D1" s="777"/>
      <c r="E1" s="777"/>
      <c r="F1" s="777"/>
      <c r="G1" s="777"/>
      <c r="H1" s="777"/>
      <c r="I1" s="777"/>
      <c r="J1" s="777"/>
      <c r="K1" s="777"/>
      <c r="L1" s="172"/>
      <c r="M1" s="172"/>
      <c r="N1" s="172"/>
      <c r="O1" s="172"/>
      <c r="P1" s="172"/>
      <c r="Q1" s="172"/>
      <c r="R1" s="172"/>
      <c r="S1" s="172"/>
      <c r="T1" s="172"/>
      <c r="U1" s="172"/>
      <c r="V1" s="172"/>
      <c r="W1" s="172"/>
      <c r="X1" s="173"/>
      <c r="Y1" s="713" t="str">
        <f ca="1">'DATOS GENERALES'!Y1</f>
        <v>NO USAR CORTAR
[Ctrl + X]</v>
      </c>
      <c r="AB1" s="4">
        <f>COUNTA(Q7,H9,H11,H17,Q17,T17,H19,Q19,T19,H21,Q21,T21,H23,Q23,T23,H25,Q25,T25,H27,Q27,T27,G33,M33,G35,M35)</f>
        <v>0</v>
      </c>
      <c r="AC1" s="590" t="str">
        <f>IFERROR(HLOOKUP(AC4,$AB$4:AB4,1,0),"OK")</f>
        <v>OK</v>
      </c>
      <c r="AD1" s="590"/>
    </row>
    <row r="2" spans="1:34" ht="24.95" customHeight="1" x14ac:dyDescent="0.25">
      <c r="A2" s="738"/>
      <c r="B2" s="778"/>
      <c r="C2" s="779"/>
      <c r="D2" s="779"/>
      <c r="E2" s="779"/>
      <c r="F2" s="779"/>
      <c r="G2" s="779"/>
      <c r="H2" s="779"/>
      <c r="I2" s="779"/>
      <c r="J2" s="779"/>
      <c r="K2" s="779"/>
      <c r="L2" s="760" t="str">
        <f ca="1">INDIRECT("Z_MS_01_"&amp;IDIOMA)</f>
        <v>DATOS 
GENERALES</v>
      </c>
      <c r="M2" s="761"/>
      <c r="N2" s="760" t="str">
        <f ca="1">INDIRECT("Z_MS_02_"&amp;IDIOMA)</f>
        <v>BANCO 
PREGUNTAS</v>
      </c>
      <c r="O2" s="761"/>
      <c r="P2" s="760" t="str">
        <f ca="1">INDIRECT("Z_MS_03_"&amp;IDIOMA)</f>
        <v>LIMPIAR 
DATOS</v>
      </c>
      <c r="Q2" s="761"/>
      <c r="R2" s="760" t="str">
        <f ca="1">INDIRECT("Z_MS_04_"&amp;IDIOMA)</f>
        <v>GUARDAR 
PREGUNTAS</v>
      </c>
      <c r="S2" s="761"/>
      <c r="T2" s="760" t="str">
        <f ca="1">INDIRECT("Z_MS_05_"&amp;IDIOMA)</f>
        <v>BORRAR 
PREGUNTAS</v>
      </c>
      <c r="U2" s="761"/>
      <c r="V2" s="760" t="str">
        <f ca="1">INDIRECT("Z_MS_06_"&amp;IDIOMA)</f>
        <v>DAR 
FORMATO</v>
      </c>
      <c r="W2" s="761"/>
      <c r="X2" s="211" t="s">
        <v>129</v>
      </c>
      <c r="Y2" s="714"/>
      <c r="Z2" s="300" t="s">
        <v>1310</v>
      </c>
      <c r="AA2" s="313" t="str">
        <f ca="1">INDIRECT("Z_MS_07_"&amp;IDIOMA)</f>
        <v>BORRAR VARIABLES</v>
      </c>
      <c r="AB2" s="581">
        <f>COUNTA(Y5:Y35)+COUNTA(AA5:AA35)</f>
        <v>0</v>
      </c>
      <c r="AC2" s="590">
        <f>COUNTA(AC5:AC36)</f>
        <v>0</v>
      </c>
      <c r="AD2" s="590"/>
      <c r="AE2" s="580"/>
      <c r="AF2" s="580"/>
      <c r="AG2" s="580"/>
      <c r="AH2" s="580"/>
    </row>
    <row r="3" spans="1:34" ht="2.25" customHeight="1" thickBot="1" x14ac:dyDescent="0.3">
      <c r="A3" s="739"/>
      <c r="B3" s="778"/>
      <c r="C3" s="779"/>
      <c r="D3" s="779"/>
      <c r="E3" s="779"/>
      <c r="F3" s="779"/>
      <c r="G3" s="779"/>
      <c r="H3" s="779"/>
      <c r="I3" s="779"/>
      <c r="J3" s="779"/>
      <c r="K3" s="779"/>
      <c r="L3" s="187"/>
      <c r="M3" s="188"/>
      <c r="N3" s="189"/>
      <c r="O3" s="190"/>
      <c r="P3" s="189"/>
      <c r="Q3" s="190"/>
      <c r="R3" s="189"/>
      <c r="S3" s="190"/>
      <c r="T3" s="189"/>
      <c r="U3" s="190"/>
      <c r="V3" s="189"/>
      <c r="W3" s="190"/>
      <c r="X3" s="191"/>
      <c r="Y3" s="715"/>
      <c r="AB3" s="583" t="s">
        <v>18754</v>
      </c>
      <c r="AC3" s="590">
        <f>COUNTA(AC39:AC79)</f>
        <v>0</v>
      </c>
      <c r="AD3" s="590"/>
    </row>
    <row r="4" spans="1:34" ht="6" customHeight="1" thickBot="1" x14ac:dyDescent="0.3">
      <c r="A4" s="192"/>
      <c r="B4" s="75"/>
      <c r="C4" s="77"/>
      <c r="D4" s="77"/>
      <c r="E4" s="77"/>
      <c r="F4" s="77"/>
      <c r="G4" s="77"/>
      <c r="H4" s="78"/>
      <c r="I4" s="79"/>
      <c r="J4" s="79"/>
      <c r="K4" s="79"/>
      <c r="L4" s="79"/>
      <c r="M4" s="752"/>
      <c r="N4" s="79"/>
      <c r="O4" s="79"/>
      <c r="P4" s="79"/>
      <c r="Q4" s="79"/>
      <c r="R4" s="79"/>
      <c r="S4" s="79"/>
      <c r="T4" s="78"/>
      <c r="U4" s="78"/>
      <c r="V4" s="78"/>
      <c r="W4" s="78"/>
      <c r="X4" s="80"/>
      <c r="Y4" s="196"/>
      <c r="AB4" s="583" t="s">
        <v>18755</v>
      </c>
      <c r="AC4" s="590">
        <f>COLUMN()+COUNTA(AD4:XFD4)</f>
        <v>29</v>
      </c>
    </row>
    <row r="5" spans="1:34" x14ac:dyDescent="0.25">
      <c r="A5" s="194" t="str">
        <f ca="1">'DATOS GENERALES'!A5</f>
        <v>FÓRMULA</v>
      </c>
      <c r="B5" s="781" t="str">
        <f ca="1">INDIRECT("Z_OM_01_"&amp;IDIOMA)</f>
        <v>Nº Inicial del Banco de Preguntas</v>
      </c>
      <c r="C5" s="782"/>
      <c r="D5" s="782"/>
      <c r="E5" s="782"/>
      <c r="F5" s="782"/>
      <c r="G5" s="782"/>
      <c r="H5" s="328">
        <f>'Datos OM'!$A$4</f>
        <v>101</v>
      </c>
      <c r="I5" s="700" t="str">
        <f ca="1">INDIRECT("Z_OM_02_"&amp;IDIOMA)</f>
        <v>Pregunta Nº</v>
      </c>
      <c r="J5" s="755"/>
      <c r="K5" s="755"/>
      <c r="L5" s="39">
        <f>G37</f>
        <v>101</v>
      </c>
      <c r="M5" s="752"/>
      <c r="N5" s="757" t="str">
        <f ca="1">INDIRECT("Z_TX_88_"&amp;IDIOMA)&amp;" ("&amp;AC4-COLUMN(AC2)&amp;")"</f>
        <v>ALMACENAR FORMULAS (0)</v>
      </c>
      <c r="O5" s="758"/>
      <c r="P5" s="758"/>
      <c r="Q5" s="759"/>
      <c r="R5" s="746" t="str">
        <f ca="1">INDIRECT("Z_DG_15_"&amp;IDIOMA)&amp;": "&amp;P_min_OM&amp;IF(P_max_OM=0,""," - "&amp;P_max_OM)</f>
        <v>Rango de preguntas almacenadas: 0</v>
      </c>
      <c r="S5" s="746"/>
      <c r="T5" s="746"/>
      <c r="U5" s="746"/>
      <c r="V5" s="746"/>
      <c r="W5" s="746"/>
      <c r="X5" s="68"/>
      <c r="Y5" s="198"/>
      <c r="Z5" s="300">
        <v>1</v>
      </c>
      <c r="AA5" s="314"/>
      <c r="AB5" s="300">
        <f>Z35+1</f>
        <v>17</v>
      </c>
    </row>
    <row r="6" spans="1:34" ht="6" customHeight="1" thickBot="1" x14ac:dyDescent="0.3">
      <c r="A6" s="19"/>
      <c r="B6" s="60"/>
      <c r="C6" s="61"/>
      <c r="D6" s="61"/>
      <c r="E6" s="61"/>
      <c r="F6" s="61"/>
      <c r="G6" s="61"/>
      <c r="H6" s="62"/>
      <c r="I6" s="63"/>
      <c r="J6" s="63"/>
      <c r="K6" s="63"/>
      <c r="L6" s="63"/>
      <c r="M6" s="752"/>
      <c r="N6" s="63"/>
      <c r="O6" s="62"/>
      <c r="P6" s="63"/>
      <c r="Q6" s="76"/>
      <c r="R6" s="63"/>
      <c r="S6" s="73"/>
      <c r="T6" s="63"/>
      <c r="U6" s="234"/>
      <c r="V6" s="73"/>
      <c r="W6" s="73"/>
      <c r="X6" s="64"/>
      <c r="Y6" s="197"/>
    </row>
    <row r="7" spans="1:34" ht="15" customHeight="1" thickTop="1" thickBot="1" x14ac:dyDescent="0.3">
      <c r="A7" s="194" t="str">
        <f ca="1">'DATOS GENERALES'!A7</f>
        <v>SUPERÍNDICE</v>
      </c>
      <c r="B7" s="781" t="str">
        <f ca="1">INDIRECT("Z_OM_04_"&amp;IDIOMA)</f>
        <v>Nombre de la pregunta</v>
      </c>
      <c r="C7" s="782"/>
      <c r="D7" s="782"/>
      <c r="E7" s="782"/>
      <c r="F7" s="782"/>
      <c r="G7" s="782"/>
      <c r="H7" s="772" t="str">
        <f ca="1">IFERROR(INDIRECT("'Datos OM'!a"&amp;(L5-H5+N_I_Tabla)),"")</f>
        <v/>
      </c>
      <c r="I7" s="772"/>
      <c r="J7" s="772"/>
      <c r="K7" s="772"/>
      <c r="L7" s="772"/>
      <c r="M7" s="772"/>
      <c r="N7" s="700" t="str">
        <f ca="1">INDIRECT("Z_OM_14_"&amp;IDIOMA)</f>
        <v>Imagen</v>
      </c>
      <c r="O7" s="755"/>
      <c r="P7" s="755"/>
      <c r="Q7" s="768"/>
      <c r="R7" s="769"/>
      <c r="S7" s="769"/>
      <c r="T7" s="769"/>
      <c r="U7" s="769"/>
      <c r="V7" s="769"/>
      <c r="W7" s="770"/>
      <c r="X7" s="68"/>
      <c r="Y7" s="198"/>
      <c r="Z7" s="300">
        <f>Z5+1</f>
        <v>2</v>
      </c>
      <c r="AA7" s="314"/>
      <c r="AB7" s="300">
        <f>AB5+1</f>
        <v>18</v>
      </c>
    </row>
    <row r="8" spans="1:34" ht="6" customHeight="1" thickTop="1" x14ac:dyDescent="0.25">
      <c r="A8" s="20"/>
      <c r="B8" s="60"/>
      <c r="C8" s="61"/>
      <c r="D8" s="61"/>
      <c r="E8" s="61"/>
      <c r="F8" s="61"/>
      <c r="G8" s="63"/>
      <c r="H8" s="63"/>
      <c r="I8" s="62"/>
      <c r="J8" s="62"/>
      <c r="K8" s="62"/>
      <c r="L8" s="62"/>
      <c r="M8" s="63"/>
      <c r="N8" s="63"/>
      <c r="O8" s="73"/>
      <c r="P8" s="66"/>
      <c r="Q8" s="73"/>
      <c r="R8" s="73"/>
      <c r="S8" s="73"/>
      <c r="T8" s="73"/>
      <c r="U8" s="73"/>
      <c r="V8" s="73"/>
      <c r="W8" s="73"/>
      <c r="X8" s="64"/>
      <c r="Y8" s="94"/>
    </row>
    <row r="9" spans="1:34" x14ac:dyDescent="0.25">
      <c r="A9" s="194" t="str">
        <f ca="1">'DATOS GENERALES'!A9</f>
        <v>SUBÍNDICE</v>
      </c>
      <c r="B9" s="702" t="str">
        <f ca="1">INDIRECT("Z_OM_05_"&amp;IDIOMA)</f>
        <v>Descripción</v>
      </c>
      <c r="C9" s="700"/>
      <c r="D9" s="700"/>
      <c r="E9" s="700"/>
      <c r="F9" s="700"/>
      <c r="G9" s="700"/>
      <c r="H9" s="771"/>
      <c r="I9" s="771"/>
      <c r="J9" s="771"/>
      <c r="K9" s="771"/>
      <c r="L9" s="771"/>
      <c r="M9" s="771"/>
      <c r="N9" s="700" t="str">
        <f ca="1">INDIRECT("Z_OM_03_"&amp;IDIOMA)</f>
        <v>Num. elecc.</v>
      </c>
      <c r="O9" s="700"/>
      <c r="P9" s="700"/>
      <c r="Q9" s="329" t="str">
        <f>NUMERAR_R</f>
        <v>abc</v>
      </c>
      <c r="R9" s="73"/>
      <c r="S9" s="73"/>
      <c r="T9" s="73"/>
      <c r="U9" s="73"/>
      <c r="V9" s="73"/>
      <c r="W9" s="73"/>
      <c r="X9" s="68"/>
      <c r="Y9" s="198"/>
      <c r="Z9" s="300">
        <f>Z7+1</f>
        <v>3</v>
      </c>
      <c r="AA9" s="314"/>
      <c r="AB9" s="300">
        <f>AB7+1</f>
        <v>19</v>
      </c>
    </row>
    <row r="10" spans="1:34" ht="6" customHeight="1" thickBot="1" x14ac:dyDescent="0.3">
      <c r="A10" s="19"/>
      <c r="B10" s="60"/>
      <c r="C10" s="61"/>
      <c r="D10" s="61"/>
      <c r="E10" s="61"/>
      <c r="F10" s="61"/>
      <c r="G10" s="62"/>
      <c r="H10" s="62"/>
      <c r="I10" s="63"/>
      <c r="J10" s="63"/>
      <c r="K10" s="63"/>
      <c r="L10" s="63"/>
      <c r="M10" s="63"/>
      <c r="N10" s="63"/>
      <c r="O10" s="63"/>
      <c r="P10" s="63"/>
      <c r="Q10" s="63"/>
      <c r="R10" s="63"/>
      <c r="S10" s="63"/>
      <c r="T10" s="62"/>
      <c r="U10" s="62"/>
      <c r="V10" s="62"/>
      <c r="W10" s="62"/>
      <c r="X10" s="64"/>
      <c r="Y10" s="94"/>
    </row>
    <row r="11" spans="1:34" ht="15" customHeight="1" thickTop="1" x14ac:dyDescent="0.25">
      <c r="A11" s="194" t="str">
        <f ca="1">'DATOS GENERALES'!A11</f>
        <v>SALTO LÍNEA</v>
      </c>
      <c r="B11" s="702" t="str">
        <f ca="1">INDIRECT("Z_OM_07_"&amp;IDIOMA)</f>
        <v>Enunciado de la pregunta</v>
      </c>
      <c r="C11" s="700"/>
      <c r="D11" s="700"/>
      <c r="E11" s="700"/>
      <c r="F11" s="700"/>
      <c r="G11" s="701"/>
      <c r="H11" s="786"/>
      <c r="I11" s="787"/>
      <c r="J11" s="787"/>
      <c r="K11" s="787"/>
      <c r="L11" s="787"/>
      <c r="M11" s="787"/>
      <c r="N11" s="787"/>
      <c r="O11" s="787"/>
      <c r="P11" s="787"/>
      <c r="Q11" s="787"/>
      <c r="R11" s="787"/>
      <c r="S11" s="787"/>
      <c r="T11" s="787"/>
      <c r="U11" s="787"/>
      <c r="V11" s="787"/>
      <c r="W11" s="788"/>
      <c r="X11" s="68"/>
      <c r="Y11" s="198"/>
      <c r="Z11" s="300">
        <f>Z9+1</f>
        <v>4</v>
      </c>
      <c r="AA11" s="314"/>
      <c r="AB11" s="300">
        <f>AB9+1</f>
        <v>20</v>
      </c>
    </row>
    <row r="12" spans="1:34" ht="6" customHeight="1" thickBot="1" x14ac:dyDescent="0.3">
      <c r="A12" s="2"/>
      <c r="B12" s="753"/>
      <c r="C12" s="754"/>
      <c r="D12" s="61"/>
      <c r="E12" s="77"/>
      <c r="F12" s="77"/>
      <c r="G12" s="78"/>
      <c r="H12" s="789"/>
      <c r="I12" s="790"/>
      <c r="J12" s="790"/>
      <c r="K12" s="790"/>
      <c r="L12" s="790"/>
      <c r="M12" s="790"/>
      <c r="N12" s="790"/>
      <c r="O12" s="790"/>
      <c r="P12" s="790"/>
      <c r="Q12" s="790"/>
      <c r="R12" s="790"/>
      <c r="S12" s="790"/>
      <c r="T12" s="790"/>
      <c r="U12" s="790"/>
      <c r="V12" s="790"/>
      <c r="W12" s="791"/>
      <c r="X12" s="64"/>
      <c r="Y12" s="94"/>
    </row>
    <row r="13" spans="1:34" x14ac:dyDescent="0.25">
      <c r="A13" s="194" t="str">
        <f ca="1">'DATOS GENERALES'!A13</f>
        <v>CONCATENAR</v>
      </c>
      <c r="B13" s="753"/>
      <c r="C13" s="754"/>
      <c r="D13" s="780" t="str">
        <f>'DATOS GENERALES'!C11</f>
        <v>Moodle
 Editor.
(HTML)</v>
      </c>
      <c r="E13" s="780"/>
      <c r="F13" s="780"/>
      <c r="G13" s="780"/>
      <c r="H13" s="789"/>
      <c r="I13" s="790"/>
      <c r="J13" s="790"/>
      <c r="K13" s="790"/>
      <c r="L13" s="790"/>
      <c r="M13" s="790"/>
      <c r="N13" s="790"/>
      <c r="O13" s="790"/>
      <c r="P13" s="790"/>
      <c r="Q13" s="790"/>
      <c r="R13" s="790"/>
      <c r="S13" s="790"/>
      <c r="T13" s="790"/>
      <c r="U13" s="790"/>
      <c r="V13" s="790"/>
      <c r="W13" s="791"/>
      <c r="X13" s="68"/>
      <c r="Y13" s="198"/>
      <c r="Z13" s="300">
        <f>Z11+1</f>
        <v>5</v>
      </c>
      <c r="AA13" s="314"/>
      <c r="AB13" s="300">
        <f>AB11+1</f>
        <v>21</v>
      </c>
    </row>
    <row r="14" spans="1:34" ht="6" customHeight="1" x14ac:dyDescent="0.25">
      <c r="B14" s="753"/>
      <c r="C14" s="754"/>
      <c r="D14" s="61"/>
      <c r="E14" s="77"/>
      <c r="F14" s="77"/>
      <c r="G14" s="752"/>
      <c r="H14" s="789"/>
      <c r="I14" s="790"/>
      <c r="J14" s="790"/>
      <c r="K14" s="790"/>
      <c r="L14" s="790"/>
      <c r="M14" s="790"/>
      <c r="N14" s="790"/>
      <c r="O14" s="790"/>
      <c r="P14" s="790"/>
      <c r="Q14" s="790"/>
      <c r="R14" s="790"/>
      <c r="S14" s="790"/>
      <c r="T14" s="790"/>
      <c r="U14" s="790"/>
      <c r="V14" s="790"/>
      <c r="W14" s="791"/>
      <c r="X14" s="64"/>
      <c r="Y14" s="94"/>
    </row>
    <row r="15" spans="1:34" ht="15.75" thickBot="1" x14ac:dyDescent="0.3">
      <c r="A15" s="194" t="str">
        <f ca="1">'DATOS GENERALES'!A15</f>
        <v>NEGRITA</v>
      </c>
      <c r="B15" s="702"/>
      <c r="C15" s="700"/>
      <c r="D15" s="700"/>
      <c r="E15" s="700"/>
      <c r="F15" s="700"/>
      <c r="G15" s="752"/>
      <c r="H15" s="792"/>
      <c r="I15" s="793"/>
      <c r="J15" s="793"/>
      <c r="K15" s="793"/>
      <c r="L15" s="793"/>
      <c r="M15" s="793"/>
      <c r="N15" s="793"/>
      <c r="O15" s="793"/>
      <c r="P15" s="793"/>
      <c r="Q15" s="793"/>
      <c r="R15" s="793"/>
      <c r="S15" s="793"/>
      <c r="T15" s="793"/>
      <c r="U15" s="793"/>
      <c r="V15" s="793"/>
      <c r="W15" s="794"/>
      <c r="X15" s="68"/>
      <c r="Y15" s="198"/>
      <c r="Z15" s="300">
        <f>Z13+1</f>
        <v>6</v>
      </c>
      <c r="AA15" s="314"/>
      <c r="AB15" s="300">
        <f>AB13+1</f>
        <v>22</v>
      </c>
    </row>
    <row r="16" spans="1:34" ht="6" customHeight="1" thickTop="1" thickBot="1" x14ac:dyDescent="0.3">
      <c r="B16" s="60"/>
      <c r="C16" s="61"/>
      <c r="D16" s="61"/>
      <c r="E16" s="77"/>
      <c r="F16" s="77"/>
      <c r="G16" s="752"/>
      <c r="H16" s="62"/>
      <c r="I16" s="63"/>
      <c r="J16" s="63"/>
      <c r="K16" s="63"/>
      <c r="L16" s="63"/>
      <c r="M16" s="63"/>
      <c r="N16" s="63"/>
      <c r="O16" s="63"/>
      <c r="P16" s="63"/>
      <c r="Q16" s="63"/>
      <c r="R16" s="63"/>
      <c r="S16" s="63"/>
      <c r="T16" s="62"/>
      <c r="U16" s="62"/>
      <c r="V16" s="62"/>
      <c r="W16" s="62"/>
      <c r="X16" s="64"/>
      <c r="Y16" s="94"/>
    </row>
    <row r="17" spans="1:28" ht="15" customHeight="1" thickTop="1" thickBot="1" x14ac:dyDescent="0.3">
      <c r="A17" s="326" t="str">
        <f ca="1">'DATOS GENERALES'!A17</f>
        <v>ESPACIOS (+1)</v>
      </c>
      <c r="B17" s="327">
        <v>1</v>
      </c>
      <c r="C17" s="700" t="str">
        <f ca="1">IF(P_1_OM&gt;0,INDIRECT("Z_OM_08_"&amp;IDIOMA),B17&amp;"ª "&amp;INDIRECT("Z_OM_09_"&amp;IDIOMA))</f>
        <v>1ª Respuesta Incorrecta</v>
      </c>
      <c r="D17" s="755"/>
      <c r="E17" s="755"/>
      <c r="F17" s="755"/>
      <c r="G17" s="756"/>
      <c r="H17" s="765"/>
      <c r="I17" s="766"/>
      <c r="J17" s="766"/>
      <c r="K17" s="766"/>
      <c r="L17" s="766"/>
      <c r="M17" s="766"/>
      <c r="N17" s="766"/>
      <c r="O17" s="767"/>
      <c r="P17" s="331" t="s">
        <v>860</v>
      </c>
      <c r="Q17" s="247"/>
      <c r="R17" s="700" t="str">
        <f ca="1">INDIRECT("Z_OM_10_"&amp;IDIOMA)</f>
        <v>Retroalim.</v>
      </c>
      <c r="S17" s="701"/>
      <c r="T17" s="762"/>
      <c r="U17" s="763"/>
      <c r="V17" s="763"/>
      <c r="W17" s="764"/>
      <c r="X17" s="241"/>
      <c r="Y17" s="198"/>
      <c r="Z17" s="300">
        <f>Z15+1</f>
        <v>7</v>
      </c>
      <c r="AA17" s="314"/>
      <c r="AB17" s="300">
        <f>AB15+1</f>
        <v>23</v>
      </c>
    </row>
    <row r="18" spans="1:28" ht="6" customHeight="1" thickTop="1" thickBot="1" x14ac:dyDescent="0.3">
      <c r="B18" s="327"/>
      <c r="C18" s="61"/>
      <c r="D18" s="61"/>
      <c r="E18" s="77"/>
      <c r="F18" s="77"/>
      <c r="G18" s="217" t="str">
        <f ca="1">INDIRECT("Z_OM_09_"&amp;IDIOMA)</f>
        <v>Respuesta Incorrecta</v>
      </c>
      <c r="H18" s="62"/>
      <c r="I18" s="63"/>
      <c r="J18" s="63"/>
      <c r="K18" s="63"/>
      <c r="L18" s="63"/>
      <c r="M18" s="63"/>
      <c r="N18" s="63"/>
      <c r="O18" s="63"/>
      <c r="P18" s="63"/>
      <c r="Q18" s="63"/>
      <c r="R18" s="63"/>
      <c r="S18" s="63"/>
      <c r="T18" s="62"/>
      <c r="U18" s="62"/>
      <c r="V18" s="62"/>
      <c r="W18" s="62"/>
      <c r="X18" s="64"/>
      <c r="Y18" s="94"/>
    </row>
    <row r="19" spans="1:28" ht="16.5" thickTop="1" thickBot="1" x14ac:dyDescent="0.3">
      <c r="A19" s="326" t="str">
        <f ca="1">'DATOS GENERALES'!A19</f>
        <v>TEXTO ROJO</v>
      </c>
      <c r="B19" s="327">
        <v>2</v>
      </c>
      <c r="C19" s="700" t="str">
        <f ca="1">IF(P_2_OM&gt;0,INDIRECT("Z_OM_08_"&amp;IDIOMA),IF(P_1_OM&gt;0,B17,B19)&amp;"ª "&amp;INDIRECT("Z_OM_09_"&amp;IDIOMA))</f>
        <v>2ª Respuesta Incorrecta</v>
      </c>
      <c r="D19" s="755"/>
      <c r="E19" s="755"/>
      <c r="F19" s="755"/>
      <c r="G19" s="756"/>
      <c r="H19" s="765"/>
      <c r="I19" s="766"/>
      <c r="J19" s="766"/>
      <c r="K19" s="766"/>
      <c r="L19" s="766"/>
      <c r="M19" s="766"/>
      <c r="N19" s="766"/>
      <c r="O19" s="767"/>
      <c r="P19" s="331" t="s">
        <v>860</v>
      </c>
      <c r="Q19" s="247"/>
      <c r="R19" s="700" t="str">
        <f ca="1">R17</f>
        <v>Retroalim.</v>
      </c>
      <c r="S19" s="756"/>
      <c r="T19" s="762"/>
      <c r="U19" s="763"/>
      <c r="V19" s="763"/>
      <c r="W19" s="764"/>
      <c r="X19" s="241"/>
      <c r="Y19" s="198"/>
      <c r="Z19" s="300">
        <f>Z17+1</f>
        <v>8</v>
      </c>
      <c r="AA19" s="314"/>
      <c r="AB19" s="300">
        <f>AB17+1</f>
        <v>24</v>
      </c>
    </row>
    <row r="20" spans="1:28" ht="6" customHeight="1" thickTop="1" thickBot="1" x14ac:dyDescent="0.3">
      <c r="A20" s="196"/>
      <c r="B20" s="327"/>
      <c r="C20" s="61"/>
      <c r="D20" s="61"/>
      <c r="E20" s="61"/>
      <c r="F20" s="61"/>
      <c r="G20" s="239"/>
      <c r="H20" s="62"/>
      <c r="I20" s="63"/>
      <c r="J20" s="63"/>
      <c r="K20" s="63"/>
      <c r="L20" s="63"/>
      <c r="M20" s="63"/>
      <c r="N20" s="63"/>
      <c r="O20" s="63"/>
      <c r="P20" s="63"/>
      <c r="Q20" s="63"/>
      <c r="R20" s="63"/>
      <c r="S20" s="63"/>
      <c r="T20" s="62"/>
      <c r="U20" s="62"/>
      <c r="V20" s="62"/>
      <c r="W20" s="62"/>
      <c r="X20" s="64"/>
      <c r="Y20" s="94"/>
    </row>
    <row r="21" spans="1:28" ht="15" customHeight="1" thickTop="1" thickBot="1" x14ac:dyDescent="0.3">
      <c r="A21" s="326" t="str">
        <f ca="1">'DATOS GENERALES'!A21</f>
        <v>TEXTO AZUL</v>
      </c>
      <c r="B21" s="327">
        <v>3</v>
      </c>
      <c r="C21" s="700" t="str">
        <f ca="1">IF(P_3_OM&gt;0,INDIRECT("Z_OM_08_"&amp;IDIOMA),IF(OR(P_1_OM&gt;0,P_2_OM&gt;0),B19,B21)&amp;"ª "&amp;INDIRECT("Z_OM_09_"&amp;IDIOMA))</f>
        <v>3ª Respuesta Incorrecta</v>
      </c>
      <c r="D21" s="755"/>
      <c r="E21" s="755"/>
      <c r="F21" s="755"/>
      <c r="G21" s="756"/>
      <c r="H21" s="773"/>
      <c r="I21" s="774"/>
      <c r="J21" s="774"/>
      <c r="K21" s="774"/>
      <c r="L21" s="774"/>
      <c r="M21" s="774"/>
      <c r="N21" s="774"/>
      <c r="O21" s="775"/>
      <c r="P21" s="331" t="s">
        <v>860</v>
      </c>
      <c r="Q21" s="247"/>
      <c r="R21" s="700" t="str">
        <f ca="1">R19</f>
        <v>Retroalim.</v>
      </c>
      <c r="S21" s="756"/>
      <c r="T21" s="762"/>
      <c r="U21" s="763"/>
      <c r="V21" s="763"/>
      <c r="W21" s="764"/>
      <c r="X21" s="241"/>
      <c r="Y21" s="198"/>
      <c r="Z21" s="300">
        <f>Z19+1</f>
        <v>9</v>
      </c>
      <c r="AA21" s="314"/>
      <c r="AB21" s="300">
        <f>AB19+1</f>
        <v>25</v>
      </c>
    </row>
    <row r="22" spans="1:28" ht="6" customHeight="1" thickTop="1" thickBot="1" x14ac:dyDescent="0.3">
      <c r="B22" s="327"/>
      <c r="C22" s="61"/>
      <c r="D22" s="61"/>
      <c r="E22" s="61"/>
      <c r="F22" s="61"/>
      <c r="G22" s="239"/>
      <c r="H22" s="62"/>
      <c r="I22" s="63"/>
      <c r="J22" s="63"/>
      <c r="K22" s="63"/>
      <c r="L22" s="63"/>
      <c r="M22" s="63"/>
      <c r="N22" s="63"/>
      <c r="O22" s="63"/>
      <c r="P22" s="63"/>
      <c r="Q22" s="63"/>
      <c r="R22" s="63"/>
      <c r="S22" s="63"/>
      <c r="T22" s="62"/>
      <c r="U22" s="62"/>
      <c r="V22" s="62"/>
      <c r="W22" s="62"/>
      <c r="X22" s="64"/>
      <c r="Y22" s="94"/>
      <c r="Z22" s="17"/>
    </row>
    <row r="23" spans="1:28" ht="16.5" thickTop="1" thickBot="1" x14ac:dyDescent="0.3">
      <c r="A23" s="326" t="str">
        <f ca="1">'DATOS GENERALES'!A23</f>
        <v>OTRO COLOR</v>
      </c>
      <c r="B23" s="327">
        <v>4</v>
      </c>
      <c r="C23" s="700" t="str">
        <f ca="1">IF(P_4_OM&gt;0,INDIRECT("Z_OM_08_"&amp;IDIOMA),IF(OR(P_1_OM&gt;0,P_2_OM&gt;0,P_3_OM&gt;0),B21,B23)&amp;"ª "&amp;INDIRECT("Z_OM_09_"&amp;IDIOMA))</f>
        <v>4ª Respuesta Incorrecta</v>
      </c>
      <c r="D23" s="755"/>
      <c r="E23" s="755"/>
      <c r="F23" s="755"/>
      <c r="G23" s="756"/>
      <c r="H23" s="773"/>
      <c r="I23" s="774"/>
      <c r="J23" s="774"/>
      <c r="K23" s="774"/>
      <c r="L23" s="774"/>
      <c r="M23" s="774"/>
      <c r="N23" s="774"/>
      <c r="O23" s="775"/>
      <c r="P23" s="331" t="s">
        <v>860</v>
      </c>
      <c r="Q23" s="247"/>
      <c r="R23" s="700" t="str">
        <f ca="1">R21</f>
        <v>Retroalim.</v>
      </c>
      <c r="S23" s="756"/>
      <c r="T23" s="762"/>
      <c r="U23" s="763"/>
      <c r="V23" s="763"/>
      <c r="W23" s="764"/>
      <c r="X23" s="241"/>
      <c r="Y23" s="198"/>
      <c r="Z23" s="300">
        <f>Z21+1</f>
        <v>10</v>
      </c>
      <c r="AA23" s="314"/>
      <c r="AB23" s="300">
        <f>AB21+1</f>
        <v>26</v>
      </c>
    </row>
    <row r="24" spans="1:28" ht="6" customHeight="1" thickTop="1" thickBot="1" x14ac:dyDescent="0.3">
      <c r="B24" s="327"/>
      <c r="C24" s="61"/>
      <c r="D24" s="61"/>
      <c r="E24" s="61"/>
      <c r="F24" s="61"/>
      <c r="G24" s="239"/>
      <c r="H24" s="62"/>
      <c r="I24" s="63"/>
      <c r="J24" s="63"/>
      <c r="K24" s="63"/>
      <c r="L24" s="63"/>
      <c r="M24" s="63"/>
      <c r="N24" s="63"/>
      <c r="O24" s="63"/>
      <c r="P24" s="63"/>
      <c r="Q24" s="63"/>
      <c r="R24" s="63"/>
      <c r="S24" s="63"/>
      <c r="T24" s="62"/>
      <c r="U24" s="62"/>
      <c r="V24" s="62"/>
      <c r="W24" s="62"/>
      <c r="X24" s="68"/>
      <c r="Y24" s="4"/>
      <c r="Z24" s="17"/>
    </row>
    <row r="25" spans="1:28" ht="15" customHeight="1" thickTop="1" thickBot="1" x14ac:dyDescent="0.3">
      <c r="A25" s="737" t="str">
        <f ca="1">'DATOS GENERALES'!A25</f>
        <v>INSERTAR
IMÁGENES</v>
      </c>
      <c r="B25" s="77">
        <v>5</v>
      </c>
      <c r="C25" s="700" t="str">
        <f ca="1">IF(P_5_OM&gt;0,INDIRECT("Z_OM_08_"&amp;IDIOMA),IF(OR(P_1_OM&gt;0,P_2_OM&gt;0,P_3_OM&gt;0,P_4_OM&gt;0),B23,B25)&amp;"ª "&amp;INDIRECT("Z_OM_09_"&amp;IDIOMA))</f>
        <v>5ª Respuesta Incorrecta</v>
      </c>
      <c r="D25" s="755"/>
      <c r="E25" s="755"/>
      <c r="F25" s="755"/>
      <c r="G25" s="756"/>
      <c r="H25" s="773"/>
      <c r="I25" s="774"/>
      <c r="J25" s="774"/>
      <c r="K25" s="774"/>
      <c r="L25" s="774"/>
      <c r="M25" s="774"/>
      <c r="N25" s="774"/>
      <c r="O25" s="775"/>
      <c r="P25" s="331" t="s">
        <v>860</v>
      </c>
      <c r="Q25" s="247"/>
      <c r="R25" s="700" t="str">
        <f ca="1">R23</f>
        <v>Retroalim.</v>
      </c>
      <c r="S25" s="756"/>
      <c r="T25" s="762"/>
      <c r="U25" s="763"/>
      <c r="V25" s="763"/>
      <c r="W25" s="764"/>
      <c r="X25" s="241"/>
      <c r="Y25" s="198"/>
      <c r="Z25" s="300">
        <f>Z23+1</f>
        <v>11</v>
      </c>
      <c r="AA25" s="314"/>
      <c r="AB25" s="300">
        <f>AB23+1</f>
        <v>27</v>
      </c>
    </row>
    <row r="26" spans="1:28" ht="6" customHeight="1" thickTop="1" thickBot="1" x14ac:dyDescent="0.3">
      <c r="A26" s="738">
        <f>'DATOS GENERALES'!A26</f>
        <v>0</v>
      </c>
      <c r="B26" s="77"/>
      <c r="C26" s="61"/>
      <c r="D26" s="61"/>
      <c r="E26" s="61"/>
      <c r="F26" s="61"/>
      <c r="G26" s="238"/>
      <c r="H26" s="62"/>
      <c r="I26" s="63"/>
      <c r="J26" s="63"/>
      <c r="K26" s="63"/>
      <c r="L26" s="63"/>
      <c r="M26" s="63"/>
      <c r="N26" s="63"/>
      <c r="O26" s="63"/>
      <c r="P26" s="63"/>
      <c r="Q26" s="63"/>
      <c r="R26" s="63"/>
      <c r="S26" s="63"/>
      <c r="T26" s="62"/>
      <c r="U26" s="62"/>
      <c r="V26" s="62"/>
      <c r="W26" s="62"/>
      <c r="X26" s="68"/>
      <c r="Y26" s="94"/>
      <c r="Z26" s="17"/>
    </row>
    <row r="27" spans="1:28" ht="15" customHeight="1" thickTop="1" thickBot="1" x14ac:dyDescent="0.3">
      <c r="A27" s="739">
        <f>'DATOS GENERALES'!A27</f>
        <v>0</v>
      </c>
      <c r="B27" s="77">
        <v>6</v>
      </c>
      <c r="C27" s="700" t="str">
        <f ca="1">IF(P_6_OM&gt;0,INDIRECT("Z_OM_08_"&amp;IDIOMA),IF(OR(P_1_OM&gt;0,P_2_OM&gt;0,P_3_OM&gt;0,P_4_OM&gt;0,P_5_OM&gt;0),B25,B27)&amp;"ª "&amp;INDIRECT("Z_OM_09_"&amp;IDIOMA))</f>
        <v>6ª Respuesta Incorrecta</v>
      </c>
      <c r="D27" s="755"/>
      <c r="E27" s="755"/>
      <c r="F27" s="755"/>
      <c r="G27" s="756"/>
      <c r="H27" s="773"/>
      <c r="I27" s="774"/>
      <c r="J27" s="774"/>
      <c r="K27" s="774"/>
      <c r="L27" s="774"/>
      <c r="M27" s="774"/>
      <c r="N27" s="774"/>
      <c r="O27" s="775"/>
      <c r="P27" s="331" t="s">
        <v>860</v>
      </c>
      <c r="Q27" s="247"/>
      <c r="R27" s="700" t="str">
        <f ca="1">R25</f>
        <v>Retroalim.</v>
      </c>
      <c r="S27" s="756"/>
      <c r="T27" s="762"/>
      <c r="U27" s="763"/>
      <c r="V27" s="763"/>
      <c r="W27" s="764"/>
      <c r="X27" s="241"/>
      <c r="Y27" s="198"/>
      <c r="Z27" s="300">
        <f>Z25+1</f>
        <v>12</v>
      </c>
      <c r="AA27" s="314"/>
      <c r="AB27" s="300">
        <f>AB25+1</f>
        <v>28</v>
      </c>
    </row>
    <row r="28" spans="1:28" ht="6" customHeight="1" thickBot="1" x14ac:dyDescent="0.3">
      <c r="B28" s="65"/>
      <c r="C28" s="69"/>
      <c r="D28" s="69"/>
      <c r="E28" s="69"/>
      <c r="F28" s="217" t="str">
        <f ca="1">INDIRECT("Z_OM_11_"&amp;IDIOMA)</f>
        <v>PISTA</v>
      </c>
      <c r="G28" s="66"/>
      <c r="H28" s="66"/>
      <c r="I28" s="66"/>
      <c r="J28" s="66"/>
      <c r="K28" s="66"/>
      <c r="L28" s="66"/>
      <c r="M28" s="66"/>
      <c r="N28" s="66"/>
      <c r="O28" s="66"/>
      <c r="P28" s="66"/>
      <c r="Q28" s="66"/>
      <c r="R28" s="66"/>
      <c r="S28" s="66"/>
      <c r="T28" s="66"/>
      <c r="U28" s="66"/>
      <c r="V28" s="66"/>
      <c r="W28" s="66"/>
      <c r="X28" s="68"/>
      <c r="Y28" s="94"/>
      <c r="Z28" s="17"/>
    </row>
    <row r="29" spans="1:28" ht="15" customHeight="1" x14ac:dyDescent="0.25">
      <c r="A29" s="737" t="str">
        <f ca="1">INDIRECT("Z_ML_14_"&amp;IDIOMA)</f>
        <v>USAR DATOS VARIABLES</v>
      </c>
      <c r="B29" s="65"/>
      <c r="C29" s="700" t="str">
        <f ca="1">INDIRECT("Z_OM_08_"&amp;IDIOMA)&amp;" =&gt; Pt. Tot."</f>
        <v>Respuesta Correcta =&gt; Pt. Tot.</v>
      </c>
      <c r="D29" s="700"/>
      <c r="E29" s="700"/>
      <c r="F29" s="700"/>
      <c r="G29" s="700"/>
      <c r="H29" s="700"/>
      <c r="I29" s="700"/>
      <c r="J29" s="700"/>
      <c r="K29" s="700"/>
      <c r="L29" s="16">
        <f>SUMIF(Q17:Q27,"&gt;0")</f>
        <v>0</v>
      </c>
      <c r="M29" s="325" t="s">
        <v>865</v>
      </c>
      <c r="N29" s="16">
        <f>COUNTIF(Q17:Q27,"&gt;0")</f>
        <v>0</v>
      </c>
      <c r="O29" s="700" t="str">
        <f ca="1">INDIRECT("Z_OM_09_"&amp;IDIOMA)&amp;" =&gt; Pt. Tot."</f>
        <v>Respuesta Incorrecta =&gt; Pt. Tot.</v>
      </c>
      <c r="P29" s="700"/>
      <c r="Q29" s="700"/>
      <c r="R29" s="700"/>
      <c r="S29" s="700"/>
      <c r="T29" s="700"/>
      <c r="U29" s="16">
        <f>ROUND(SUMIF(Q17:Q27,"&lt;0"),0)</f>
        <v>0</v>
      </c>
      <c r="V29" s="331" t="s">
        <v>865</v>
      </c>
      <c r="W29" s="16">
        <f>IFERROR(MAX(0,COUNTA(H17:O27)-N29),"")</f>
        <v>0</v>
      </c>
      <c r="X29" s="180"/>
      <c r="Y29" s="198"/>
      <c r="Z29" s="300">
        <f>Z27+1</f>
        <v>13</v>
      </c>
      <c r="AA29" s="314"/>
      <c r="AB29" s="300">
        <f>AB27+1</f>
        <v>29</v>
      </c>
    </row>
    <row r="30" spans="1:28" ht="6" customHeight="1" x14ac:dyDescent="0.25">
      <c r="A30" s="738">
        <f>'DATOS GENERALES'!A30</f>
        <v>0</v>
      </c>
      <c r="B30" s="65"/>
      <c r="C30" s="69"/>
      <c r="D30" s="69"/>
      <c r="E30" s="69"/>
      <c r="F30" s="77">
        <v>1</v>
      </c>
      <c r="G30" s="66"/>
      <c r="H30" s="76"/>
      <c r="I30" s="76"/>
      <c r="J30" s="70"/>
      <c r="K30" s="70"/>
      <c r="L30" s="70"/>
      <c r="M30" s="70"/>
      <c r="N30" s="70"/>
      <c r="O30" s="70"/>
      <c r="P30" s="70"/>
      <c r="Q30" s="70"/>
      <c r="R30" s="179"/>
      <c r="S30" s="179"/>
      <c r="T30" s="179"/>
      <c r="U30" s="179"/>
      <c r="V30" s="179"/>
      <c r="W30" s="179"/>
      <c r="X30" s="180"/>
      <c r="Y30" s="94"/>
      <c r="Z30" s="17"/>
    </row>
    <row r="31" spans="1:28" ht="15.75" customHeight="1" thickBot="1" x14ac:dyDescent="0.3">
      <c r="A31" s="739">
        <f>'DATOS GENERALES'!A31</f>
        <v>0</v>
      </c>
      <c r="B31" s="65"/>
      <c r="C31" s="66"/>
      <c r="D31" s="66"/>
      <c r="E31" s="69"/>
      <c r="F31" s="77">
        <v>1</v>
      </c>
      <c r="G31" s="795" t="str">
        <f ca="1">INDIRECT("Z_OM_11_"&amp;IDIOMA)</f>
        <v>PISTA</v>
      </c>
      <c r="H31" s="795"/>
      <c r="I31" s="795"/>
      <c r="J31" s="795"/>
      <c r="K31" s="795"/>
      <c r="L31" s="795"/>
      <c r="M31" s="795"/>
      <c r="N31" s="795"/>
      <c r="O31" s="795"/>
      <c r="P31" s="795"/>
      <c r="Q31" s="795"/>
      <c r="R31" s="179"/>
      <c r="S31" s="697"/>
      <c r="T31" s="697"/>
      <c r="U31" s="697"/>
      <c r="V31" s="697"/>
      <c r="W31" s="697"/>
      <c r="X31" s="783"/>
      <c r="Y31" s="198"/>
      <c r="Z31" s="300">
        <f>Z29+1</f>
        <v>14</v>
      </c>
      <c r="AA31" s="314"/>
      <c r="AB31" s="300">
        <f>AB29+1</f>
        <v>30</v>
      </c>
    </row>
    <row r="32" spans="1:28" ht="6" customHeight="1" thickBot="1" x14ac:dyDescent="0.3">
      <c r="A32" s="195"/>
      <c r="B32" s="65"/>
      <c r="C32" s="747" t="s">
        <v>138</v>
      </c>
      <c r="D32" s="747"/>
      <c r="E32" s="69"/>
      <c r="F32" s="77"/>
      <c r="G32" s="76"/>
      <c r="H32" s="76"/>
      <c r="I32" s="76"/>
      <c r="J32" s="70"/>
      <c r="K32" s="70"/>
      <c r="L32" s="70"/>
      <c r="M32" s="76"/>
      <c r="N32" s="70"/>
      <c r="O32" s="70"/>
      <c r="P32" s="70"/>
      <c r="Q32" s="70"/>
      <c r="R32" s="179"/>
      <c r="S32" s="697"/>
      <c r="T32" s="697"/>
      <c r="U32" s="697"/>
      <c r="V32" s="697"/>
      <c r="W32" s="697"/>
      <c r="X32" s="783"/>
      <c r="Y32" s="94"/>
    </row>
    <row r="33" spans="1:28" ht="15" customHeight="1" thickTop="1" thickBot="1" x14ac:dyDescent="0.3">
      <c r="A33" s="194" t="str">
        <f ca="1">'DATOS GENERALES'!A33</f>
        <v>ACTIVAR</v>
      </c>
      <c r="B33" s="65"/>
      <c r="C33" s="747"/>
      <c r="D33" s="747"/>
      <c r="E33" s="69"/>
      <c r="F33" s="215" t="s">
        <v>858</v>
      </c>
      <c r="G33" s="796"/>
      <c r="H33" s="797"/>
      <c r="I33" s="797"/>
      <c r="J33" s="797"/>
      <c r="K33" s="798"/>
      <c r="L33" s="215" t="s">
        <v>856</v>
      </c>
      <c r="M33" s="796"/>
      <c r="N33" s="797"/>
      <c r="O33" s="797"/>
      <c r="P33" s="797"/>
      <c r="Q33" s="798"/>
      <c r="R33" s="179"/>
      <c r="S33" s="697"/>
      <c r="T33" s="697"/>
      <c r="U33" s="697"/>
      <c r="V33" s="697"/>
      <c r="W33" s="697"/>
      <c r="X33" s="783"/>
      <c r="Y33" s="198"/>
      <c r="Z33" s="300">
        <f>Z31+1</f>
        <v>15</v>
      </c>
      <c r="AA33" s="314"/>
      <c r="AB33" s="300">
        <f>AB31+1</f>
        <v>31</v>
      </c>
    </row>
    <row r="34" spans="1:28" ht="6" customHeight="1" thickTop="1" thickBot="1" x14ac:dyDescent="0.3">
      <c r="A34" s="2"/>
      <c r="B34" s="65"/>
      <c r="C34" s="747"/>
      <c r="D34" s="747"/>
      <c r="E34" s="69"/>
      <c r="F34" s="77"/>
      <c r="G34" s="76"/>
      <c r="H34" s="76"/>
      <c r="I34" s="76"/>
      <c r="J34" s="70"/>
      <c r="K34" s="70"/>
      <c r="L34" s="70"/>
      <c r="M34" s="76"/>
      <c r="N34" s="71"/>
      <c r="O34" s="71"/>
      <c r="P34" s="71"/>
      <c r="Q34" s="71"/>
      <c r="R34" s="179"/>
      <c r="S34" s="697"/>
      <c r="T34" s="697"/>
      <c r="U34" s="697"/>
      <c r="V34" s="697"/>
      <c r="W34" s="697"/>
      <c r="X34" s="783"/>
      <c r="Y34" s="94"/>
    </row>
    <row r="35" spans="1:28" ht="15" customHeight="1" thickTop="1" thickBot="1" x14ac:dyDescent="0.3">
      <c r="A35" s="194" t="str">
        <f ca="1">'DATOS GENERALES'!A35</f>
        <v>DESACTIVAR</v>
      </c>
      <c r="B35" s="65"/>
      <c r="C35" s="747"/>
      <c r="D35" s="747"/>
      <c r="E35" s="69"/>
      <c r="F35" s="215" t="s">
        <v>859</v>
      </c>
      <c r="G35" s="796"/>
      <c r="H35" s="797"/>
      <c r="I35" s="797"/>
      <c r="J35" s="797"/>
      <c r="K35" s="798"/>
      <c r="L35" s="215" t="s">
        <v>857</v>
      </c>
      <c r="M35" s="796"/>
      <c r="N35" s="797"/>
      <c r="O35" s="797"/>
      <c r="P35" s="797"/>
      <c r="Q35" s="798"/>
      <c r="R35" s="179"/>
      <c r="S35" s="697"/>
      <c r="T35" s="697"/>
      <c r="U35" s="697"/>
      <c r="V35" s="697"/>
      <c r="W35" s="697"/>
      <c r="X35" s="783"/>
      <c r="Y35" s="198"/>
      <c r="Z35" s="300">
        <f>Z33+1</f>
        <v>16</v>
      </c>
      <c r="AA35" s="314"/>
      <c r="AB35" s="300">
        <f>AB33+1</f>
        <v>32</v>
      </c>
    </row>
    <row r="36" spans="1:28" ht="9.9499999999999993" customHeight="1" thickTop="1" thickBot="1" x14ac:dyDescent="0.3">
      <c r="A36" s="653" t="str">
        <f>IF(AB2&gt;0,AB2,"")</f>
        <v/>
      </c>
      <c r="B36" s="315"/>
      <c r="C36" s="336" t="str">
        <f>Version</f>
        <v xml:space="preserve">   V - 5.0 </v>
      </c>
      <c r="D36" s="72"/>
      <c r="E36" s="72"/>
      <c r="F36" s="233">
        <v>4</v>
      </c>
      <c r="G36" s="72"/>
      <c r="H36" s="72"/>
      <c r="I36" s="72"/>
      <c r="J36" s="72"/>
      <c r="K36" s="72"/>
      <c r="L36" s="72"/>
      <c r="M36" s="72"/>
      <c r="N36" s="72"/>
      <c r="O36" s="72"/>
      <c r="P36" s="72"/>
      <c r="Q36" s="72"/>
      <c r="R36" s="181"/>
      <c r="S36" s="784"/>
      <c r="T36" s="784"/>
      <c r="U36" s="784"/>
      <c r="V36" s="784"/>
      <c r="W36" s="784"/>
      <c r="X36" s="785"/>
      <c r="Y36" s="94"/>
    </row>
    <row r="37" spans="1:28" s="3" customFormat="1" ht="15.75" hidden="1" customHeight="1" thickTop="1" x14ac:dyDescent="0.25">
      <c r="G37" s="48">
        <v>101</v>
      </c>
      <c r="H37" s="48">
        <v>1</v>
      </c>
      <c r="I37" s="48">
        <v>-10</v>
      </c>
      <c r="M37" s="301" t="b">
        <v>1</v>
      </c>
      <c r="N37" s="302" t="b">
        <f>'DATOS GENERALES'!Y40</f>
        <v>1</v>
      </c>
      <c r="Y37" s="6"/>
    </row>
    <row r="38" spans="1:28" s="3" customFormat="1" ht="5.0999999999999996" customHeight="1" thickTop="1" x14ac:dyDescent="0.25">
      <c r="A38" s="6"/>
      <c r="B38" s="18"/>
      <c r="C38" s="18"/>
      <c r="D38" s="18"/>
      <c r="E38" s="18"/>
      <c r="F38" s="18"/>
      <c r="G38" s="18"/>
      <c r="K38" s="204"/>
      <c r="Y38" s="6"/>
    </row>
    <row r="39" spans="1:28" s="3" customFormat="1" ht="15" customHeight="1" x14ac:dyDescent="0.25">
      <c r="A39" s="6"/>
      <c r="Y39" s="6"/>
    </row>
    <row r="40" spans="1:28" s="3" customFormat="1" hidden="1" x14ac:dyDescent="0.25">
      <c r="A40" s="6"/>
      <c r="Y40" s="6"/>
    </row>
    <row r="41" spans="1:28" s="3" customFormat="1" ht="15.75" hidden="1" x14ac:dyDescent="0.25">
      <c r="A41" s="199"/>
      <c r="Y41" s="6"/>
    </row>
    <row r="42" spans="1:28" s="3" customFormat="1" hidden="1" x14ac:dyDescent="0.25">
      <c r="A42" s="6"/>
      <c r="Y42" s="6"/>
    </row>
    <row r="43" spans="1:28" s="3" customFormat="1" hidden="1" x14ac:dyDescent="0.25">
      <c r="A43" s="6"/>
      <c r="Y43" s="6"/>
    </row>
    <row r="44" spans="1:28" s="3" customFormat="1" hidden="1" x14ac:dyDescent="0.25">
      <c r="A44" s="6"/>
      <c r="Y44" s="6"/>
    </row>
    <row r="45" spans="1:28" s="3" customFormat="1" hidden="1" x14ac:dyDescent="0.25">
      <c r="A45" s="6"/>
      <c r="Y45" s="6"/>
    </row>
    <row r="46" spans="1:28" s="3" customFormat="1" hidden="1" x14ac:dyDescent="0.25">
      <c r="Y46" s="6"/>
    </row>
    <row r="47" spans="1:28" s="3" customFormat="1" hidden="1" x14ac:dyDescent="0.25">
      <c r="A47"/>
      <c r="Y47" s="6"/>
    </row>
    <row r="48" spans="1:28" s="3" customFormat="1" hidden="1" x14ac:dyDescent="0.25">
      <c r="A48"/>
      <c r="Y48" s="6"/>
    </row>
    <row r="49" spans="1:25" s="3" customFormat="1" hidden="1" x14ac:dyDescent="0.25">
      <c r="A49"/>
      <c r="Y49" s="6"/>
    </row>
    <row r="50" spans="1:25" s="3" customFormat="1" hidden="1" x14ac:dyDescent="0.25">
      <c r="A50"/>
      <c r="Y50" s="6"/>
    </row>
    <row r="51" spans="1:25" s="3" customFormat="1" hidden="1" x14ac:dyDescent="0.25">
      <c r="A51"/>
      <c r="Y51" s="6"/>
    </row>
    <row r="52" spans="1:25" s="3" customFormat="1" hidden="1" x14ac:dyDescent="0.25">
      <c r="A52"/>
      <c r="Y52" s="6"/>
    </row>
    <row r="53" spans="1:25" s="3" customFormat="1" hidden="1" x14ac:dyDescent="0.25">
      <c r="A53"/>
      <c r="Y53" s="6"/>
    </row>
    <row r="54" spans="1:25" s="3" customFormat="1" hidden="1" x14ac:dyDescent="0.25">
      <c r="A54"/>
      <c r="Y54" s="6"/>
    </row>
    <row r="55" spans="1:25" s="3" customFormat="1" hidden="1" x14ac:dyDescent="0.25">
      <c r="A55"/>
      <c r="Y55" s="6"/>
    </row>
    <row r="56" spans="1:25" s="3" customFormat="1" hidden="1" x14ac:dyDescent="0.25">
      <c r="A56"/>
      <c r="Y56" s="6"/>
    </row>
    <row r="57" spans="1:25" s="3" customFormat="1" hidden="1" x14ac:dyDescent="0.25">
      <c r="A57"/>
      <c r="Y57" s="6"/>
    </row>
    <row r="58" spans="1:25" s="3" customFormat="1" hidden="1" x14ac:dyDescent="0.25">
      <c r="A58"/>
      <c r="Y58" s="6"/>
    </row>
    <row r="59" spans="1:25" s="3" customFormat="1" hidden="1" x14ac:dyDescent="0.25">
      <c r="A59"/>
      <c r="Y59" s="6"/>
    </row>
    <row r="60" spans="1:25" s="3" customFormat="1" hidden="1" x14ac:dyDescent="0.25">
      <c r="A60"/>
      <c r="Y60" s="6"/>
    </row>
    <row r="61" spans="1:25" s="3" customFormat="1" hidden="1" x14ac:dyDescent="0.25">
      <c r="A61"/>
      <c r="Y61" s="6"/>
    </row>
    <row r="62" spans="1:25" s="3" customFormat="1" hidden="1" x14ac:dyDescent="0.25">
      <c r="A62"/>
      <c r="Y62" s="6"/>
    </row>
    <row r="63" spans="1:25" s="3" customFormat="1" hidden="1" x14ac:dyDescent="0.25">
      <c r="A63"/>
      <c r="Y63" s="6"/>
    </row>
    <row r="64" spans="1:25" s="3" customFormat="1" hidden="1" x14ac:dyDescent="0.25">
      <c r="A64"/>
      <c r="Y64" s="6"/>
    </row>
    <row r="65" spans="1:25" s="3" customFormat="1" hidden="1" x14ac:dyDescent="0.25">
      <c r="A65"/>
      <c r="Y65" s="6"/>
    </row>
    <row r="66" spans="1:25" s="3" customFormat="1" hidden="1" x14ac:dyDescent="0.25">
      <c r="A66"/>
      <c r="Y66" s="6"/>
    </row>
    <row r="67" spans="1:25" s="3" customFormat="1" hidden="1" x14ac:dyDescent="0.25">
      <c r="A67"/>
      <c r="Y67" s="6"/>
    </row>
    <row r="68" spans="1:25" s="3" customFormat="1" hidden="1" x14ac:dyDescent="0.25">
      <c r="A68"/>
      <c r="Y68" s="6"/>
    </row>
    <row r="69" spans="1:25" s="3" customFormat="1" hidden="1" x14ac:dyDescent="0.25">
      <c r="A69"/>
      <c r="Y69" s="6"/>
    </row>
    <row r="70" spans="1:25" s="3" customFormat="1" hidden="1" x14ac:dyDescent="0.25">
      <c r="A70"/>
      <c r="Y70" s="6"/>
    </row>
    <row r="71" spans="1:25" s="3" customFormat="1" hidden="1" x14ac:dyDescent="0.25">
      <c r="A71"/>
      <c r="Y71" s="6"/>
    </row>
    <row r="72" spans="1:25" s="3" customFormat="1" hidden="1" x14ac:dyDescent="0.25">
      <c r="A72"/>
      <c r="Y72" s="6"/>
    </row>
    <row r="73" spans="1:25" hidden="1" x14ac:dyDescent="0.25"/>
    <row r="74" spans="1:25" hidden="1" x14ac:dyDescent="0.25"/>
    <row r="75" spans="1:25" hidden="1" x14ac:dyDescent="0.25"/>
    <row r="76" spans="1:25" hidden="1" x14ac:dyDescent="0.25"/>
    <row r="77" spans="1:25" hidden="1" x14ac:dyDescent="0.25"/>
    <row r="78" spans="1:25" hidden="1" x14ac:dyDescent="0.25"/>
    <row r="79" spans="1:25" hidden="1" x14ac:dyDescent="0.25"/>
    <row r="80" spans="1:25" hidden="1" x14ac:dyDescent="0.25"/>
    <row r="81" hidden="1" x14ac:dyDescent="0.25"/>
    <row r="82" hidden="1" x14ac:dyDescent="0.25"/>
    <row r="83" hidden="1" x14ac:dyDescent="0.25"/>
    <row r="84" hidden="1" x14ac:dyDescent="0.25"/>
    <row r="85" hidden="1" x14ac:dyDescent="0.25"/>
    <row r="86" hidden="1" x14ac:dyDescent="0.25"/>
    <row r="87" hidden="1" x14ac:dyDescent="0.25"/>
    <row r="88" hidden="1" x14ac:dyDescent="0.25"/>
    <row r="89" hidden="1" x14ac:dyDescent="0.25"/>
    <row r="90" hidden="1" x14ac:dyDescent="0.25"/>
    <row r="91" hidden="1" x14ac:dyDescent="0.25"/>
    <row r="92" hidden="1" x14ac:dyDescent="0.25"/>
    <row r="93" hidden="1" x14ac:dyDescent="0.25"/>
    <row r="94" hidden="1" x14ac:dyDescent="0.25"/>
    <row r="95" hidden="1" x14ac:dyDescent="0.25"/>
    <row r="96" hidden="1" x14ac:dyDescent="0.25"/>
    <row r="97" hidden="1" x14ac:dyDescent="0.25"/>
    <row r="98" hidden="1" x14ac:dyDescent="0.25"/>
    <row r="99" hidden="1" x14ac:dyDescent="0.25"/>
    <row r="100" hidden="1" x14ac:dyDescent="0.25"/>
    <row r="101" hidden="1" x14ac:dyDescent="0.25"/>
    <row r="102" hidden="1" x14ac:dyDescent="0.25"/>
    <row r="103" hidden="1" x14ac:dyDescent="0.25"/>
    <row r="104" hidden="1" x14ac:dyDescent="0.25"/>
    <row r="105" hidden="1" x14ac:dyDescent="0.25"/>
    <row r="106" hidden="1" x14ac:dyDescent="0.25"/>
    <row r="107" hidden="1" x14ac:dyDescent="0.25"/>
    <row r="108" hidden="1" x14ac:dyDescent="0.25"/>
    <row r="109" hidden="1" x14ac:dyDescent="0.25"/>
    <row r="110" hidden="1" x14ac:dyDescent="0.25"/>
    <row r="111" hidden="1" x14ac:dyDescent="0.25"/>
    <row r="112" hidden="1" x14ac:dyDescent="0.25"/>
    <row r="113" spans="18:18" hidden="1" x14ac:dyDescent="0.25"/>
    <row r="114" spans="18:18" hidden="1" x14ac:dyDescent="0.25"/>
    <row r="115" spans="18:18" hidden="1" x14ac:dyDescent="0.25"/>
    <row r="116" spans="18:18" hidden="1" x14ac:dyDescent="0.25"/>
    <row r="117" spans="18:18" hidden="1" x14ac:dyDescent="0.25"/>
    <row r="118" spans="18:18" hidden="1" x14ac:dyDescent="0.25"/>
    <row r="119" spans="18:18" hidden="1" x14ac:dyDescent="0.25"/>
    <row r="120" spans="18:18" hidden="1" x14ac:dyDescent="0.25"/>
    <row r="121" spans="18:18" hidden="1" x14ac:dyDescent="0.25"/>
    <row r="122" spans="18:18" hidden="1" x14ac:dyDescent="0.25"/>
    <row r="123" spans="18:18" hidden="1" x14ac:dyDescent="0.25"/>
    <row r="124" spans="18:18" hidden="1" x14ac:dyDescent="0.25"/>
    <row r="125" spans="18:18" hidden="1" x14ac:dyDescent="0.25"/>
    <row r="126" spans="18:18" hidden="1" x14ac:dyDescent="0.25"/>
    <row r="127" spans="18:18" hidden="1" x14ac:dyDescent="0.25">
      <c r="R127" s="4" t="str">
        <f>IFERROR(IF(VLOOKUP($L$5,'Datos PP'!$A$5:$AI$5,R126)="","",VLOOKUP($L$5,'Datos PP'!$A$5:$AI$5,R126,0)),"")</f>
        <v/>
      </c>
    </row>
  </sheetData>
  <sheetProtection algorithmName="SHA-512" hashValue="HTf/Fsz3KUrb0Ri0dbwXGnJ/fj+N5Wa/Y6KuThZzHdi7E3JoTOrjm4oifENzKeL1Muri3TupwajAW62eZhYn1Q==" saltValue="kA82nvfCdIHR9t9aMZqRoQ==" spinCount="100000" sheet="1" objects="1" scenarios="1" selectLockedCells="1"/>
  <mergeCells count="62">
    <mergeCell ref="S31:X36"/>
    <mergeCell ref="H11:W15"/>
    <mergeCell ref="G31:Q31"/>
    <mergeCell ref="G35:K35"/>
    <mergeCell ref="T25:W25"/>
    <mergeCell ref="T27:W27"/>
    <mergeCell ref="G33:K33"/>
    <mergeCell ref="M33:Q33"/>
    <mergeCell ref="M35:Q35"/>
    <mergeCell ref="T21:W21"/>
    <mergeCell ref="T23:W23"/>
    <mergeCell ref="R21:S21"/>
    <mergeCell ref="R23:S23"/>
    <mergeCell ref="R25:S25"/>
    <mergeCell ref="R27:S27"/>
    <mergeCell ref="C27:G27"/>
    <mergeCell ref="C32:D35"/>
    <mergeCell ref="A29:A31"/>
    <mergeCell ref="A1:A3"/>
    <mergeCell ref="P2:Q2"/>
    <mergeCell ref="N2:O2"/>
    <mergeCell ref="H9:M9"/>
    <mergeCell ref="H7:M7"/>
    <mergeCell ref="H27:O27"/>
    <mergeCell ref="A25:A27"/>
    <mergeCell ref="B1:K3"/>
    <mergeCell ref="H21:O21"/>
    <mergeCell ref="H23:O23"/>
    <mergeCell ref="H25:O25"/>
    <mergeCell ref="D13:G13"/>
    <mergeCell ref="B5:G5"/>
    <mergeCell ref="B7:G7"/>
    <mergeCell ref="Y1:Y3"/>
    <mergeCell ref="L2:M2"/>
    <mergeCell ref="T17:W17"/>
    <mergeCell ref="T19:W19"/>
    <mergeCell ref="R5:W5"/>
    <mergeCell ref="V2:W2"/>
    <mergeCell ref="T2:U2"/>
    <mergeCell ref="R2:S2"/>
    <mergeCell ref="H17:O17"/>
    <mergeCell ref="H19:O19"/>
    <mergeCell ref="Q7:W7"/>
    <mergeCell ref="R17:S17"/>
    <mergeCell ref="R19:S19"/>
    <mergeCell ref="N7:P7"/>
    <mergeCell ref="I5:K5"/>
    <mergeCell ref="O29:T29"/>
    <mergeCell ref="B9:G9"/>
    <mergeCell ref="N9:P9"/>
    <mergeCell ref="M4:M6"/>
    <mergeCell ref="G14:G16"/>
    <mergeCell ref="B15:F15"/>
    <mergeCell ref="B12:C14"/>
    <mergeCell ref="B11:G11"/>
    <mergeCell ref="C29:K29"/>
    <mergeCell ref="C25:G25"/>
    <mergeCell ref="C23:G23"/>
    <mergeCell ref="C21:G21"/>
    <mergeCell ref="C19:G19"/>
    <mergeCell ref="C17:G17"/>
    <mergeCell ref="N5:Q5"/>
  </mergeCells>
  <conditionalFormatting sqref="N29">
    <cfRule type="cellIs" dxfId="624" priority="72" operator="greaterThan">
      <formula>1</formula>
    </cfRule>
  </conditionalFormatting>
  <conditionalFormatting sqref="L29">
    <cfRule type="cellIs" dxfId="623" priority="68" operator="notEqual">
      <formula>100</formula>
    </cfRule>
  </conditionalFormatting>
  <conditionalFormatting sqref="Q17">
    <cfRule type="containsErrors" dxfId="622" priority="39">
      <formula>ISERROR(Q17)</formula>
    </cfRule>
  </conditionalFormatting>
  <conditionalFormatting sqref="AA2">
    <cfRule type="expression" dxfId="621" priority="34">
      <formula>$Z$2="OK"</formula>
    </cfRule>
  </conditionalFormatting>
  <conditionalFormatting sqref="Q21">
    <cfRule type="containsErrors" dxfId="620" priority="5">
      <formula>ISERROR(Q21)</formula>
    </cfRule>
  </conditionalFormatting>
  <conditionalFormatting sqref="Q23">
    <cfRule type="containsErrors" dxfId="619" priority="4">
      <formula>ISERROR(Q23)</formula>
    </cfRule>
  </conditionalFormatting>
  <conditionalFormatting sqref="Q25">
    <cfRule type="containsErrors" dxfId="618" priority="3">
      <formula>ISERROR(Q25)</formula>
    </cfRule>
  </conditionalFormatting>
  <conditionalFormatting sqref="Q27">
    <cfRule type="containsErrors" dxfId="617" priority="2">
      <formula>ISERROR(Q27)</formula>
    </cfRule>
  </conditionalFormatting>
  <conditionalFormatting sqref="Q19">
    <cfRule type="containsErrors" dxfId="616" priority="1">
      <formula>ISERROR(Q19)</formula>
    </cfRule>
  </conditionalFormatting>
  <dataValidations xWindow="115" yWindow="663" count="10">
    <dataValidation allowBlank="1" showErrorMessage="1" promptTitle="Nº Pregunta" prompt="Número de la PREGUNTA que se está consultando. Si quires que el primer número de este banco de preguntas sea mayor (11, 21, 31...) incrementa el rango en la casilla Nº INICIAL del BANCO de PREGUNTAS." sqref="L5"/>
    <dataValidation allowBlank="1" showErrorMessage="1" promptTitle="Enunciado de la pregunta" prompt="Escribe el enunciado de la pregunta. Si quieres poner CÓDIGOS ESPECIALES, pincha F2 o haz &quot;clic&quot; dos veces con el ratón." sqref="H11"/>
    <dataValidation allowBlank="1" showErrorMessage="1" promptTitle="Respuestas" prompt="Escribe la respuesta que corresponda según lo que está escrito a la izquierda. Primero hay que poner las respuestas correctas y, a continuación, las incorrctas. " sqref="H21 H25 H23 H17 H19 H27"/>
    <dataValidation allowBlank="1" showErrorMessage="1" promptTitle="Retroalimentación" prompt="Escribe el comentario que quieres que aparezca para cada respuesta." sqref="T21 T17 T23 T25 T19 T27"/>
    <dataValidation allowBlank="1" promptTitle="Puntos Respuesta Correcta" prompt="La puntuación que tendrá cada respuesta correcta. Si hay más de una respuesta correcta, la suma total debe ser 100 o 1." sqref="U29 L29"/>
    <dataValidation allowBlank="1" showErrorMessage="1" promptTitle="Descripción" prompt="Escirbe lo que quieras que aparezca en el NOMBRE de la pregunta. Éste se formará con el PREFIJO puesto en Datos Generales + el número de la pregunta + la Descripción." sqref="H9:M9"/>
    <dataValidation allowBlank="1" showErrorMessage="1" promptTitle="Pista 1" prompt="Comentario que aparecerá si configuras MOODLE para que pueda dar pistas cuando se dejen más de un intento." sqref="M35 M33 G35 G33"/>
    <dataValidation type="whole" allowBlank="1" promptTitle="Nº Preguntas Correctas" prompt="Para el caso de Opción Múltiple donde haya más de una respuesta correcta, indicar cuántas respuestas correctas tiene esta pergunta. Puede ser diferente para cada pregunta de un mismo banco de preguntas." sqref="N29">
      <formula1>1</formula1>
      <formula2>6</formula2>
    </dataValidation>
    <dataValidation type="list" errorStyle="warning" allowBlank="1" promptTitle="Respuesta Incorrecta" prompt="La puntuación que tendrá cada respuesta incorrecta. Si hay más de una respuesta incorrecta, la suma total debe ser -100 o -1. Si no quieres restar puntos por respuestas incorrectas, déjalo a CERO." sqref="Q17 Q23 Q19 Q21 Q25 Q27">
      <formula1>"100,0,-100,-100/2,-100/3,-100/4,-100/5"</formula1>
    </dataValidation>
    <dataValidation type="whole" allowBlank="1" showInputMessage="1" showErrorMessage="1" sqref="H5">
      <formula1>1</formula1>
      <formula2>9999</formula2>
    </dataValidation>
  </dataValidations>
  <hyperlinks>
    <hyperlink ref="B1:K3" r:id="rId1" display="https://youtu.be/pIMsBcuHDdo"/>
    <hyperlink ref="D13" r:id="rId2" display="EDITOR PREGUNTAS CLOZE"/>
  </hyperlinks>
  <printOptions horizontalCentered="1" verticalCentered="1"/>
  <pageMargins left="0.59055118110236227" right="0.59055118110236227" top="0.78740157480314965" bottom="0.78740157480314965" header="0.78740157480314965" footer="0.78740157480314965"/>
  <pageSetup paperSize="9" scale="84" orientation="landscape" horizontalDpi="1200" verticalDpi="1200" r:id="rId3"/>
  <headerFooter>
    <oddHeader>&amp;L&amp;G&amp;C&amp;"-,Negrita"&amp;12Elaborado por
MILAGROS HUERTA GÓMEZ DE MERODIO
(Universidad de Cádiz)&amp;R&amp;A</oddHeader>
    <oddFooter>&amp;C&amp;F&amp;RPg. &amp;P/&amp;N</oddFooter>
  </headerFooter>
  <drawing r:id="rId4"/>
  <legacyDrawing r:id="rId5"/>
  <legacyDrawingHF r:id="rId6"/>
  <mc:AlternateContent xmlns:mc="http://schemas.openxmlformats.org/markup-compatibility/2006">
    <mc:Choice Requires="x14">
      <controls>
        <mc:AlternateContent xmlns:mc="http://schemas.openxmlformats.org/markup-compatibility/2006">
          <mc:Choice Requires="x14">
            <control shapeId="3078" r:id="rId7" name="Contador 1">
              <controlPr defaultSize="0" autoPict="0" macro="[0]!Ver_Datos_Preguntas" altText="Para consultar los datos de cada pregunta.">
                <anchor moveWithCells="1" sizeWithCells="1">
                  <from>
                    <xdr:col>11</xdr:col>
                    <xdr:colOff>381000</xdr:colOff>
                    <xdr:row>4</xdr:row>
                    <xdr:rowOff>0</xdr:rowOff>
                  </from>
                  <to>
                    <xdr:col>12</xdr:col>
                    <xdr:colOff>85725</xdr:colOff>
                    <xdr:row>5</xdr:row>
                    <xdr:rowOff>19050</xdr:rowOff>
                  </to>
                </anchor>
              </controlPr>
            </control>
          </mc:Choice>
        </mc:AlternateContent>
        <mc:AlternateContent xmlns:mc="http://schemas.openxmlformats.org/markup-compatibility/2006">
          <mc:Choice Requires="x14">
            <control shapeId="3079" r:id="rId8" name="Box PREGUNTA">
              <controlPr defaultSize="0" autoFill="0" autoLine="0" autoPict="0">
                <anchor moveWithCells="1">
                  <from>
                    <xdr:col>12</xdr:col>
                    <xdr:colOff>66675</xdr:colOff>
                    <xdr:row>4</xdr:row>
                    <xdr:rowOff>9525</xdr:rowOff>
                  </from>
                  <to>
                    <xdr:col>12</xdr:col>
                    <xdr:colOff>304800</xdr:colOff>
                    <xdr:row>5</xdr:row>
                    <xdr:rowOff>9525</xdr:rowOff>
                  </to>
                </anchor>
              </controlPr>
            </control>
          </mc:Choice>
        </mc:AlternateContent>
        <mc:AlternateContent xmlns:mc="http://schemas.openxmlformats.org/markup-compatibility/2006">
          <mc:Choice Requires="x14">
            <control shapeId="3080" r:id="rId9" name="Contador 10">
              <controlPr defaultSize="0" autoPict="0" macro="[0]!Cambiar_N_I_Banco_Preguntas" altText="Para consultar los datos de cada pregunta.">
                <anchor moveWithCells="1" sizeWithCells="1">
                  <from>
                    <xdr:col>7</xdr:col>
                    <xdr:colOff>323850</xdr:colOff>
                    <xdr:row>4</xdr:row>
                    <xdr:rowOff>0</xdr:rowOff>
                  </from>
                  <to>
                    <xdr:col>8</xdr:col>
                    <xdr:colOff>28575</xdr:colOff>
                    <xdr:row>5</xdr:row>
                    <xdr:rowOff>19050</xdr:rowOff>
                  </to>
                </anchor>
              </controlPr>
            </control>
          </mc:Choice>
        </mc:AlternateContent>
        <mc:AlternateContent xmlns:mc="http://schemas.openxmlformats.org/markup-compatibility/2006">
          <mc:Choice Requires="x14">
            <control shapeId="3081" r:id="rId10" name="Contador 100">
              <controlPr defaultSize="0" autoPict="0" macro="[0]!Cambiar_N_I_Banco_Preguntas" altText="Para consultar los datos de cada pregunta.">
                <anchor moveWithCells="1" sizeWithCells="1">
                  <from>
                    <xdr:col>8</xdr:col>
                    <xdr:colOff>28575</xdr:colOff>
                    <xdr:row>4</xdr:row>
                    <xdr:rowOff>0</xdr:rowOff>
                  </from>
                  <to>
                    <xdr:col>8</xdr:col>
                    <xdr:colOff>114300</xdr:colOff>
                    <xdr:row>5</xdr:row>
                    <xdr:rowOff>19050</xdr:rowOff>
                  </to>
                </anchor>
              </controlPr>
            </control>
          </mc:Choice>
        </mc:AlternateContent>
      </controls>
    </mc:Choice>
  </mc:AlternateContent>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Hoja_21">
    <tabColor rgb="FFE87B00"/>
    <pageSetUpPr autoPageBreaks="0" fitToPage="1"/>
  </sheetPr>
  <dimension ref="A1:AK6"/>
  <sheetViews>
    <sheetView showGridLines="0" showRowColHeaders="0" zoomScale="140" zoomScaleNormal="140" workbookViewId="0">
      <pane xSplit="7" ySplit="2" topLeftCell="H6" activePane="bottomRight" state="frozen"/>
      <selection activeCell="I7" sqref="I7"/>
      <selection pane="topRight" activeCell="I7" sqref="I7"/>
      <selection pane="bottomLeft" activeCell="I7" sqref="I7"/>
      <selection pane="bottomRight" activeCell="G6" sqref="G6"/>
    </sheetView>
  </sheetViews>
  <sheetFormatPr baseColWidth="10" defaultColWidth="0" defaultRowHeight="15" x14ac:dyDescent="0.25"/>
  <cols>
    <col min="1" max="1" width="9.7109375" style="14" customWidth="1"/>
    <col min="2" max="2" width="5.7109375" style="11" customWidth="1"/>
    <col min="3" max="3" width="5.28515625" style="11" customWidth="1"/>
    <col min="4" max="4" width="5.42578125" style="15" customWidth="1"/>
    <col min="5" max="5" width="5.140625" style="15" customWidth="1"/>
    <col min="6" max="6" width="11.28515625" style="15" customWidth="1"/>
    <col min="7" max="7" width="44.42578125" style="11" customWidth="1"/>
    <col min="8" max="13" width="12.5703125" style="11" customWidth="1"/>
    <col min="14" max="19" width="14.28515625" style="11" customWidth="1"/>
    <col min="20" max="25" width="10.42578125" style="11" customWidth="1"/>
    <col min="26" max="31" width="10" style="11" hidden="1" customWidth="1"/>
    <col min="32" max="36" width="11.42578125" style="11" customWidth="1"/>
    <col min="37" max="37" width="0" style="11" hidden="1" customWidth="1"/>
    <col min="38" max="16384" width="11.42578125" style="11" hidden="1"/>
  </cols>
  <sheetData>
    <row r="1" spans="1:36" s="12" customFormat="1" ht="39.950000000000003" customHeight="1" x14ac:dyDescent="0.25">
      <c r="A1" s="317" t="str">
        <f>Version</f>
        <v xml:space="preserve">   V - 5.0 </v>
      </c>
      <c r="B1" s="316"/>
      <c r="C1" s="316"/>
      <c r="D1" s="316"/>
      <c r="E1" s="316"/>
      <c r="F1" s="319" t="str">
        <f ca="1">'Formulario OM'!L2&amp;"
"&amp;'DATOS GENERALES'!S17</f>
        <v>DATOS 
GENERALES
FORMULARIO</v>
      </c>
      <c r="G1" s="579" t="str">
        <f ca="1">INDIRECT("Z_BP_02_"&amp;IDIOMA)&amp;"
"&amp;INDIRECT("Z_BP_03_"&amp;IDIOMA)</f>
        <v>INSERTAR PREGUNTA
BORRAR PREGUNTA</v>
      </c>
      <c r="H1" s="321">
        <f>COUNTA(Tabla_OM[Enunciado])</f>
        <v>0</v>
      </c>
      <c r="I1" s="320" t="str">
        <f ca="1">INDIRECT("Z_BP_01_"&amp;IDIOMA)</f>
        <v>Preguntas Almacenadas</v>
      </c>
    </row>
    <row r="2" spans="1:36" s="494" customFormat="1" ht="50.1" customHeight="1" thickBot="1" x14ac:dyDescent="0.3">
      <c r="A2" s="354" t="str">
        <f ca="1">'Formulario OM'!B7</f>
        <v>Nombre de la pregunta</v>
      </c>
      <c r="B2" s="486" t="str">
        <f ca="1">"N. "&amp;INDIRECT("Z_OM_08_"&amp;IDIOMA)</f>
        <v>N. Respuesta Correcta</v>
      </c>
      <c r="C2" s="486" t="str">
        <f ca="1">"N. "&amp;INDIRECT("Z_OM_09_"&amp;IDIOMA)</f>
        <v>N. Respuesta Incorrecta</v>
      </c>
      <c r="D2" s="487" t="str">
        <f ca="1">'DATOS GENERALES'!P11&amp;" "&amp;INDIRECT("Z_OM_08_"&amp;IDIOMA)</f>
        <v>Puntos Respuesta Correcta</v>
      </c>
      <c r="E2" s="487" t="str">
        <f ca="1">'DATOS GENERALES'!P11&amp;" "&amp;INDIRECT("Z_OM_09_"&amp;IDIOMA)</f>
        <v>Puntos Respuesta Incorrecta</v>
      </c>
      <c r="F2" s="368" t="str">
        <f ca="1">'Formulario OM'!B9</f>
        <v>Descripción</v>
      </c>
      <c r="G2" s="358" t="str">
        <f ca="1">'Formulario OM'!B1&amp;"
"&amp;'Formulario OM'!B11</f>
        <v>FastTest PlugIn - Opción Múltiple 1R 
Enunciado de la pregunta</v>
      </c>
      <c r="H2" s="480" t="str">
        <f ca="1">INDIRECT("Z_RC_01_"&amp;IDIOMA)&amp;" 1"</f>
        <v>Respuesta 1</v>
      </c>
      <c r="I2" s="481" t="str">
        <f ca="1">INDIRECT("Z_RC_01_"&amp;IDIOMA)&amp;" 2"</f>
        <v>Respuesta 2</v>
      </c>
      <c r="J2" s="482" t="str">
        <f ca="1">INDIRECT("Z_RC_01_"&amp;IDIOMA)&amp;" 3"</f>
        <v>Respuesta 3</v>
      </c>
      <c r="K2" s="483" t="str">
        <f ca="1">INDIRECT("Z_RC_01_"&amp;IDIOMA)&amp;" 4"</f>
        <v>Respuesta 4</v>
      </c>
      <c r="L2" s="484" t="str">
        <f ca="1">INDIRECT("Z_RC_01_"&amp;IDIOMA)&amp;" 5"</f>
        <v>Respuesta 5</v>
      </c>
      <c r="M2" s="485" t="str">
        <f ca="1">INDIRECT("Z_RC_01_"&amp;IDIOMA)&amp;" 6"</f>
        <v>Respuesta 6</v>
      </c>
      <c r="N2" s="387" t="str">
        <f ca="1">'Formulario OM'!$R$17&amp;" 1"</f>
        <v>Retroalim. 1</v>
      </c>
      <c r="O2" s="388" t="str">
        <f ca="1">'Formulario OM'!$R$17&amp;" 2"</f>
        <v>Retroalim. 2</v>
      </c>
      <c r="P2" s="373" t="str">
        <f ca="1">'Formulario OM'!$R$17&amp;" 3"</f>
        <v>Retroalim. 3</v>
      </c>
      <c r="Q2" s="389" t="str">
        <f ca="1">'Formulario OM'!$R$17&amp;" 4"</f>
        <v>Retroalim. 4</v>
      </c>
      <c r="R2" s="390" t="str">
        <f ca="1">'Formulario OM'!$R$17&amp;" 5"</f>
        <v>Retroalim. 5</v>
      </c>
      <c r="S2" s="391" t="str">
        <f ca="1">'Formulario OM'!$R$17&amp;" 6"</f>
        <v>Retroalim. 6</v>
      </c>
      <c r="T2" s="488" t="str">
        <f ca="1">'DATOS GENERALES'!P11&amp;" 1"</f>
        <v>Puntos 1</v>
      </c>
      <c r="U2" s="489" t="str">
        <f ca="1">'DATOS GENERALES'!P11&amp;" 2"</f>
        <v>Puntos 2</v>
      </c>
      <c r="V2" s="490" t="str">
        <f ca="1">'DATOS GENERALES'!P11&amp;" 3"</f>
        <v>Puntos 3</v>
      </c>
      <c r="W2" s="491" t="str">
        <f ca="1">'DATOS GENERALES'!P11&amp;" 4"</f>
        <v>Puntos 4</v>
      </c>
      <c r="X2" s="492" t="str">
        <f ca="1">'DATOS GENERALES'!P11&amp;" 5"</f>
        <v>Puntos 5</v>
      </c>
      <c r="Y2" s="493" t="str">
        <f ca="1">'DATOS GENERALES'!P11&amp;" 6"</f>
        <v>Puntos 6</v>
      </c>
      <c r="Z2" s="391"/>
      <c r="AA2" s="391"/>
      <c r="AB2" s="391"/>
      <c r="AC2" s="391"/>
      <c r="AD2" s="391"/>
      <c r="AE2" s="391"/>
      <c r="AF2" s="369" t="str">
        <f ca="1">'Formulario OM'!$G$31&amp;": 1"</f>
        <v>PISTA: 1</v>
      </c>
      <c r="AG2" s="370" t="str">
        <f ca="1">'Formulario OM'!$G$31&amp;": 2"</f>
        <v>PISTA: 2</v>
      </c>
      <c r="AH2" s="371" t="str">
        <f ca="1">'Formulario OM'!$G$31&amp;": 3"</f>
        <v>PISTA: 3</v>
      </c>
      <c r="AI2" s="372" t="str">
        <f ca="1">'Formulario OM'!$G$31&amp;": 4"</f>
        <v>PISTA: 4</v>
      </c>
      <c r="AJ2" s="373" t="s">
        <v>1314</v>
      </c>
    </row>
    <row r="3" spans="1:36" s="473" customFormat="1" ht="12.75" hidden="1" thickTop="1" x14ac:dyDescent="0.25">
      <c r="A3" s="459" t="str">
        <f t="shared" ref="A3:AJ3" ca="1" si="0">IFERROR(IF(INDIRECT("F"&amp;PREGUNTA_ACTUAL-(N_I_OM)+N_I_Tabla&amp;"C"&amp;COLUMN(),FALSE)="","",INDIRECT("F"&amp;PREGUNTA_ACTUAL-(N_I_OM)+N_I_Tabla&amp;"C"&amp;COLUMN(),FALSE)),"")</f>
        <v/>
      </c>
      <c r="B3" s="459" t="str">
        <f t="shared" ca="1" si="0"/>
        <v/>
      </c>
      <c r="C3" s="459" t="str">
        <f t="shared" ca="1" si="0"/>
        <v/>
      </c>
      <c r="D3" s="459" t="str">
        <f t="shared" ca="1" si="0"/>
        <v/>
      </c>
      <c r="E3" s="459" t="str">
        <f t="shared" ca="1" si="0"/>
        <v/>
      </c>
      <c r="F3" s="459" t="str">
        <f t="shared" ca="1" si="0"/>
        <v/>
      </c>
      <c r="G3" s="459" t="str">
        <f t="shared" ca="1" si="0"/>
        <v/>
      </c>
      <c r="H3" s="459" t="str">
        <f t="shared" ca="1" si="0"/>
        <v/>
      </c>
      <c r="I3" s="459" t="str">
        <f t="shared" ca="1" si="0"/>
        <v/>
      </c>
      <c r="J3" s="459" t="str">
        <f t="shared" ca="1" si="0"/>
        <v/>
      </c>
      <c r="K3" s="459" t="str">
        <f t="shared" ca="1" si="0"/>
        <v/>
      </c>
      <c r="L3" s="459" t="str">
        <f t="shared" ca="1" si="0"/>
        <v/>
      </c>
      <c r="M3" s="459" t="str">
        <f t="shared" ca="1" si="0"/>
        <v/>
      </c>
      <c r="N3" s="459" t="str">
        <f t="shared" ca="1" si="0"/>
        <v/>
      </c>
      <c r="O3" s="459" t="str">
        <f t="shared" ca="1" si="0"/>
        <v/>
      </c>
      <c r="P3" s="459" t="str">
        <f t="shared" ca="1" si="0"/>
        <v/>
      </c>
      <c r="Q3" s="459" t="str">
        <f t="shared" ca="1" si="0"/>
        <v/>
      </c>
      <c r="R3" s="459" t="str">
        <f t="shared" ca="1" si="0"/>
        <v/>
      </c>
      <c r="S3" s="459" t="str">
        <f t="shared" ca="1" si="0"/>
        <v/>
      </c>
      <c r="T3" s="459" t="str">
        <f t="shared" ca="1" si="0"/>
        <v/>
      </c>
      <c r="U3" s="459" t="str">
        <f t="shared" ca="1" si="0"/>
        <v/>
      </c>
      <c r="V3" s="459" t="str">
        <f t="shared" ca="1" si="0"/>
        <v/>
      </c>
      <c r="W3" s="459" t="str">
        <f t="shared" ca="1" si="0"/>
        <v/>
      </c>
      <c r="X3" s="459" t="str">
        <f t="shared" ca="1" si="0"/>
        <v/>
      </c>
      <c r="Y3" s="459" t="str">
        <f t="shared" ca="1" si="0"/>
        <v/>
      </c>
      <c r="Z3" s="459" t="str">
        <f t="shared" ca="1" si="0"/>
        <v/>
      </c>
      <c r="AA3" s="459" t="str">
        <f t="shared" ca="1" si="0"/>
        <v/>
      </c>
      <c r="AB3" s="459" t="str">
        <f t="shared" ca="1" si="0"/>
        <v/>
      </c>
      <c r="AC3" s="459" t="str">
        <f t="shared" ca="1" si="0"/>
        <v/>
      </c>
      <c r="AD3" s="459" t="str">
        <f t="shared" ca="1" si="0"/>
        <v/>
      </c>
      <c r="AE3" s="459" t="str">
        <f t="shared" ca="1" si="0"/>
        <v/>
      </c>
      <c r="AF3" s="459" t="str">
        <f t="shared" ca="1" si="0"/>
        <v/>
      </c>
      <c r="AG3" s="459" t="str">
        <f t="shared" ca="1" si="0"/>
        <v/>
      </c>
      <c r="AH3" s="459" t="str">
        <f t="shared" ca="1" si="0"/>
        <v/>
      </c>
      <c r="AI3" s="459" t="str">
        <f t="shared" ca="1" si="0"/>
        <v/>
      </c>
      <c r="AJ3" s="459" t="str">
        <f t="shared" ca="1" si="0"/>
        <v/>
      </c>
    </row>
    <row r="4" spans="1:36" s="472" customFormat="1" ht="12" hidden="1" x14ac:dyDescent="0.25">
      <c r="A4" s="142">
        <v>101</v>
      </c>
      <c r="B4" s="471">
        <f>ROW(Tabla_OM[[#Headers],[NRC]])+1</f>
        <v>6</v>
      </c>
      <c r="C4" s="470"/>
      <c r="D4" s="345"/>
      <c r="E4" s="345"/>
      <c r="F4" s="148" t="str">
        <f>IF('Formulario OM'!H9="","",'Formulario OM'!H9)</f>
        <v/>
      </c>
      <c r="G4" s="422" t="str">
        <f>IF('Formulario OM'!H11="","",'Formulario OM'!H11)</f>
        <v/>
      </c>
      <c r="H4" s="160" t="str">
        <f>IF('Formulario OM'!H17="","",'Formulario OM'!H17)</f>
        <v/>
      </c>
      <c r="I4" s="161" t="str">
        <f>IF('Formulario OM'!H19="","",'Formulario OM'!H19)</f>
        <v/>
      </c>
      <c r="J4" s="162" t="str">
        <f>IF('Formulario OM'!H21="","",'Formulario OM'!H21)</f>
        <v/>
      </c>
      <c r="K4" s="163" t="str">
        <f>IF('Formulario OM'!H23="","",'Formulario OM'!H23)</f>
        <v/>
      </c>
      <c r="L4" s="164" t="str">
        <f>IF('Formulario OM'!H25="","",'Formulario OM'!H25)</f>
        <v/>
      </c>
      <c r="M4" s="165" t="str">
        <f>IF('Formulario OM'!H27="","",'Formulario OM'!H27)</f>
        <v/>
      </c>
      <c r="N4" s="150" t="str">
        <f>IF('Formulario OM'!T17="","",'Formulario OM'!T17)</f>
        <v/>
      </c>
      <c r="O4" s="151" t="str">
        <f>IF('Formulario OM'!T19="","",'Formulario OM'!T19)</f>
        <v/>
      </c>
      <c r="P4" s="152" t="str">
        <f>IF('Formulario OM'!T21="","",'Formulario OM'!T21)</f>
        <v/>
      </c>
      <c r="Q4" s="153" t="str">
        <f>IF('Formulario OM'!T23="","",'Formulario OM'!T23)</f>
        <v/>
      </c>
      <c r="R4" s="154" t="str">
        <f>IF('Formulario OM'!T25="","",'Formulario OM'!T25)</f>
        <v/>
      </c>
      <c r="S4" s="155" t="str">
        <f>IF('Formulario OM'!T27="","",'Formulario OM'!T27)</f>
        <v/>
      </c>
      <c r="T4" s="160" t="str">
        <f>IF('Formulario OM'!Q17="","",'Formulario OM'!Q17)</f>
        <v/>
      </c>
      <c r="U4" s="161" t="str">
        <f>IF('Formulario OM'!Q19="","",'Formulario OM'!Q19)</f>
        <v/>
      </c>
      <c r="V4" s="162" t="str">
        <f>IF('Formulario OM'!Q21="","",'Formulario OM'!Q21)</f>
        <v/>
      </c>
      <c r="W4" s="163" t="str">
        <f>IF('Formulario OM'!Q23="","",'Formulario OM'!Q23)</f>
        <v/>
      </c>
      <c r="X4" s="164" t="str">
        <f>IF('Formulario OM'!Q25="","",'Formulario OM'!Q25)</f>
        <v/>
      </c>
      <c r="Y4" s="165" t="str">
        <f>IF('Formulario OM'!Q27="","",'Formulario OM'!Q27)</f>
        <v/>
      </c>
      <c r="Z4" s="155"/>
      <c r="AA4" s="155"/>
      <c r="AB4" s="155"/>
      <c r="AC4" s="155"/>
      <c r="AD4" s="155"/>
      <c r="AE4" s="155"/>
      <c r="AF4" s="156" t="str">
        <f>IF('Formulario OM'!G33="","",'Formulario OM'!G33)</f>
        <v/>
      </c>
      <c r="AG4" s="157" t="str">
        <f>IF('Formulario OM'!M33="","",'Formulario OM'!M33)</f>
        <v/>
      </c>
      <c r="AH4" s="158" t="str">
        <f>IF('Formulario OM'!G35="","",'Formulario OM'!G35)</f>
        <v/>
      </c>
      <c r="AI4" s="159" t="str">
        <f>IF('Formulario OM'!M35="","",'Formulario OM'!M35)</f>
        <v/>
      </c>
      <c r="AJ4" s="152" t="str">
        <f>IF('Formulario OM'!Q7="","",'Formulario OM'!Q7)</f>
        <v/>
      </c>
    </row>
    <row r="5" spans="1:36" hidden="1" x14ac:dyDescent="0.25">
      <c r="A5" s="416" t="s">
        <v>1702</v>
      </c>
      <c r="B5" s="416" t="s">
        <v>1703</v>
      </c>
      <c r="C5" s="416" t="s">
        <v>1704</v>
      </c>
      <c r="D5" s="416" t="s">
        <v>1705</v>
      </c>
      <c r="E5" s="416" t="s">
        <v>1857</v>
      </c>
      <c r="F5" s="426" t="s">
        <v>1856</v>
      </c>
      <c r="G5" s="427" t="s">
        <v>24</v>
      </c>
      <c r="H5" s="428" t="s">
        <v>1551</v>
      </c>
      <c r="I5" s="429" t="s">
        <v>1552</v>
      </c>
      <c r="J5" s="430" t="s">
        <v>1553</v>
      </c>
      <c r="K5" s="431" t="s">
        <v>1554</v>
      </c>
      <c r="L5" s="432" t="s">
        <v>1555</v>
      </c>
      <c r="M5" s="433" t="s">
        <v>1556</v>
      </c>
      <c r="N5" s="434" t="s">
        <v>1690</v>
      </c>
      <c r="O5" s="435" t="s">
        <v>1691</v>
      </c>
      <c r="P5" s="436" t="s">
        <v>1692</v>
      </c>
      <c r="Q5" s="437" t="s">
        <v>1693</v>
      </c>
      <c r="R5" s="438" t="s">
        <v>1694</v>
      </c>
      <c r="S5" s="439" t="s">
        <v>1695</v>
      </c>
      <c r="T5" s="440" t="s">
        <v>1557</v>
      </c>
      <c r="U5" s="441" t="s">
        <v>1558</v>
      </c>
      <c r="V5" s="442" t="s">
        <v>1559</v>
      </c>
      <c r="W5" s="443" t="s">
        <v>1560</v>
      </c>
      <c r="X5" s="444" t="s">
        <v>1561</v>
      </c>
      <c r="Y5" s="445" t="s">
        <v>1562</v>
      </c>
      <c r="Z5" s="439" t="s">
        <v>1696</v>
      </c>
      <c r="AA5" s="439" t="s">
        <v>1697</v>
      </c>
      <c r="AB5" s="439" t="s">
        <v>1698</v>
      </c>
      <c r="AC5" s="439" t="s">
        <v>1699</v>
      </c>
      <c r="AD5" s="439" t="s">
        <v>1700</v>
      </c>
      <c r="AE5" s="439" t="s">
        <v>1701</v>
      </c>
      <c r="AF5" s="446" t="s">
        <v>1606</v>
      </c>
      <c r="AG5" s="447" t="s">
        <v>1607</v>
      </c>
      <c r="AH5" s="448" t="s">
        <v>1608</v>
      </c>
      <c r="AI5" s="449" t="s">
        <v>1609</v>
      </c>
      <c r="AJ5" s="436" t="s">
        <v>1314</v>
      </c>
    </row>
    <row r="6" spans="1:36" ht="15.75" thickTop="1" x14ac:dyDescent="0.25">
      <c r="A6" s="645" t="str">
        <f>IFERROR(IF(Tabla_OM[[#This Row],[Enunciado]]="","",PREF_PREGUNTA&amp;IF(PREF_PREGUNTA="",""," - ")&amp;
IF(n_preg_ON_OM=TRUE,IF((N_I_OM+ROW()-N_I_Tabla)&gt;99,
IF((N_I_OM+ROW()-N_I_Tabla)&lt;100,"0",""),"")&amp;
IF((N_I_OM+ROW()-N_I_Tabla)&lt;10,"0","")&amp;(N_I_OM+ROW()-N_I_Tabla),""))&amp;
IF(Tabla_OM[[#This Row],[Descripcion]]&lt;&gt;""," "&amp;Tabla_OM[[#This Row],[Descripcion]],""),"")</f>
        <v/>
      </c>
      <c r="B6" s="646" t="str">
        <f>IF(COUNTIF(Tabla_OM[[#This Row],[Puntos 1]:[Puntos 6]],"&gt;0")=0,"",COUNTIF(Tabla_OM[[#This Row],[Puntos 1]:[Puntos 6]],"&gt;0"))</f>
        <v/>
      </c>
      <c r="C6" s="646" t="str">
        <f>IFERROR(MAX(COUNTA(Tabla_OM[[#This Row],[Respuesta 1]:[Respuesta 6]])-Tabla_OM[[#This Row],[NRC]],0),"")</f>
        <v/>
      </c>
      <c r="D6" s="646" t="str">
        <f>IF(SUMIF(Tabla_OM[[#This Row],[Puntos 1]:[Puntos 6]],"&gt;0")=0,"",SUMIF(Tabla_OM[[#This Row],[Puntos 1]:[Puntos 6]],"&gt;0"))</f>
        <v/>
      </c>
      <c r="E6" s="646" t="str">
        <f>IF(SUMIF(Tabla_OM[[#This Row],[Puntos 1]:[Puntos 6]],"&lt;0")=0,"",SUMIF(Tabla_OM[[#This Row],[Puntos 1]:[Puntos 6]],"&lt;0"))</f>
        <v/>
      </c>
      <c r="F6" s="647"/>
      <c r="G6" s="144"/>
      <c r="H6" s="648"/>
      <c r="I6" s="649"/>
      <c r="J6" s="650"/>
      <c r="K6" s="651"/>
      <c r="L6" s="651"/>
      <c r="M6" s="652"/>
      <c r="N6" s="150"/>
      <c r="O6" s="151"/>
      <c r="P6" s="152"/>
      <c r="Q6" s="153"/>
      <c r="R6" s="154"/>
      <c r="S6" s="155"/>
      <c r="T6" s="155"/>
      <c r="U6" s="155"/>
      <c r="V6" s="155"/>
      <c r="W6" s="155"/>
      <c r="X6" s="155"/>
      <c r="Y6" s="155"/>
      <c r="Z6" s="155"/>
      <c r="AA6" s="155"/>
      <c r="AB6" s="155"/>
      <c r="AC6" s="155"/>
      <c r="AD6" s="155"/>
      <c r="AE6" s="155"/>
      <c r="AF6" s="156"/>
      <c r="AG6" s="157"/>
      <c r="AH6" s="158"/>
      <c r="AI6" s="159"/>
      <c r="AJ6" s="152"/>
    </row>
  </sheetData>
  <sheetProtection algorithmName="SHA-512" hashValue="kJhVMVyckx9poeFbuyy0ZmnxP/30ypz+479BQJHaktQ7fGM2h8GTi40jJ66AGxBBgNbrPOJ7g/H/8wr0F4am9g==" saltValue="wuwPcahxmKLSd/KJA1BRkw==" spinCount="100000" sheet="1" objects="1" scenarios="1" selectLockedCells="1"/>
  <conditionalFormatting sqref="Z4:AE4 F4:S4 F2:AJ2 F6:AJ6">
    <cfRule type="cellIs" dxfId="615" priority="1379" operator="equal">
      <formula>""</formula>
    </cfRule>
    <cfRule type="cellIs" dxfId="614" priority="1380" operator="equal">
      <formula>0</formula>
    </cfRule>
  </conditionalFormatting>
  <conditionalFormatting sqref="AF4:AI4">
    <cfRule type="cellIs" dxfId="613" priority="1289" operator="equal">
      <formula>""</formula>
    </cfRule>
    <cfRule type="cellIs" dxfId="612" priority="1290" operator="equal">
      <formula>0</formula>
    </cfRule>
  </conditionalFormatting>
  <conditionalFormatting sqref="T4:Y4">
    <cfRule type="cellIs" dxfId="611" priority="669" operator="equal">
      <formula>""</formula>
    </cfRule>
    <cfRule type="cellIs" dxfId="610" priority="670" operator="equal">
      <formula>0</formula>
    </cfRule>
  </conditionalFormatting>
  <conditionalFormatting sqref="AJ4">
    <cfRule type="cellIs" dxfId="609" priority="495" operator="equal">
      <formula>""</formula>
    </cfRule>
    <cfRule type="cellIs" dxfId="608" priority="496" operator="equal">
      <formula>0</formula>
    </cfRule>
  </conditionalFormatting>
  <conditionalFormatting sqref="A2">
    <cfRule type="cellIs" dxfId="607" priority="5" operator="equal">
      <formula>""</formula>
    </cfRule>
    <cfRule type="cellIs" dxfId="606" priority="6" operator="equal">
      <formula>0</formula>
    </cfRule>
  </conditionalFormatting>
  <conditionalFormatting sqref="F5:AJ5">
    <cfRule type="cellIs" dxfId="605" priority="1" operator="equal">
      <formula>""</formula>
    </cfRule>
    <cfRule type="cellIs" dxfId="604" priority="2" operator="equal">
      <formula>0</formula>
    </cfRule>
  </conditionalFormatting>
  <dataValidations disablePrompts="1" count="1">
    <dataValidation allowBlank="1" showInputMessage="1" showErrorMessage="1" errorTitle="Error" error="Debes introducir un número válido. _x000a_Rellena primero las respuestas._x000a__x000a_Pulsa ESC para continuar." sqref="B6"/>
  </dataValidations>
  <pageMargins left="0.70866141732283472" right="0.70866141732283472" top="0.74803149606299213" bottom="0.74803149606299213" header="0.31496062992125984" footer="0.31496062992125984"/>
  <pageSetup paperSize="9" scale="44" fitToHeight="47" orientation="landscape" r:id="rId1"/>
  <drawing r:id="rId2"/>
  <tableParts count="1">
    <tablePart r:id="rId3"/>
  </tableParts>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Hoja_12">
    <tabColor rgb="FF005877"/>
    <pageSetUpPr fitToPage="1"/>
  </sheetPr>
  <dimension ref="A1:AD127"/>
  <sheetViews>
    <sheetView showGridLines="0" showRowColHeaders="0" zoomScale="140" zoomScaleNormal="140" workbookViewId="0">
      <pane xSplit="38" ySplit="73" topLeftCell="AM74" activePane="bottomRight" state="frozen"/>
      <selection activeCell="K7" sqref="K7:O7"/>
      <selection pane="topRight" activeCell="K7" sqref="K7:O7"/>
      <selection pane="bottomLeft" activeCell="K7" sqref="K7:O7"/>
      <selection pane="bottomRight" activeCell="H9" sqref="H9:M9"/>
    </sheetView>
  </sheetViews>
  <sheetFormatPr baseColWidth="10" defaultColWidth="0" defaultRowHeight="15" zeroHeight="1" x14ac:dyDescent="0.25"/>
  <cols>
    <col min="1" max="1" width="10.7109375" customWidth="1"/>
    <col min="2" max="2" width="2.7109375" style="4" customWidth="1"/>
    <col min="3" max="23" width="5.7109375" style="4" customWidth="1"/>
    <col min="24" max="24" width="2.7109375" style="4" customWidth="1"/>
    <col min="25" max="25" width="10.7109375" style="93" customWidth="1"/>
    <col min="26" max="26" width="2.7109375" style="4" customWidth="1"/>
    <col min="27" max="27" width="10.7109375" style="4" customWidth="1"/>
    <col min="28" max="28" width="2.7109375" style="4" customWidth="1"/>
    <col min="29" max="29" width="1.7109375" style="4" hidden="1" customWidth="1"/>
    <col min="30" max="30" width="5.7109375" style="4" hidden="1" customWidth="1"/>
    <col min="31" max="16384" width="11.42578125" style="4" hidden="1"/>
  </cols>
  <sheetData>
    <row r="1" spans="1:30" ht="2.25" customHeight="1" thickTop="1" x14ac:dyDescent="0.25">
      <c r="A1" s="737" t="str">
        <f ca="1">'Formulario OM'!A1</f>
        <v>CÓDIGOS 
ESPECIALES</v>
      </c>
      <c r="B1" s="776" t="str">
        <f ca="1">APP&amp;" - "&amp;Tipo_2</f>
        <v xml:space="preserve">FastTest PlugIn - Opción Múltiple +R </v>
      </c>
      <c r="C1" s="777"/>
      <c r="D1" s="777"/>
      <c r="E1" s="777"/>
      <c r="F1" s="777"/>
      <c r="G1" s="777"/>
      <c r="H1" s="777"/>
      <c r="I1" s="777"/>
      <c r="J1" s="777"/>
      <c r="K1" s="777"/>
      <c r="L1" s="172"/>
      <c r="M1" s="172"/>
      <c r="N1" s="172"/>
      <c r="O1" s="172"/>
      <c r="P1" s="172"/>
      <c r="Q1" s="172"/>
      <c r="R1" s="172"/>
      <c r="S1" s="172"/>
      <c r="T1" s="172"/>
      <c r="U1" s="172"/>
      <c r="V1" s="172"/>
      <c r="W1" s="172"/>
      <c r="X1" s="173"/>
      <c r="Y1" s="713" t="str">
        <f ca="1">'Formulario OM'!Y1</f>
        <v>NO USAR CORTAR
[Ctrl + X]</v>
      </c>
      <c r="AB1" s="4">
        <f>COUNTA(Q7,H9,H11,H17,Q17,T17,H19,Q19,T19,H21,Q21,T21,H23,Q23,T23,H25,Q25,T25,H27,Q27,T27,G33,M33,G35,M35)</f>
        <v>0</v>
      </c>
      <c r="AC1" s="590" t="str">
        <f>IFERROR(HLOOKUP(AC4,$AB$4:AB4,1,0),"OK")</f>
        <v>OK</v>
      </c>
      <c r="AD1" s="587"/>
    </row>
    <row r="2" spans="1:30" ht="24.95" customHeight="1" x14ac:dyDescent="0.25">
      <c r="A2" s="738"/>
      <c r="B2" s="778"/>
      <c r="C2" s="779"/>
      <c r="D2" s="779"/>
      <c r="E2" s="779"/>
      <c r="F2" s="779"/>
      <c r="G2" s="779"/>
      <c r="H2" s="779"/>
      <c r="I2" s="779"/>
      <c r="J2" s="779"/>
      <c r="K2" s="779"/>
      <c r="L2" s="802" t="str">
        <f ca="1">'Formulario OM'!L2</f>
        <v>DATOS 
GENERALES</v>
      </c>
      <c r="M2" s="760">
        <f>'Formulario OM'!M2</f>
        <v>0</v>
      </c>
      <c r="N2" s="803" t="str">
        <f ca="1">'Formulario OM'!N2</f>
        <v>BANCO 
PREGUNTAS</v>
      </c>
      <c r="O2" s="804">
        <f>'Formulario OM'!O2</f>
        <v>0</v>
      </c>
      <c r="P2" s="805" t="str">
        <f ca="1">'Formulario OM'!P2</f>
        <v>LIMPIAR 
DATOS</v>
      </c>
      <c r="Q2" s="804">
        <f>'Formulario OM'!Q2</f>
        <v>0</v>
      </c>
      <c r="R2" s="805" t="str">
        <f ca="1">'Formulario OM'!R2</f>
        <v>GUARDAR 
PREGUNTAS</v>
      </c>
      <c r="S2" s="804">
        <f>'Formulario OM'!S2</f>
        <v>0</v>
      </c>
      <c r="T2" s="805" t="str">
        <f ca="1">'Formulario OM'!T2</f>
        <v>BORRAR 
PREGUNTAS</v>
      </c>
      <c r="U2" s="804">
        <f>'Formulario OM'!U2</f>
        <v>0</v>
      </c>
      <c r="V2" s="805" t="str">
        <f ca="1">'Formulario OM'!V2</f>
        <v>DAR 
FORMATO</v>
      </c>
      <c r="W2" s="806">
        <f>'Formulario OM'!W2</f>
        <v>0</v>
      </c>
      <c r="X2" s="211" t="s">
        <v>129</v>
      </c>
      <c r="Y2" s="714">
        <f>'Formulario OM'!Y2</f>
        <v>0</v>
      </c>
      <c r="Z2" s="300" t="s">
        <v>1310</v>
      </c>
      <c r="AA2" s="313" t="str">
        <f ca="1">'Formulario OM'!AA2</f>
        <v>BORRAR VARIABLES</v>
      </c>
      <c r="AB2" s="581">
        <f>COUNTA(Y5:Y35)+COUNTA(AA5:AA35)</f>
        <v>0</v>
      </c>
      <c r="AC2" s="590">
        <f>COUNTA(AC5:AC36)</f>
        <v>0</v>
      </c>
      <c r="AD2" s="587"/>
    </row>
    <row r="3" spans="1:30" ht="2.25" customHeight="1" thickBot="1" x14ac:dyDescent="0.3">
      <c r="A3" s="739"/>
      <c r="B3" s="778"/>
      <c r="C3" s="779"/>
      <c r="D3" s="779"/>
      <c r="E3" s="779"/>
      <c r="F3" s="779"/>
      <c r="G3" s="779"/>
      <c r="H3" s="779"/>
      <c r="I3" s="779"/>
      <c r="J3" s="779"/>
      <c r="K3" s="779"/>
      <c r="L3" s="187"/>
      <c r="M3" s="188"/>
      <c r="N3" s="189"/>
      <c r="O3" s="190"/>
      <c r="P3" s="189"/>
      <c r="Q3" s="190"/>
      <c r="R3" s="189"/>
      <c r="S3" s="190"/>
      <c r="T3" s="189"/>
      <c r="U3" s="190"/>
      <c r="V3" s="189"/>
      <c r="W3" s="190"/>
      <c r="X3" s="191"/>
      <c r="Y3" s="715">
        <f>'Formulario OM'!Y3</f>
        <v>0</v>
      </c>
      <c r="AB3" s="583" t="s">
        <v>18754</v>
      </c>
      <c r="AC3" s="590">
        <f>COUNTA(AC39:AC79)</f>
        <v>0</v>
      </c>
      <c r="AD3" s="587"/>
    </row>
    <row r="4" spans="1:30" ht="6" customHeight="1" thickBot="1" x14ac:dyDescent="0.3">
      <c r="A4" s="192"/>
      <c r="B4" s="75"/>
      <c r="C4" s="77"/>
      <c r="D4" s="77"/>
      <c r="E4" s="77"/>
      <c r="F4" s="77"/>
      <c r="G4" s="77"/>
      <c r="H4" s="78"/>
      <c r="I4" s="79"/>
      <c r="J4" s="79"/>
      <c r="K4" s="79"/>
      <c r="L4" s="79"/>
      <c r="M4" s="752"/>
      <c r="N4" s="79"/>
      <c r="O4" s="79"/>
      <c r="P4" s="79"/>
      <c r="Q4" s="79"/>
      <c r="R4" s="79"/>
      <c r="S4" s="79"/>
      <c r="T4" s="78"/>
      <c r="U4" s="78"/>
      <c r="V4" s="78"/>
      <c r="W4" s="78"/>
      <c r="X4" s="80"/>
      <c r="Y4" s="196"/>
      <c r="AB4" s="583" t="s">
        <v>18755</v>
      </c>
      <c r="AC4" s="590">
        <f>COLUMN()+COUNTA(AD4:XFD4)</f>
        <v>29</v>
      </c>
    </row>
    <row r="5" spans="1:30" x14ac:dyDescent="0.25">
      <c r="A5" s="194" t="str">
        <f ca="1">'Formulario OM'!A5</f>
        <v>FÓRMULA</v>
      </c>
      <c r="B5" s="781" t="str">
        <f ca="1">INDIRECT("Z_OM_01_"&amp;IDIOMA)</f>
        <v>Nº Inicial del Banco de Preguntas</v>
      </c>
      <c r="C5" s="782"/>
      <c r="D5" s="782"/>
      <c r="E5" s="782"/>
      <c r="F5" s="782"/>
      <c r="G5" s="782"/>
      <c r="H5" s="328">
        <f>'Datos O2'!$A$4</f>
        <v>201</v>
      </c>
      <c r="I5" s="700" t="str">
        <f ca="1">INDIRECT("Z_OM_02_"&amp;IDIOMA)</f>
        <v>Pregunta Nº</v>
      </c>
      <c r="J5" s="755"/>
      <c r="K5" s="755"/>
      <c r="L5" s="39">
        <f>G37</f>
        <v>201</v>
      </c>
      <c r="M5" s="752"/>
      <c r="N5" s="757" t="str">
        <f ca="1">INDIRECT("Z_TX_88_"&amp;IDIOMA)&amp;" ("&amp;AC4-COLUMN(AC2)&amp;")"</f>
        <v>ALMACENAR FORMULAS (0)</v>
      </c>
      <c r="O5" s="758"/>
      <c r="P5" s="758"/>
      <c r="Q5" s="759"/>
      <c r="R5" s="746" t="str">
        <f ca="1">INDIRECT("Z_DG_15_"&amp;IDIOMA)&amp;": "&amp;P_min_O2&amp;IF(P_max_O2=0,""," - "&amp;P_max_O2)</f>
        <v>Rango de preguntas almacenadas: 0</v>
      </c>
      <c r="S5" s="746"/>
      <c r="T5" s="746"/>
      <c r="U5" s="746"/>
      <c r="V5" s="746"/>
      <c r="W5" s="746"/>
      <c r="X5" s="68"/>
      <c r="Y5" s="198"/>
      <c r="Z5" s="300">
        <v>1</v>
      </c>
      <c r="AA5" s="314"/>
      <c r="AB5" s="300">
        <f>Z35+1</f>
        <v>17</v>
      </c>
    </row>
    <row r="6" spans="1:30" ht="6" customHeight="1" thickBot="1" x14ac:dyDescent="0.3">
      <c r="A6" s="19"/>
      <c r="B6" s="60"/>
      <c r="C6" s="61"/>
      <c r="D6" s="61"/>
      <c r="E6" s="61"/>
      <c r="F6" s="61"/>
      <c r="G6" s="61"/>
      <c r="H6" s="62"/>
      <c r="I6" s="63"/>
      <c r="J6" s="63"/>
      <c r="K6" s="63"/>
      <c r="L6" s="63"/>
      <c r="M6" s="752"/>
      <c r="N6" s="63"/>
      <c r="O6" s="62"/>
      <c r="P6" s="63"/>
      <c r="Q6" s="76"/>
      <c r="R6" s="63"/>
      <c r="S6" s="73"/>
      <c r="T6" s="63"/>
      <c r="U6" s="234"/>
      <c r="V6" s="73"/>
      <c r="W6" s="73"/>
      <c r="X6" s="64"/>
      <c r="Y6" s="197"/>
    </row>
    <row r="7" spans="1:30" ht="15" customHeight="1" thickTop="1" thickBot="1" x14ac:dyDescent="0.3">
      <c r="A7" s="194" t="str">
        <f ca="1">'Formulario OM'!A7</f>
        <v>SUPERÍNDICE</v>
      </c>
      <c r="B7" s="781" t="str">
        <f ca="1">INDIRECT("Z_OM_04_"&amp;IDIOMA)</f>
        <v>Nombre de la pregunta</v>
      </c>
      <c r="C7" s="782"/>
      <c r="D7" s="782"/>
      <c r="E7" s="782"/>
      <c r="F7" s="782"/>
      <c r="G7" s="782"/>
      <c r="H7" s="772" t="str">
        <f ca="1">IFERROR(INDIRECT("'Datos O2'!a"&amp;(L5-H5+N_I_Tabla)),"")</f>
        <v/>
      </c>
      <c r="I7" s="772"/>
      <c r="J7" s="772"/>
      <c r="K7" s="772"/>
      <c r="L7" s="772"/>
      <c r="M7" s="772"/>
      <c r="N7" s="700" t="str">
        <f ca="1">INDIRECT("Z_OM_14_"&amp;IDIOMA)</f>
        <v>Imagen</v>
      </c>
      <c r="O7" s="755"/>
      <c r="P7" s="755"/>
      <c r="Q7" s="768"/>
      <c r="R7" s="769"/>
      <c r="S7" s="769"/>
      <c r="T7" s="769"/>
      <c r="U7" s="769"/>
      <c r="V7" s="769"/>
      <c r="W7" s="770"/>
      <c r="X7" s="68"/>
      <c r="Y7" s="198"/>
      <c r="Z7" s="300">
        <f>Z5+1</f>
        <v>2</v>
      </c>
      <c r="AA7" s="314"/>
      <c r="AB7" s="300">
        <f>AB5+1</f>
        <v>18</v>
      </c>
    </row>
    <row r="8" spans="1:30" ht="6" customHeight="1" thickTop="1" x14ac:dyDescent="0.25">
      <c r="A8" s="20"/>
      <c r="B8" s="60"/>
      <c r="C8" s="61"/>
      <c r="D8" s="61"/>
      <c r="E8" s="61"/>
      <c r="F8" s="61"/>
      <c r="G8" s="63"/>
      <c r="H8" s="63"/>
      <c r="I8" s="62"/>
      <c r="J8" s="62"/>
      <c r="K8" s="62"/>
      <c r="L8" s="62"/>
      <c r="M8" s="63"/>
      <c r="N8" s="63"/>
      <c r="O8" s="73"/>
      <c r="P8" s="66"/>
      <c r="Q8" s="73"/>
      <c r="R8" s="73"/>
      <c r="S8" s="73"/>
      <c r="T8" s="73"/>
      <c r="U8" s="73"/>
      <c r="V8" s="73"/>
      <c r="W8" s="73"/>
      <c r="X8" s="64"/>
      <c r="Y8" s="94"/>
    </row>
    <row r="9" spans="1:30" x14ac:dyDescent="0.25">
      <c r="A9" s="194" t="str">
        <f ca="1">'Formulario OM'!A9</f>
        <v>SUBÍNDICE</v>
      </c>
      <c r="B9" s="702" t="str">
        <f ca="1">INDIRECT("Z_OM_05_"&amp;IDIOMA)</f>
        <v>Descripción</v>
      </c>
      <c r="C9" s="700"/>
      <c r="D9" s="700"/>
      <c r="E9" s="700"/>
      <c r="F9" s="700"/>
      <c r="G9" s="700"/>
      <c r="H9" s="771"/>
      <c r="I9" s="771"/>
      <c r="J9" s="771"/>
      <c r="K9" s="771"/>
      <c r="L9" s="771"/>
      <c r="M9" s="771"/>
      <c r="N9" s="700" t="str">
        <f ca="1">INDIRECT("Z_OM_03_"&amp;IDIOMA)</f>
        <v>Num. elecc.</v>
      </c>
      <c r="O9" s="700"/>
      <c r="P9" s="700"/>
      <c r="Q9" s="329" t="str">
        <f>NUMERAR_R</f>
        <v>abc</v>
      </c>
      <c r="R9" s="73"/>
      <c r="S9" s="73"/>
      <c r="T9" s="73"/>
      <c r="U9" s="73"/>
      <c r="V9" s="73"/>
      <c r="W9" s="73"/>
      <c r="X9" s="68"/>
      <c r="Y9" s="198"/>
      <c r="Z9" s="300">
        <f>Z7+1</f>
        <v>3</v>
      </c>
      <c r="AA9" s="314"/>
      <c r="AB9" s="300">
        <f>AB7+1</f>
        <v>19</v>
      </c>
    </row>
    <row r="10" spans="1:30" ht="6" customHeight="1" thickBot="1" x14ac:dyDescent="0.3">
      <c r="A10" s="19"/>
      <c r="B10" s="60"/>
      <c r="C10" s="61"/>
      <c r="D10" s="61"/>
      <c r="E10" s="61"/>
      <c r="F10" s="61"/>
      <c r="G10" s="62"/>
      <c r="H10" s="62"/>
      <c r="I10" s="63"/>
      <c r="J10" s="63"/>
      <c r="K10" s="63"/>
      <c r="L10" s="63"/>
      <c r="M10" s="63"/>
      <c r="N10" s="63"/>
      <c r="O10" s="63"/>
      <c r="P10" s="63"/>
      <c r="Q10" s="63"/>
      <c r="R10" s="63"/>
      <c r="S10" s="63"/>
      <c r="T10" s="62"/>
      <c r="U10" s="62"/>
      <c r="V10" s="62"/>
      <c r="W10" s="62"/>
      <c r="X10" s="64"/>
      <c r="Y10" s="94"/>
    </row>
    <row r="11" spans="1:30" ht="15" customHeight="1" thickTop="1" x14ac:dyDescent="0.25">
      <c r="A11" s="194" t="str">
        <f ca="1">'Formulario OM'!A11</f>
        <v>SALTO LÍNEA</v>
      </c>
      <c r="B11" s="702" t="str">
        <f ca="1">INDIRECT("Z_OM_07_"&amp;IDIOMA)</f>
        <v>Enunciado de la pregunta</v>
      </c>
      <c r="C11" s="700"/>
      <c r="D11" s="700"/>
      <c r="E11" s="700"/>
      <c r="F11" s="700"/>
      <c r="G11" s="701"/>
      <c r="H11" s="810"/>
      <c r="I11" s="811"/>
      <c r="J11" s="811"/>
      <c r="K11" s="811"/>
      <c r="L11" s="811"/>
      <c r="M11" s="811"/>
      <c r="N11" s="811"/>
      <c r="O11" s="811"/>
      <c r="P11" s="811"/>
      <c r="Q11" s="811"/>
      <c r="R11" s="811"/>
      <c r="S11" s="811"/>
      <c r="T11" s="811"/>
      <c r="U11" s="811"/>
      <c r="V11" s="811"/>
      <c r="W11" s="812"/>
      <c r="X11" s="68"/>
      <c r="Y11" s="198"/>
      <c r="Z11" s="300">
        <f>Z9+1</f>
        <v>4</v>
      </c>
      <c r="AA11" s="314"/>
      <c r="AB11" s="300">
        <f>AB9+1</f>
        <v>20</v>
      </c>
    </row>
    <row r="12" spans="1:30" ht="6" customHeight="1" thickBot="1" x14ac:dyDescent="0.3">
      <c r="A12" s="2"/>
      <c r="B12" s="753"/>
      <c r="C12" s="754"/>
      <c r="D12" s="77"/>
      <c r="E12" s="77"/>
      <c r="F12" s="77"/>
      <c r="G12" s="78"/>
      <c r="H12" s="813"/>
      <c r="I12" s="814"/>
      <c r="J12" s="814"/>
      <c r="K12" s="814"/>
      <c r="L12" s="814"/>
      <c r="M12" s="814"/>
      <c r="N12" s="814"/>
      <c r="O12" s="814"/>
      <c r="P12" s="814"/>
      <c r="Q12" s="814"/>
      <c r="R12" s="814"/>
      <c r="S12" s="814"/>
      <c r="T12" s="814"/>
      <c r="U12" s="814"/>
      <c r="V12" s="814"/>
      <c r="W12" s="815"/>
      <c r="X12" s="64"/>
      <c r="Y12" s="94"/>
    </row>
    <row r="13" spans="1:30" x14ac:dyDescent="0.25">
      <c r="A13" s="194" t="str">
        <f ca="1">'Formulario OM'!A13</f>
        <v>CONCATENAR</v>
      </c>
      <c r="B13" s="753"/>
      <c r="C13" s="754"/>
      <c r="D13" s="780" t="str">
        <f>'DATOS GENERALES'!C11</f>
        <v>Moodle
 Editor.
(HTML)</v>
      </c>
      <c r="E13" s="780"/>
      <c r="F13" s="780"/>
      <c r="G13" s="780"/>
      <c r="H13" s="813"/>
      <c r="I13" s="814"/>
      <c r="J13" s="814"/>
      <c r="K13" s="814"/>
      <c r="L13" s="814"/>
      <c r="M13" s="814"/>
      <c r="N13" s="814"/>
      <c r="O13" s="814"/>
      <c r="P13" s="814"/>
      <c r="Q13" s="814"/>
      <c r="R13" s="814"/>
      <c r="S13" s="814"/>
      <c r="T13" s="814"/>
      <c r="U13" s="814"/>
      <c r="V13" s="814"/>
      <c r="W13" s="815"/>
      <c r="X13" s="68"/>
      <c r="Y13" s="198"/>
      <c r="Z13" s="300">
        <f>Z11+1</f>
        <v>5</v>
      </c>
      <c r="AA13" s="314"/>
      <c r="AB13" s="300">
        <f>AB11+1</f>
        <v>21</v>
      </c>
    </row>
    <row r="14" spans="1:30" ht="6" customHeight="1" x14ac:dyDescent="0.25">
      <c r="B14" s="753"/>
      <c r="C14" s="754"/>
      <c r="D14" s="77"/>
      <c r="E14" s="77"/>
      <c r="F14" s="77"/>
      <c r="G14" s="752"/>
      <c r="H14" s="813"/>
      <c r="I14" s="814"/>
      <c r="J14" s="814"/>
      <c r="K14" s="814"/>
      <c r="L14" s="814"/>
      <c r="M14" s="814"/>
      <c r="N14" s="814"/>
      <c r="O14" s="814"/>
      <c r="P14" s="814"/>
      <c r="Q14" s="814"/>
      <c r="R14" s="814"/>
      <c r="S14" s="814"/>
      <c r="T14" s="814"/>
      <c r="U14" s="814"/>
      <c r="V14" s="814"/>
      <c r="W14" s="815"/>
      <c r="X14" s="64"/>
      <c r="Y14" s="94"/>
    </row>
    <row r="15" spans="1:30" ht="15.75" thickBot="1" x14ac:dyDescent="0.3">
      <c r="A15" s="194" t="str">
        <f ca="1">'Formulario OM'!A15</f>
        <v>NEGRITA</v>
      </c>
      <c r="B15" s="702"/>
      <c r="C15" s="700"/>
      <c r="D15" s="700"/>
      <c r="E15" s="700"/>
      <c r="F15" s="700"/>
      <c r="G15" s="752"/>
      <c r="H15" s="816"/>
      <c r="I15" s="817"/>
      <c r="J15" s="817"/>
      <c r="K15" s="817"/>
      <c r="L15" s="817"/>
      <c r="M15" s="817"/>
      <c r="N15" s="817"/>
      <c r="O15" s="817"/>
      <c r="P15" s="817"/>
      <c r="Q15" s="817"/>
      <c r="R15" s="817"/>
      <c r="S15" s="817"/>
      <c r="T15" s="817"/>
      <c r="U15" s="817"/>
      <c r="V15" s="817"/>
      <c r="W15" s="818"/>
      <c r="X15" s="68"/>
      <c r="Y15" s="198"/>
      <c r="Z15" s="300">
        <f>Z13+1</f>
        <v>6</v>
      </c>
      <c r="AA15" s="314"/>
      <c r="AB15" s="300">
        <f>AB13+1</f>
        <v>22</v>
      </c>
    </row>
    <row r="16" spans="1:30" ht="6" customHeight="1" thickTop="1" thickBot="1" x14ac:dyDescent="0.3">
      <c r="B16" s="60"/>
      <c r="C16" s="61"/>
      <c r="D16" s="77"/>
      <c r="E16" s="77"/>
      <c r="F16" s="77"/>
      <c r="G16" s="752"/>
      <c r="H16" s="62"/>
      <c r="I16" s="63"/>
      <c r="J16" s="63"/>
      <c r="K16" s="63"/>
      <c r="L16" s="63"/>
      <c r="M16" s="63"/>
      <c r="N16" s="63"/>
      <c r="O16" s="63"/>
      <c r="P16" s="63"/>
      <c r="Q16" s="63"/>
      <c r="R16" s="63"/>
      <c r="S16" s="63"/>
      <c r="T16" s="62"/>
      <c r="U16" s="62"/>
      <c r="V16" s="62"/>
      <c r="W16" s="62"/>
      <c r="X16" s="64"/>
      <c r="Y16" s="94"/>
    </row>
    <row r="17" spans="1:28" ht="15" customHeight="1" thickTop="1" thickBot="1" x14ac:dyDescent="0.3">
      <c r="A17" s="194" t="str">
        <f ca="1">'Formulario OM'!A17</f>
        <v>ESPACIOS (+1)</v>
      </c>
      <c r="B17" s="327">
        <v>1</v>
      </c>
      <c r="C17" s="700" t="str">
        <f ca="1">B17&amp;"ª "&amp;IF(P_1_O2&gt;0,INDIRECT("Z_OM_08_"&amp;IDIOMA),INDIRECT("Z_OM_09_"&amp;IDIOMA))</f>
        <v>1ª Respuesta Incorrecta</v>
      </c>
      <c r="D17" s="700"/>
      <c r="E17" s="700"/>
      <c r="F17" s="700"/>
      <c r="G17" s="701"/>
      <c r="H17" s="765"/>
      <c r="I17" s="766"/>
      <c r="J17" s="766"/>
      <c r="K17" s="766"/>
      <c r="L17" s="766"/>
      <c r="M17" s="766"/>
      <c r="N17" s="766"/>
      <c r="O17" s="767"/>
      <c r="P17" s="331" t="s">
        <v>860</v>
      </c>
      <c r="Q17" s="247"/>
      <c r="R17" s="700" t="str">
        <f ca="1">'Formulario OM'!R17</f>
        <v>Retroalim.</v>
      </c>
      <c r="S17" s="701"/>
      <c r="T17" s="799"/>
      <c r="U17" s="800"/>
      <c r="V17" s="800"/>
      <c r="W17" s="801"/>
      <c r="X17" s="241"/>
      <c r="Y17" s="198"/>
      <c r="Z17" s="300">
        <f>Z15+1</f>
        <v>7</v>
      </c>
      <c r="AA17" s="314"/>
      <c r="AB17" s="300">
        <f>AB15+1</f>
        <v>23</v>
      </c>
    </row>
    <row r="18" spans="1:28" ht="6" customHeight="1" thickTop="1" thickBot="1" x14ac:dyDescent="0.3">
      <c r="B18" s="327"/>
      <c r="C18" s="61"/>
      <c r="D18" s="61"/>
      <c r="E18" s="77"/>
      <c r="F18" s="77"/>
      <c r="G18" s="217"/>
      <c r="H18" s="62"/>
      <c r="I18" s="63"/>
      <c r="J18" s="63"/>
      <c r="K18" s="63"/>
      <c r="L18" s="63"/>
      <c r="M18" s="63"/>
      <c r="N18" s="63"/>
      <c r="O18" s="63"/>
      <c r="P18" s="63"/>
      <c r="Q18" s="63"/>
      <c r="R18" s="63"/>
      <c r="S18" s="63"/>
      <c r="T18" s="62"/>
      <c r="U18" s="62"/>
      <c r="V18" s="62"/>
      <c r="W18" s="62"/>
      <c r="X18" s="64"/>
      <c r="Y18" s="94"/>
    </row>
    <row r="19" spans="1:28" ht="15.75" customHeight="1" thickTop="1" thickBot="1" x14ac:dyDescent="0.3">
      <c r="A19" s="194" t="str">
        <f ca="1">'Formulario OM'!A19</f>
        <v>TEXTO ROJO</v>
      </c>
      <c r="B19" s="327">
        <f>IF(P_2_O2&gt;0,IF(P_1_O2&gt;0,B17+1,1),IF(P_1_O2&lt;=0,B17+1,1))</f>
        <v>2</v>
      </c>
      <c r="C19" s="700" t="str">
        <f ca="1">B19&amp;"ª "&amp;IF(P_2_O2&gt;0,INDIRECT("Z_OM_08_"&amp;IDIOMA),INDIRECT("Z_OM_09_"&amp;IDIOMA))</f>
        <v>2ª Respuesta Incorrecta</v>
      </c>
      <c r="D19" s="755"/>
      <c r="E19" s="755"/>
      <c r="F19" s="755"/>
      <c r="G19" s="756"/>
      <c r="H19" s="819"/>
      <c r="I19" s="820"/>
      <c r="J19" s="820"/>
      <c r="K19" s="820"/>
      <c r="L19" s="820"/>
      <c r="M19" s="820"/>
      <c r="N19" s="820"/>
      <c r="O19" s="821"/>
      <c r="P19" s="331" t="s">
        <v>860</v>
      </c>
      <c r="Q19" s="247"/>
      <c r="R19" s="700" t="str">
        <f ca="1">'Formulario OM'!R19</f>
        <v>Retroalim.</v>
      </c>
      <c r="S19" s="756"/>
      <c r="T19" s="799"/>
      <c r="U19" s="800"/>
      <c r="V19" s="800"/>
      <c r="W19" s="801"/>
      <c r="X19" s="241"/>
      <c r="Y19" s="198"/>
      <c r="Z19" s="300">
        <f>Z17+1</f>
        <v>8</v>
      </c>
      <c r="AA19" s="314"/>
      <c r="AB19" s="300">
        <f>AB17+1</f>
        <v>24</v>
      </c>
    </row>
    <row r="20" spans="1:28" ht="6" customHeight="1" thickTop="1" thickBot="1" x14ac:dyDescent="0.3">
      <c r="A20" s="195"/>
      <c r="B20" s="327"/>
      <c r="C20" s="61"/>
      <c r="D20" s="61"/>
      <c r="E20" s="61"/>
      <c r="F20" s="61"/>
      <c r="G20" s="61"/>
      <c r="H20" s="62"/>
      <c r="I20" s="63"/>
      <c r="J20" s="63"/>
      <c r="K20" s="63"/>
      <c r="L20" s="63"/>
      <c r="M20" s="63"/>
      <c r="N20" s="63"/>
      <c r="O20" s="63"/>
      <c r="P20" s="63"/>
      <c r="Q20" s="63"/>
      <c r="R20" s="63"/>
      <c r="S20" s="63"/>
      <c r="T20" s="62"/>
      <c r="U20" s="62"/>
      <c r="V20" s="62"/>
      <c r="W20" s="62"/>
      <c r="X20" s="64"/>
      <c r="Y20" s="94"/>
    </row>
    <row r="21" spans="1:28" ht="16.5" thickTop="1" thickBot="1" x14ac:dyDescent="0.3">
      <c r="A21" s="194" t="str">
        <f ca="1">'Formulario OM'!A21</f>
        <v>TEXTO AZUL</v>
      </c>
      <c r="B21" s="327">
        <f>IF(P_3_O2&gt;0,IF(P_2_O2&gt;0,B19+1,IF(P_1_O2&gt;0,B17+1,1)),
                             IF(P_2_O2&lt;=0,B19+1,IF(P_1_O2&lt;=0,B17+1,1)))</f>
        <v>3</v>
      </c>
      <c r="C21" s="700" t="str">
        <f ca="1">B21&amp;"ª "&amp;IF(P_3_O2&gt;0,INDIRECT("Z_OM_08_"&amp;IDIOMA),INDIRECT("Z_OM_09_"&amp;IDIOMA))</f>
        <v>3ª Respuesta Incorrecta</v>
      </c>
      <c r="D21" s="755"/>
      <c r="E21" s="755"/>
      <c r="F21" s="755"/>
      <c r="G21" s="756"/>
      <c r="H21" s="822"/>
      <c r="I21" s="823"/>
      <c r="J21" s="823"/>
      <c r="K21" s="823"/>
      <c r="L21" s="823"/>
      <c r="M21" s="823"/>
      <c r="N21" s="823"/>
      <c r="O21" s="824"/>
      <c r="P21" s="331" t="s">
        <v>860</v>
      </c>
      <c r="Q21" s="247"/>
      <c r="R21" s="700" t="str">
        <f ca="1">'Formulario OM'!R21</f>
        <v>Retroalim.</v>
      </c>
      <c r="S21" s="756"/>
      <c r="T21" s="799"/>
      <c r="U21" s="800"/>
      <c r="V21" s="800"/>
      <c r="W21" s="801"/>
      <c r="X21" s="241"/>
      <c r="Y21" s="198"/>
      <c r="Z21" s="300">
        <f>Z19+1</f>
        <v>9</v>
      </c>
      <c r="AA21" s="314"/>
      <c r="AB21" s="300">
        <f>AB19+1</f>
        <v>25</v>
      </c>
    </row>
    <row r="22" spans="1:28" ht="6" customHeight="1" thickTop="1" thickBot="1" x14ac:dyDescent="0.3">
      <c r="B22" s="327"/>
      <c r="C22" s="61"/>
      <c r="D22" s="61"/>
      <c r="E22" s="61"/>
      <c r="F22" s="61"/>
      <c r="G22" s="61"/>
      <c r="H22" s="62"/>
      <c r="I22" s="63"/>
      <c r="J22" s="63"/>
      <c r="K22" s="63"/>
      <c r="L22" s="63"/>
      <c r="M22" s="63"/>
      <c r="N22" s="63"/>
      <c r="O22" s="63"/>
      <c r="P22" s="63"/>
      <c r="Q22" s="63"/>
      <c r="R22" s="63"/>
      <c r="S22" s="63"/>
      <c r="T22" s="62"/>
      <c r="U22" s="62"/>
      <c r="V22" s="62"/>
      <c r="W22" s="62"/>
      <c r="X22" s="64"/>
      <c r="Y22" s="94"/>
      <c r="Z22" s="17"/>
    </row>
    <row r="23" spans="1:28" ht="16.5" thickTop="1" thickBot="1" x14ac:dyDescent="0.3">
      <c r="A23" s="194" t="str">
        <f ca="1">'Formulario OM'!A23</f>
        <v>OTRO COLOR</v>
      </c>
      <c r="B23" s="327">
        <f>IF(P_4_O2&gt;0,IF(P_3_O2&gt;0,B21+1,IF(P_2_O2&gt;0,B19+1,IF(P_1_O2&gt;0,B17+1,1))),
IF(P_3_O2&lt;=0,B21+1,IF(P_2_O2&lt;=0,B19+1,IF(P_1_O2&lt;=0,B17+1,1))))</f>
        <v>4</v>
      </c>
      <c r="C23" s="700" t="str">
        <f ca="1">B23&amp;"ª "&amp;IF(P_4_O2&gt;0,INDIRECT("Z_OM_08_"&amp;IDIOMA),INDIRECT("Z_OM_09_"&amp;IDIOMA))</f>
        <v>4ª Respuesta Incorrecta</v>
      </c>
      <c r="D23" s="755"/>
      <c r="E23" s="755"/>
      <c r="F23" s="755"/>
      <c r="G23" s="756"/>
      <c r="H23" s="822"/>
      <c r="I23" s="823"/>
      <c r="J23" s="823"/>
      <c r="K23" s="823"/>
      <c r="L23" s="823"/>
      <c r="M23" s="823"/>
      <c r="N23" s="823"/>
      <c r="O23" s="824"/>
      <c r="P23" s="331" t="s">
        <v>860</v>
      </c>
      <c r="Q23" s="247"/>
      <c r="R23" s="700" t="str">
        <f ca="1">'Formulario OM'!R23</f>
        <v>Retroalim.</v>
      </c>
      <c r="S23" s="756"/>
      <c r="T23" s="799"/>
      <c r="U23" s="800"/>
      <c r="V23" s="800"/>
      <c r="W23" s="801"/>
      <c r="X23" s="241"/>
      <c r="Y23" s="198"/>
      <c r="Z23" s="300">
        <f>Z21+1</f>
        <v>10</v>
      </c>
      <c r="AA23" s="314"/>
      <c r="AB23" s="300">
        <f>AB21+1</f>
        <v>26</v>
      </c>
    </row>
    <row r="24" spans="1:28" ht="6" customHeight="1" thickTop="1" thickBot="1" x14ac:dyDescent="0.3">
      <c r="B24" s="327"/>
      <c r="C24" s="61"/>
      <c r="D24" s="61"/>
      <c r="E24" s="61"/>
      <c r="F24" s="61"/>
      <c r="G24" s="239"/>
      <c r="H24" s="62"/>
      <c r="I24" s="63"/>
      <c r="J24" s="63"/>
      <c r="K24" s="63"/>
      <c r="L24" s="63"/>
      <c r="M24" s="63"/>
      <c r="N24" s="63"/>
      <c r="O24" s="63"/>
      <c r="P24" s="63"/>
      <c r="Q24" s="63"/>
      <c r="R24" s="63"/>
      <c r="S24" s="63"/>
      <c r="T24" s="62"/>
      <c r="U24" s="62"/>
      <c r="V24" s="62"/>
      <c r="W24" s="62"/>
      <c r="X24" s="68"/>
      <c r="Y24" s="4"/>
      <c r="Z24" s="17"/>
    </row>
    <row r="25" spans="1:28" ht="15" customHeight="1" thickTop="1" thickBot="1" x14ac:dyDescent="0.3">
      <c r="A25" s="737" t="str">
        <f ca="1">'Formulario OM'!A25</f>
        <v>INSERTAR
IMÁGENES</v>
      </c>
      <c r="B25" s="77">
        <f>IF(P_5_O2&gt;0,IF(P_4_O2&gt;0,B23+1,IF(P_3_O2&gt;0,B21+1,IF(P_2_O2&gt;0,B19+1,IF(P_1_O2&gt;0,B17+1,1)))),
                             IF(P_4_O2&lt;=0,B23+1,IF(P_3_O2&lt;=0,B21+1,IF(P_2_O2&lt;=0,B19+1,IF(P_1_O2&lt;=0,B17+1,1)))))</f>
        <v>5</v>
      </c>
      <c r="C25" s="700" t="str">
        <f ca="1">B25&amp;"ª "&amp;IF(P_5_O2&gt;0,INDIRECT("Z_OM_08_"&amp;IDIOMA),INDIRECT("Z_OM_09_"&amp;IDIOMA))</f>
        <v>5ª Respuesta Incorrecta</v>
      </c>
      <c r="D25" s="755"/>
      <c r="E25" s="755"/>
      <c r="F25" s="755"/>
      <c r="G25" s="756"/>
      <c r="H25" s="822"/>
      <c r="I25" s="823"/>
      <c r="J25" s="823"/>
      <c r="K25" s="823"/>
      <c r="L25" s="823"/>
      <c r="M25" s="823"/>
      <c r="N25" s="823"/>
      <c r="O25" s="824"/>
      <c r="P25" s="331" t="s">
        <v>860</v>
      </c>
      <c r="Q25" s="247"/>
      <c r="R25" s="700" t="str">
        <f ca="1">'Formulario OM'!R25</f>
        <v>Retroalim.</v>
      </c>
      <c r="S25" s="756"/>
      <c r="T25" s="799"/>
      <c r="U25" s="800"/>
      <c r="V25" s="800"/>
      <c r="W25" s="801"/>
      <c r="X25" s="241"/>
      <c r="Y25" s="198"/>
      <c r="Z25" s="300">
        <f>Z23+1</f>
        <v>11</v>
      </c>
      <c r="AA25" s="314"/>
      <c r="AB25" s="300">
        <f>AB23+1</f>
        <v>27</v>
      </c>
    </row>
    <row r="26" spans="1:28" ht="6" customHeight="1" thickTop="1" thickBot="1" x14ac:dyDescent="0.3">
      <c r="A26" s="738"/>
      <c r="B26" s="77"/>
      <c r="C26" s="61"/>
      <c r="D26" s="61"/>
      <c r="E26" s="61"/>
      <c r="F26" s="61"/>
      <c r="G26" s="238"/>
      <c r="H26" s="62"/>
      <c r="I26" s="63"/>
      <c r="J26" s="63"/>
      <c r="K26" s="63"/>
      <c r="L26" s="63"/>
      <c r="M26" s="63"/>
      <c r="N26" s="63"/>
      <c r="O26" s="63"/>
      <c r="P26" s="63"/>
      <c r="Q26" s="63"/>
      <c r="R26" s="63"/>
      <c r="S26" s="63"/>
      <c r="T26" s="62"/>
      <c r="U26" s="62"/>
      <c r="V26" s="62"/>
      <c r="W26" s="62"/>
      <c r="X26" s="68"/>
      <c r="Y26" s="94"/>
      <c r="Z26" s="17"/>
    </row>
    <row r="27" spans="1:28" ht="15" customHeight="1" thickTop="1" thickBot="1" x14ac:dyDescent="0.3">
      <c r="A27" s="739"/>
      <c r="B27" s="77">
        <f>IF(P_6_O2&gt;0,IF(P_5_O2&gt;0,B25+1,IF(P_4_O2&gt;0,B23+1,IF(P_3_O2&gt;0,B21+1,IF(P_2_O2&gt;0,B19+1,IF(P_1_O2&gt;0,B17+1,1))))),
                             IF(P_5_O2&lt;=0,B25+1,IF(P_4_O2&lt;=0,B23+1,IF(P_3_O2&lt;=0,B21+1,IF(P_2_O2&gt;0,B19+1,IF(P_1_O2&gt;0,B17+1,1))))))</f>
        <v>6</v>
      </c>
      <c r="C27" s="700" t="str">
        <f ca="1">B27&amp;"ª "&amp;IF(P_6_O2&gt;0,INDIRECT("Z_OM_08_"&amp;IDIOMA),INDIRECT("Z_OM_09_"&amp;IDIOMA))</f>
        <v>6ª Respuesta Incorrecta</v>
      </c>
      <c r="D27" s="755"/>
      <c r="E27" s="755"/>
      <c r="F27" s="755"/>
      <c r="G27" s="756"/>
      <c r="H27" s="773"/>
      <c r="I27" s="774"/>
      <c r="J27" s="774"/>
      <c r="K27" s="774"/>
      <c r="L27" s="774"/>
      <c r="M27" s="774"/>
      <c r="N27" s="774"/>
      <c r="O27" s="775"/>
      <c r="P27" s="331" t="s">
        <v>860</v>
      </c>
      <c r="Q27" s="247"/>
      <c r="R27" s="700" t="str">
        <f ca="1">'Formulario OM'!R27</f>
        <v>Retroalim.</v>
      </c>
      <c r="S27" s="756"/>
      <c r="T27" s="799"/>
      <c r="U27" s="800"/>
      <c r="V27" s="800"/>
      <c r="W27" s="801"/>
      <c r="X27" s="241"/>
      <c r="Y27" s="198"/>
      <c r="Z27" s="300">
        <f>Z25+1</f>
        <v>12</v>
      </c>
      <c r="AA27" s="314"/>
      <c r="AB27" s="300">
        <f>AB25+1</f>
        <v>28</v>
      </c>
    </row>
    <row r="28" spans="1:28" ht="6" customHeight="1" thickBot="1" x14ac:dyDescent="0.3">
      <c r="B28" s="65"/>
      <c r="C28" s="69"/>
      <c r="D28" s="69"/>
      <c r="E28" s="69"/>
      <c r="F28" s="69"/>
      <c r="G28" s="66"/>
      <c r="H28" s="62"/>
      <c r="I28" s="67"/>
      <c r="J28" s="67"/>
      <c r="K28" s="67"/>
      <c r="L28" s="67"/>
      <c r="M28" s="67"/>
      <c r="N28" s="67"/>
      <c r="O28" s="67"/>
      <c r="P28" s="63"/>
      <c r="Q28" s="63"/>
      <c r="R28" s="67"/>
      <c r="S28" s="67"/>
      <c r="T28" s="67"/>
      <c r="U28" s="67"/>
      <c r="V28" s="67"/>
      <c r="W28" s="67"/>
      <c r="X28" s="68"/>
      <c r="Y28" s="94"/>
      <c r="Z28" s="17"/>
    </row>
    <row r="29" spans="1:28" x14ac:dyDescent="0.25">
      <c r="A29" s="737" t="str">
        <f ca="1">'Formulario OM'!A29</f>
        <v>USAR DATOS VARIABLES</v>
      </c>
      <c r="B29" s="65"/>
      <c r="C29" s="700" t="str">
        <f ca="1">'Formulario OM'!C29</f>
        <v>Respuesta Correcta =&gt; Pt. Tot.</v>
      </c>
      <c r="D29" s="755"/>
      <c r="E29" s="755"/>
      <c r="F29" s="755"/>
      <c r="G29" s="755"/>
      <c r="H29" s="755"/>
      <c r="I29" s="755"/>
      <c r="J29" s="755"/>
      <c r="K29" s="755"/>
      <c r="L29" s="16">
        <f>SUMIF(Q17:Q27,"&gt;0")</f>
        <v>0</v>
      </c>
      <c r="M29" s="331" t="str">
        <f>'Formulario OM'!M29</f>
        <v>N.</v>
      </c>
      <c r="N29" s="16">
        <f>COUNTIF(Q17:Q27,"&gt;0")</f>
        <v>0</v>
      </c>
      <c r="O29" s="700" t="str">
        <f ca="1">'Formulario OM'!O29</f>
        <v>Respuesta Incorrecta =&gt; Pt. Tot.</v>
      </c>
      <c r="P29" s="755"/>
      <c r="Q29" s="755"/>
      <c r="R29" s="755"/>
      <c r="S29" s="755"/>
      <c r="T29" s="755"/>
      <c r="U29" s="16">
        <f>ROUND(SUMIF(Q17:Q27,"&lt;0"),0)</f>
        <v>0</v>
      </c>
      <c r="V29" s="331" t="str">
        <f>'Formulario OM'!V29</f>
        <v>N.</v>
      </c>
      <c r="W29" s="16">
        <f>IFERROR(MAX(0,COUNTA(H17:O27)-N29),"")</f>
        <v>0</v>
      </c>
      <c r="X29" s="180"/>
      <c r="Y29" s="198"/>
      <c r="Z29" s="300">
        <f>Z27+1</f>
        <v>13</v>
      </c>
      <c r="AA29" s="314"/>
      <c r="AB29" s="300">
        <f>AB27+1</f>
        <v>29</v>
      </c>
    </row>
    <row r="30" spans="1:28" ht="6" customHeight="1" x14ac:dyDescent="0.25">
      <c r="A30" s="738"/>
      <c r="B30" s="65"/>
      <c r="C30" s="69"/>
      <c r="D30" s="69"/>
      <c r="E30" s="69"/>
      <c r="F30" s="77">
        <v>1</v>
      </c>
      <c r="G30" s="66"/>
      <c r="H30" s="76"/>
      <c r="I30" s="76"/>
      <c r="J30" s="70"/>
      <c r="K30" s="70"/>
      <c r="L30" s="70"/>
      <c r="M30" s="70"/>
      <c r="N30" s="70"/>
      <c r="O30" s="70"/>
      <c r="P30" s="70"/>
      <c r="Q30" s="70"/>
      <c r="R30" s="179"/>
      <c r="S30" s="179"/>
      <c r="T30" s="179"/>
      <c r="U30" s="179"/>
      <c r="V30" s="179"/>
      <c r="W30" s="179"/>
      <c r="X30" s="180"/>
      <c r="Y30" s="94"/>
      <c r="Z30" s="17"/>
    </row>
    <row r="31" spans="1:28" ht="15" customHeight="1" thickBot="1" x14ac:dyDescent="0.3">
      <c r="A31" s="739"/>
      <c r="B31" s="65"/>
      <c r="C31" s="66"/>
      <c r="D31" s="66"/>
      <c r="E31" s="69"/>
      <c r="F31" s="77">
        <v>1</v>
      </c>
      <c r="G31" s="795" t="str">
        <f ca="1">INDIRECT("Z_OM_11_"&amp;IDIOMA)</f>
        <v>PISTA</v>
      </c>
      <c r="H31" s="795"/>
      <c r="I31" s="795"/>
      <c r="J31" s="795"/>
      <c r="K31" s="795"/>
      <c r="L31" s="795"/>
      <c r="M31" s="795"/>
      <c r="N31" s="795"/>
      <c r="O31" s="795"/>
      <c r="P31" s="795"/>
      <c r="Q31" s="795"/>
      <c r="R31" s="179"/>
      <c r="S31" s="697"/>
      <c r="T31" s="697"/>
      <c r="U31" s="697"/>
      <c r="V31" s="697"/>
      <c r="W31" s="697"/>
      <c r="X31" s="783"/>
      <c r="Y31" s="198"/>
      <c r="Z31" s="300">
        <f>Z29+1</f>
        <v>14</v>
      </c>
      <c r="AA31" s="314"/>
      <c r="AB31" s="300">
        <f>AB29+1</f>
        <v>30</v>
      </c>
    </row>
    <row r="32" spans="1:28" ht="6" customHeight="1" thickBot="1" x14ac:dyDescent="0.3">
      <c r="A32" s="195"/>
      <c r="B32" s="65"/>
      <c r="C32" s="747" t="s">
        <v>138</v>
      </c>
      <c r="D32" s="747"/>
      <c r="E32" s="69"/>
      <c r="F32" s="77"/>
      <c r="G32" s="76"/>
      <c r="H32" s="76"/>
      <c r="I32" s="76"/>
      <c r="J32" s="70"/>
      <c r="K32" s="70"/>
      <c r="L32" s="70"/>
      <c r="M32" s="76"/>
      <c r="N32" s="70"/>
      <c r="O32" s="70"/>
      <c r="P32" s="70"/>
      <c r="Q32" s="70"/>
      <c r="R32" s="179"/>
      <c r="S32" s="697"/>
      <c r="T32" s="697"/>
      <c r="U32" s="697"/>
      <c r="V32" s="697"/>
      <c r="W32" s="697"/>
      <c r="X32" s="783"/>
      <c r="Y32" s="94"/>
    </row>
    <row r="33" spans="1:28" ht="15" customHeight="1" thickTop="1" thickBot="1" x14ac:dyDescent="0.3">
      <c r="A33" s="194" t="str">
        <f ca="1">'Formulario OM'!A33</f>
        <v>ACTIVAR</v>
      </c>
      <c r="B33" s="65"/>
      <c r="C33" s="747"/>
      <c r="D33" s="747"/>
      <c r="E33" s="69"/>
      <c r="F33" s="215" t="s">
        <v>858</v>
      </c>
      <c r="G33" s="807"/>
      <c r="H33" s="808"/>
      <c r="I33" s="808"/>
      <c r="J33" s="808"/>
      <c r="K33" s="809"/>
      <c r="L33" s="215" t="s">
        <v>856</v>
      </c>
      <c r="M33" s="807"/>
      <c r="N33" s="808"/>
      <c r="O33" s="808"/>
      <c r="P33" s="808"/>
      <c r="Q33" s="809"/>
      <c r="R33" s="179"/>
      <c r="S33" s="697"/>
      <c r="T33" s="697"/>
      <c r="U33" s="697"/>
      <c r="V33" s="697"/>
      <c r="W33" s="697"/>
      <c r="X33" s="783"/>
      <c r="Y33" s="198"/>
      <c r="Z33" s="300">
        <f>Z31+1</f>
        <v>15</v>
      </c>
      <c r="AA33" s="314"/>
      <c r="AB33" s="300">
        <f>AB31+1</f>
        <v>31</v>
      </c>
    </row>
    <row r="34" spans="1:28" ht="6" customHeight="1" thickTop="1" thickBot="1" x14ac:dyDescent="0.3">
      <c r="A34" s="2"/>
      <c r="B34" s="65"/>
      <c r="C34" s="747"/>
      <c r="D34" s="747"/>
      <c r="E34" s="69"/>
      <c r="F34" s="77"/>
      <c r="G34" s="76"/>
      <c r="H34" s="76"/>
      <c r="I34" s="76"/>
      <c r="J34" s="70"/>
      <c r="K34" s="70"/>
      <c r="L34" s="70"/>
      <c r="M34" s="76"/>
      <c r="N34" s="71"/>
      <c r="O34" s="71"/>
      <c r="P34" s="71"/>
      <c r="Q34" s="71"/>
      <c r="R34" s="179"/>
      <c r="S34" s="697"/>
      <c r="T34" s="697"/>
      <c r="U34" s="697"/>
      <c r="V34" s="697"/>
      <c r="W34" s="697"/>
      <c r="X34" s="783"/>
      <c r="Y34" s="94"/>
    </row>
    <row r="35" spans="1:28" ht="15" customHeight="1" thickTop="1" thickBot="1" x14ac:dyDescent="0.3">
      <c r="A35" s="194" t="str">
        <f ca="1">'Formulario OM'!A35</f>
        <v>DESACTIVAR</v>
      </c>
      <c r="B35" s="65"/>
      <c r="C35" s="747"/>
      <c r="D35" s="747"/>
      <c r="E35" s="69"/>
      <c r="F35" s="215" t="s">
        <v>859</v>
      </c>
      <c r="G35" s="807"/>
      <c r="H35" s="808"/>
      <c r="I35" s="808"/>
      <c r="J35" s="808"/>
      <c r="K35" s="809"/>
      <c r="L35" s="215" t="s">
        <v>857</v>
      </c>
      <c r="M35" s="807"/>
      <c r="N35" s="808"/>
      <c r="O35" s="808"/>
      <c r="P35" s="808"/>
      <c r="Q35" s="809"/>
      <c r="R35" s="179"/>
      <c r="S35" s="697"/>
      <c r="T35" s="697"/>
      <c r="U35" s="697"/>
      <c r="V35" s="697"/>
      <c r="W35" s="697"/>
      <c r="X35" s="783"/>
      <c r="Y35" s="198"/>
      <c r="Z35" s="300">
        <f>Z33+1</f>
        <v>16</v>
      </c>
      <c r="AA35" s="314"/>
      <c r="AB35" s="300">
        <f>AB33+1</f>
        <v>32</v>
      </c>
    </row>
    <row r="36" spans="1:28" ht="9.9499999999999993" customHeight="1" thickTop="1" thickBot="1" x14ac:dyDescent="0.3">
      <c r="A36" s="653" t="str">
        <f>IF(AB2&gt;0,AB2,"")</f>
        <v/>
      </c>
      <c r="B36" s="315"/>
      <c r="C36" s="336" t="str">
        <f>Version</f>
        <v xml:space="preserve">   V - 5.0 </v>
      </c>
      <c r="D36" s="72"/>
      <c r="E36" s="72"/>
      <c r="F36" s="233">
        <v>4</v>
      </c>
      <c r="G36" s="72"/>
      <c r="H36" s="72"/>
      <c r="I36" s="72"/>
      <c r="J36" s="72"/>
      <c r="K36" s="72"/>
      <c r="L36" s="72"/>
      <c r="M36" s="72"/>
      <c r="N36" s="72"/>
      <c r="O36" s="72"/>
      <c r="P36" s="72"/>
      <c r="Q36" s="72"/>
      <c r="R36" s="181"/>
      <c r="S36" s="784"/>
      <c r="T36" s="784"/>
      <c r="U36" s="784"/>
      <c r="V36" s="784"/>
      <c r="W36" s="784"/>
      <c r="X36" s="785"/>
      <c r="Y36" s="94"/>
    </row>
    <row r="37" spans="1:28" s="3" customFormat="1" ht="15.75" hidden="1" customHeight="1" thickTop="1" x14ac:dyDescent="0.25">
      <c r="G37" s="48">
        <v>201</v>
      </c>
      <c r="H37" s="48">
        <v>1</v>
      </c>
      <c r="I37" s="48">
        <v>-10</v>
      </c>
      <c r="M37" s="48" t="b">
        <v>1</v>
      </c>
      <c r="N37" s="48" t="b">
        <f>Centrar_Tabla</f>
        <v>1</v>
      </c>
      <c r="Y37" s="6"/>
    </row>
    <row r="38" spans="1:28" s="3" customFormat="1" ht="5.0999999999999996" customHeight="1" thickTop="1" x14ac:dyDescent="0.25">
      <c r="A38" s="6"/>
      <c r="B38" s="18"/>
      <c r="C38" s="18"/>
      <c r="D38" s="18"/>
      <c r="E38" s="18"/>
      <c r="F38" s="18"/>
      <c r="G38" s="18"/>
      <c r="Y38" s="6"/>
    </row>
    <row r="39" spans="1:28" s="3" customFormat="1" x14ac:dyDescent="0.25">
      <c r="A39" s="6"/>
      <c r="Y39" s="6"/>
    </row>
    <row r="40" spans="1:28" s="3" customFormat="1" hidden="1" x14ac:dyDescent="0.25">
      <c r="A40" s="6"/>
      <c r="Y40" s="6"/>
    </row>
    <row r="41" spans="1:28" s="3" customFormat="1" ht="15.75" hidden="1" x14ac:dyDescent="0.25">
      <c r="A41" s="199"/>
      <c r="Y41" s="6"/>
    </row>
    <row r="42" spans="1:28" s="3" customFormat="1" hidden="1" x14ac:dyDescent="0.25">
      <c r="A42" s="6"/>
      <c r="Y42" s="6"/>
    </row>
    <row r="43" spans="1:28" s="3" customFormat="1" hidden="1" x14ac:dyDescent="0.25">
      <c r="A43" s="6"/>
      <c r="Y43" s="6"/>
    </row>
    <row r="44" spans="1:28" s="3" customFormat="1" hidden="1" x14ac:dyDescent="0.25">
      <c r="A44" s="6"/>
      <c r="Y44" s="6"/>
    </row>
    <row r="45" spans="1:28" s="3" customFormat="1" hidden="1" x14ac:dyDescent="0.25">
      <c r="A45" s="6"/>
      <c r="Y45" s="6"/>
    </row>
    <row r="46" spans="1:28" s="3" customFormat="1" hidden="1" x14ac:dyDescent="0.25">
      <c r="Y46" s="6"/>
    </row>
    <row r="47" spans="1:28" s="3" customFormat="1" hidden="1" x14ac:dyDescent="0.25">
      <c r="A47"/>
      <c r="Y47" s="6"/>
    </row>
    <row r="48" spans="1:28" s="3" customFormat="1" hidden="1" x14ac:dyDescent="0.25">
      <c r="A48"/>
      <c r="Y48" s="6"/>
    </row>
    <row r="49" spans="1:25" s="3" customFormat="1" hidden="1" x14ac:dyDescent="0.25">
      <c r="A49"/>
      <c r="Y49" s="6"/>
    </row>
    <row r="50" spans="1:25" s="3" customFormat="1" hidden="1" x14ac:dyDescent="0.25">
      <c r="A50"/>
      <c r="Y50" s="6"/>
    </row>
    <row r="51" spans="1:25" s="3" customFormat="1" hidden="1" x14ac:dyDescent="0.25">
      <c r="A51"/>
      <c r="Y51" s="6"/>
    </row>
    <row r="52" spans="1:25" s="3" customFormat="1" hidden="1" x14ac:dyDescent="0.25">
      <c r="A52"/>
      <c r="Y52" s="6"/>
    </row>
    <row r="53" spans="1:25" s="3" customFormat="1" hidden="1" x14ac:dyDescent="0.25">
      <c r="A53"/>
      <c r="Y53" s="6"/>
    </row>
    <row r="54" spans="1:25" s="3" customFormat="1" hidden="1" x14ac:dyDescent="0.25">
      <c r="A54"/>
      <c r="Y54" s="6"/>
    </row>
    <row r="55" spans="1:25" s="3" customFormat="1" hidden="1" x14ac:dyDescent="0.25">
      <c r="A55"/>
      <c r="Y55" s="6"/>
    </row>
    <row r="56" spans="1:25" s="3" customFormat="1" hidden="1" x14ac:dyDescent="0.25">
      <c r="A56"/>
      <c r="Y56" s="6"/>
    </row>
    <row r="57" spans="1:25" s="3" customFormat="1" hidden="1" x14ac:dyDescent="0.25">
      <c r="A57"/>
      <c r="Y57" s="6"/>
    </row>
    <row r="58" spans="1:25" s="3" customFormat="1" hidden="1" x14ac:dyDescent="0.25">
      <c r="A58"/>
      <c r="Y58" s="6"/>
    </row>
    <row r="59" spans="1:25" s="3" customFormat="1" hidden="1" x14ac:dyDescent="0.25">
      <c r="A59"/>
      <c r="Y59" s="6"/>
    </row>
    <row r="60" spans="1:25" s="3" customFormat="1" hidden="1" x14ac:dyDescent="0.25">
      <c r="A60"/>
      <c r="Y60" s="6"/>
    </row>
    <row r="61" spans="1:25" s="3" customFormat="1" hidden="1" x14ac:dyDescent="0.25">
      <c r="A61"/>
      <c r="Y61" s="6"/>
    </row>
    <row r="62" spans="1:25" s="3" customFormat="1" hidden="1" x14ac:dyDescent="0.25">
      <c r="A62"/>
      <c r="Y62" s="6"/>
    </row>
    <row r="63" spans="1:25" s="3" customFormat="1" hidden="1" x14ac:dyDescent="0.25">
      <c r="A63"/>
      <c r="Y63" s="6"/>
    </row>
    <row r="64" spans="1:25" s="3" customFormat="1" hidden="1" x14ac:dyDescent="0.25">
      <c r="A64"/>
      <c r="Y64" s="6"/>
    </row>
    <row r="65" spans="1:25" s="3" customFormat="1" hidden="1" x14ac:dyDescent="0.25">
      <c r="A65"/>
      <c r="Y65" s="6"/>
    </row>
    <row r="66" spans="1:25" s="3" customFormat="1" hidden="1" x14ac:dyDescent="0.25">
      <c r="A66"/>
      <c r="Y66" s="6"/>
    </row>
    <row r="67" spans="1:25" s="3" customFormat="1" hidden="1" x14ac:dyDescent="0.25">
      <c r="A67"/>
      <c r="Y67" s="6"/>
    </row>
    <row r="68" spans="1:25" s="3" customFormat="1" hidden="1" x14ac:dyDescent="0.25">
      <c r="A68"/>
      <c r="Y68" s="6"/>
    </row>
    <row r="69" spans="1:25" s="3" customFormat="1" hidden="1" x14ac:dyDescent="0.25">
      <c r="A69"/>
      <c r="Y69" s="6"/>
    </row>
    <row r="70" spans="1:25" s="3" customFormat="1" hidden="1" x14ac:dyDescent="0.25">
      <c r="A70"/>
      <c r="Y70" s="6"/>
    </row>
    <row r="71" spans="1:25" s="3" customFormat="1" hidden="1" x14ac:dyDescent="0.25">
      <c r="A71"/>
      <c r="Y71" s="6"/>
    </row>
    <row r="72" spans="1:25" s="3" customFormat="1" hidden="1" x14ac:dyDescent="0.25">
      <c r="A72"/>
      <c r="Y72" s="6"/>
    </row>
    <row r="73" spans="1:25" hidden="1" x14ac:dyDescent="0.25"/>
    <row r="74" spans="1:25" hidden="1" x14ac:dyDescent="0.25"/>
    <row r="75" spans="1:25" hidden="1" x14ac:dyDescent="0.25"/>
    <row r="76" spans="1:25" hidden="1" x14ac:dyDescent="0.25"/>
    <row r="77" spans="1:25" hidden="1" x14ac:dyDescent="0.25"/>
    <row r="78" spans="1:25" hidden="1" x14ac:dyDescent="0.25"/>
    <row r="79" spans="1:25" hidden="1" x14ac:dyDescent="0.25"/>
    <row r="80" spans="1:25" hidden="1" x14ac:dyDescent="0.25"/>
    <row r="81" hidden="1" x14ac:dyDescent="0.25"/>
    <row r="82" hidden="1" x14ac:dyDescent="0.25"/>
    <row r="83" hidden="1" x14ac:dyDescent="0.25"/>
    <row r="84" hidden="1" x14ac:dyDescent="0.25"/>
    <row r="85" hidden="1" x14ac:dyDescent="0.25"/>
    <row r="86" hidden="1" x14ac:dyDescent="0.25"/>
    <row r="87" hidden="1" x14ac:dyDescent="0.25"/>
    <row r="88" hidden="1" x14ac:dyDescent="0.25"/>
    <row r="89" hidden="1" x14ac:dyDescent="0.25"/>
    <row r="90" hidden="1" x14ac:dyDescent="0.25"/>
    <row r="91" hidden="1" x14ac:dyDescent="0.25"/>
    <row r="92" hidden="1" x14ac:dyDescent="0.25"/>
    <row r="93" hidden="1" x14ac:dyDescent="0.25"/>
    <row r="94" hidden="1" x14ac:dyDescent="0.25"/>
    <row r="95" hidden="1" x14ac:dyDescent="0.25"/>
    <row r="96" hidden="1" x14ac:dyDescent="0.25"/>
    <row r="97" hidden="1" x14ac:dyDescent="0.25"/>
    <row r="98" hidden="1" x14ac:dyDescent="0.25"/>
    <row r="99" hidden="1" x14ac:dyDescent="0.25"/>
    <row r="100" hidden="1" x14ac:dyDescent="0.25"/>
    <row r="101" hidden="1" x14ac:dyDescent="0.25"/>
    <row r="102" hidden="1" x14ac:dyDescent="0.25"/>
    <row r="103" hidden="1" x14ac:dyDescent="0.25"/>
    <row r="104" hidden="1" x14ac:dyDescent="0.25"/>
    <row r="105" hidden="1" x14ac:dyDescent="0.25"/>
    <row r="106" hidden="1" x14ac:dyDescent="0.25"/>
    <row r="107" hidden="1" x14ac:dyDescent="0.25"/>
    <row r="108" hidden="1" x14ac:dyDescent="0.25"/>
    <row r="109" hidden="1" x14ac:dyDescent="0.25"/>
    <row r="110" hidden="1" x14ac:dyDescent="0.25"/>
    <row r="111" hidden="1" x14ac:dyDescent="0.25"/>
    <row r="112" hidden="1" x14ac:dyDescent="0.25"/>
    <row r="113" hidden="1" x14ac:dyDescent="0.25"/>
    <row r="114" hidden="1" x14ac:dyDescent="0.25"/>
    <row r="115" hidden="1" x14ac:dyDescent="0.25"/>
    <row r="116" hidden="1" x14ac:dyDescent="0.25"/>
    <row r="117" hidden="1" x14ac:dyDescent="0.25"/>
    <row r="118" hidden="1" x14ac:dyDescent="0.25"/>
    <row r="119" hidden="1" x14ac:dyDescent="0.25"/>
    <row r="120" hidden="1" x14ac:dyDescent="0.25"/>
    <row r="121" hidden="1" x14ac:dyDescent="0.25"/>
    <row r="122" hidden="1" x14ac:dyDescent="0.25"/>
    <row r="123" hidden="1" x14ac:dyDescent="0.25"/>
    <row r="124" hidden="1" x14ac:dyDescent="0.25"/>
    <row r="125" hidden="1" x14ac:dyDescent="0.25"/>
    <row r="126" hidden="1" x14ac:dyDescent="0.25"/>
    <row r="127" hidden="1" x14ac:dyDescent="0.25"/>
  </sheetData>
  <sheetProtection algorithmName="SHA-512" hashValue="pk6pwfiNTYtB+ugn7ag6/oMcWwOw49lnmxkgyI7m358anLdQGvFXbbo9AFXsxwY9FneN1o80+ozgfGtzyO8BTg==" saltValue="gF+sPuGUWaJWQjj4xfbGwg==" spinCount="100000" sheet="1" objects="1" scenarios="1" selectLockedCells="1"/>
  <mergeCells count="62">
    <mergeCell ref="S31:X36"/>
    <mergeCell ref="G31:Q31"/>
    <mergeCell ref="H19:O19"/>
    <mergeCell ref="H21:O21"/>
    <mergeCell ref="H23:O23"/>
    <mergeCell ref="H25:O25"/>
    <mergeCell ref="H27:O27"/>
    <mergeCell ref="C19:G19"/>
    <mergeCell ref="C21:G21"/>
    <mergeCell ref="C23:G23"/>
    <mergeCell ref="C25:G25"/>
    <mergeCell ref="C27:G27"/>
    <mergeCell ref="R27:S27"/>
    <mergeCell ref="O29:T29"/>
    <mergeCell ref="C29:K29"/>
    <mergeCell ref="A1:A3"/>
    <mergeCell ref="C32:D35"/>
    <mergeCell ref="A25:A27"/>
    <mergeCell ref="R5:W5"/>
    <mergeCell ref="H9:M9"/>
    <mergeCell ref="A29:A31"/>
    <mergeCell ref="G35:K35"/>
    <mergeCell ref="M33:Q33"/>
    <mergeCell ref="M35:Q35"/>
    <mergeCell ref="H11:W15"/>
    <mergeCell ref="T19:W19"/>
    <mergeCell ref="G33:K33"/>
    <mergeCell ref="T21:W21"/>
    <mergeCell ref="T23:W23"/>
    <mergeCell ref="T25:W25"/>
    <mergeCell ref="T27:W27"/>
    <mergeCell ref="Y1:Y3"/>
    <mergeCell ref="T17:W17"/>
    <mergeCell ref="L2:M2"/>
    <mergeCell ref="B1:K3"/>
    <mergeCell ref="N2:O2"/>
    <mergeCell ref="H7:M7"/>
    <mergeCell ref="V2:W2"/>
    <mergeCell ref="T2:U2"/>
    <mergeCell ref="R2:S2"/>
    <mergeCell ref="P2:Q2"/>
    <mergeCell ref="H17:O17"/>
    <mergeCell ref="D13:G13"/>
    <mergeCell ref="Q7:W7"/>
    <mergeCell ref="B5:G5"/>
    <mergeCell ref="B7:G7"/>
    <mergeCell ref="B9:G9"/>
    <mergeCell ref="I5:K5"/>
    <mergeCell ref="N9:P9"/>
    <mergeCell ref="M4:M6"/>
    <mergeCell ref="N7:P7"/>
    <mergeCell ref="C17:G17"/>
    <mergeCell ref="B11:G11"/>
    <mergeCell ref="B15:F15"/>
    <mergeCell ref="G14:G16"/>
    <mergeCell ref="B12:C14"/>
    <mergeCell ref="N5:Q5"/>
    <mergeCell ref="R17:S17"/>
    <mergeCell ref="R19:S19"/>
    <mergeCell ref="R21:S21"/>
    <mergeCell ref="R23:S23"/>
    <mergeCell ref="R25:S25"/>
  </mergeCells>
  <conditionalFormatting sqref="Q17">
    <cfRule type="containsErrors" dxfId="567" priority="11">
      <formula>ISERROR(Q17)</formula>
    </cfRule>
  </conditionalFormatting>
  <conditionalFormatting sqref="Q27">
    <cfRule type="containsErrors" dxfId="566" priority="9">
      <formula>ISERROR(Q27)</formula>
    </cfRule>
  </conditionalFormatting>
  <conditionalFormatting sqref="Q25">
    <cfRule type="containsErrors" dxfId="565" priority="8">
      <formula>ISERROR(Q25)</formula>
    </cfRule>
  </conditionalFormatting>
  <conditionalFormatting sqref="Q23">
    <cfRule type="containsErrors" dxfId="564" priority="7">
      <formula>ISERROR(Q23)</formula>
    </cfRule>
  </conditionalFormatting>
  <conditionalFormatting sqref="Q21">
    <cfRule type="containsErrors" dxfId="563" priority="6">
      <formula>ISERROR(Q21)</formula>
    </cfRule>
  </conditionalFormatting>
  <conditionalFormatting sqref="Q19">
    <cfRule type="containsErrors" dxfId="562" priority="5">
      <formula>ISERROR(Q19)</formula>
    </cfRule>
  </conditionalFormatting>
  <conditionalFormatting sqref="L29">
    <cfRule type="cellIs" dxfId="561" priority="4" operator="notEqual">
      <formula>100</formula>
    </cfRule>
  </conditionalFormatting>
  <conditionalFormatting sqref="AA2">
    <cfRule type="expression" dxfId="560" priority="1">
      <formula>$Z$2="OK"</formula>
    </cfRule>
  </conditionalFormatting>
  <dataValidations xWindow="149" yWindow="613" count="9">
    <dataValidation allowBlank="1" showErrorMessage="1" promptTitle="Nº Pregunta" prompt="Número de la PREGUNTA que se está consultando. Si quires que el primer número de este banco de preguntas sea mayor (11, 21, 31...) incrementa el rango en la casilla Nº INICIAL del BANCO de PREGUNTAS." sqref="L5"/>
    <dataValidation allowBlank="1" showErrorMessage="1" promptTitle="Retroalimentación" prompt="Escribe el comentario que quieres que aparezca para cada respuesta." sqref="T23 T25 T21 T19 T27 T17"/>
    <dataValidation allowBlank="1" showErrorMessage="1" promptTitle="Enunciado de la pregunta" prompt="Escribe el enunciado de la pregunta. Si quieres poner CÓDIGOS ESPECIALES, pincha F2 o haz &quot;clic&quot; dos veces con el ratón." sqref="H11"/>
    <dataValidation allowBlank="1" showErrorMessage="1" promptTitle="Descripción" prompt="Escirbe lo que quieras que aparezca en el NOMBRE de la pregunta. Éste se formará con el PREFIJO puesto en Datos Generales + el número de la pregunta + la Descripción." sqref="H9:M9"/>
    <dataValidation allowBlank="1" showErrorMessage="1" promptTitle="Respuestas" prompt="Escribe la respuesta que corresponda según lo que está escrito a la izquierda. Primero hay que poner las respuestas correctas y, a continuación, las incorrctas. " sqref="H17 H23 H25 H19 H27 H21"/>
    <dataValidation allowBlank="1" promptTitle="Puntos Respuesta Correcta" prompt="La puntuación que tendrá cada respuesta correcta. Si hay más de una respuesta correcta, la suma total debe ser 100 o 1." sqref="L29 U29"/>
    <dataValidation type="whole" allowBlank="1" promptTitle="Nº Preguntas Correctas" prompt="Para el caso de Opción Múltiple donde haya más de una respuesta correcta, indicar cuántas respuestas correctas tiene esta pergunta. Puede ser diferente para cada pregunta de un mismo banco de preguntas." sqref="N29">
      <formula1>1</formula1>
      <formula2>6</formula2>
    </dataValidation>
    <dataValidation type="list" errorStyle="warning" allowBlank="1" promptTitle="Respuesta Incorrecta" prompt="La puntuación que tendrá cada respuesta incorrecta. Si hay más de una respuesta incorrecta, la suma total debe ser -100 o -1. Si no quieres restar puntos por respuestas incorrectas, déjalo a CERO." sqref="Q17 Q21 Q27 Q25 Q23 Q19">
      <formula1>"+100,+100/2,+100/3,+100/4,+100/5,0,-100,-100/2,-100/3,-100/4,-100/5"</formula1>
    </dataValidation>
    <dataValidation type="whole" allowBlank="1" showInputMessage="1" showErrorMessage="1" sqref="H5">
      <formula1>1</formula1>
      <formula2>9999</formula2>
    </dataValidation>
  </dataValidations>
  <hyperlinks>
    <hyperlink ref="B1:K3" r:id="rId1" display="https://youtu.be/pIMsBcuHDdo"/>
    <hyperlink ref="D13" r:id="rId2" display="EDITOR PREGUNTAS CLOZE"/>
  </hyperlinks>
  <printOptions horizontalCentered="1" verticalCentered="1"/>
  <pageMargins left="0.59055118110236227" right="0.59055118110236227" top="0.78740157480314965" bottom="0.78740157480314965" header="0.78740157480314965" footer="0.78740157480314965"/>
  <pageSetup paperSize="9" scale="84" orientation="landscape" horizontalDpi="1200" verticalDpi="1200" r:id="rId3"/>
  <headerFooter>
    <oddHeader>&amp;L&amp;G&amp;C&amp;"-,Negrita"&amp;12Elaborado por
MILAGROS HUERTA GÓMEZ DE MERODIO
(Universidad de Cádiz)&amp;R&amp;A</oddHeader>
    <oddFooter>&amp;C&amp;F&amp;RPg. &amp;P/&amp;N</oddFooter>
  </headerFooter>
  <drawing r:id="rId4"/>
  <legacyDrawing r:id="rId5"/>
  <legacyDrawingHF r:id="rId6"/>
  <mc:AlternateContent xmlns:mc="http://schemas.openxmlformats.org/markup-compatibility/2006">
    <mc:Choice Requires="x14">
      <controls>
        <mc:AlternateContent xmlns:mc="http://schemas.openxmlformats.org/markup-compatibility/2006">
          <mc:Choice Requires="x14">
            <control shapeId="5121" r:id="rId7" name="Contador 10">
              <controlPr defaultSize="0" autoPict="0" macro="[0]!Cambiar_N_I_Banco_Preguntas" altText="Para consultar los datos de cada pregunta.">
                <anchor moveWithCells="1" sizeWithCells="1">
                  <from>
                    <xdr:col>7</xdr:col>
                    <xdr:colOff>333375</xdr:colOff>
                    <xdr:row>3</xdr:row>
                    <xdr:rowOff>57150</xdr:rowOff>
                  </from>
                  <to>
                    <xdr:col>8</xdr:col>
                    <xdr:colOff>38100</xdr:colOff>
                    <xdr:row>5</xdr:row>
                    <xdr:rowOff>0</xdr:rowOff>
                  </to>
                </anchor>
              </controlPr>
            </control>
          </mc:Choice>
        </mc:AlternateContent>
        <mc:AlternateContent xmlns:mc="http://schemas.openxmlformats.org/markup-compatibility/2006">
          <mc:Choice Requires="x14">
            <control shapeId="5122" r:id="rId8" name="Contador 100">
              <controlPr defaultSize="0" autoPict="0" macro="[0]!Cambiar_N_I_Banco_Preguntas" altText="Para consultar los datos de cada pregunta.">
                <anchor moveWithCells="1" sizeWithCells="1">
                  <from>
                    <xdr:col>8</xdr:col>
                    <xdr:colOff>38100</xdr:colOff>
                    <xdr:row>3</xdr:row>
                    <xdr:rowOff>57150</xdr:rowOff>
                  </from>
                  <to>
                    <xdr:col>8</xdr:col>
                    <xdr:colOff>123825</xdr:colOff>
                    <xdr:row>5</xdr:row>
                    <xdr:rowOff>0</xdr:rowOff>
                  </to>
                </anchor>
              </controlPr>
            </control>
          </mc:Choice>
        </mc:AlternateContent>
        <mc:AlternateContent xmlns:mc="http://schemas.openxmlformats.org/markup-compatibility/2006">
          <mc:Choice Requires="x14">
            <control shapeId="5123" r:id="rId9" name="Contador 1">
              <controlPr defaultSize="0" autoPict="0" macro="[0]!Ver_Datos_Preguntas" altText="Para consultar los datos de cada pregunta.">
                <anchor moveWithCells="1" sizeWithCells="1">
                  <from>
                    <xdr:col>12</xdr:col>
                    <xdr:colOff>9525</xdr:colOff>
                    <xdr:row>3</xdr:row>
                    <xdr:rowOff>66675</xdr:rowOff>
                  </from>
                  <to>
                    <xdr:col>12</xdr:col>
                    <xdr:colOff>95250</xdr:colOff>
                    <xdr:row>5</xdr:row>
                    <xdr:rowOff>9525</xdr:rowOff>
                  </to>
                </anchor>
              </controlPr>
            </control>
          </mc:Choice>
        </mc:AlternateContent>
        <mc:AlternateContent xmlns:mc="http://schemas.openxmlformats.org/markup-compatibility/2006">
          <mc:Choice Requires="x14">
            <control shapeId="5124" r:id="rId10" name="Box PREGUNTA">
              <controlPr defaultSize="0" autoFill="0" autoLine="0" autoPict="0">
                <anchor moveWithCells="1">
                  <from>
                    <xdr:col>12</xdr:col>
                    <xdr:colOff>85725</xdr:colOff>
                    <xdr:row>4</xdr:row>
                    <xdr:rowOff>0</xdr:rowOff>
                  </from>
                  <to>
                    <xdr:col>12</xdr:col>
                    <xdr:colOff>323850</xdr:colOff>
                    <xdr:row>5</xdr:row>
                    <xdr:rowOff>0</xdr:rowOff>
                  </to>
                </anchor>
              </controlPr>
            </control>
          </mc:Choice>
        </mc:AlternateContent>
      </controls>
    </mc:Choice>
  </mc:AlternateContent>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Hoja_22">
    <tabColor rgb="FFE87B00"/>
    <pageSetUpPr autoPageBreaks="0" fitToPage="1"/>
  </sheetPr>
  <dimension ref="A1:XFD6"/>
  <sheetViews>
    <sheetView showGridLines="0" showRowColHeaders="0" zoomScale="140" zoomScaleNormal="140" workbookViewId="0">
      <pane xSplit="7" ySplit="4" topLeftCell="H6" activePane="bottomRight" state="frozen"/>
      <selection activeCell="I7" sqref="I7"/>
      <selection pane="topRight" activeCell="I7" sqref="I7"/>
      <selection pane="bottomLeft" activeCell="I7" sqref="I7"/>
      <selection pane="bottomRight" activeCell="G6" sqref="G6"/>
    </sheetView>
  </sheetViews>
  <sheetFormatPr baseColWidth="10" defaultColWidth="0" defaultRowHeight="15" x14ac:dyDescent="0.25"/>
  <cols>
    <col min="1" max="1" width="9.7109375" style="14" customWidth="1"/>
    <col min="2" max="2" width="5.28515625" style="11" customWidth="1"/>
    <col min="3" max="3" width="4.85546875" style="11" customWidth="1"/>
    <col min="4" max="4" width="5.140625" style="15" customWidth="1"/>
    <col min="5" max="5" width="4.7109375" style="15" customWidth="1"/>
    <col min="6" max="6" width="10.5703125" style="15" customWidth="1"/>
    <col min="7" max="7" width="44.42578125" style="11" customWidth="1"/>
    <col min="8" max="13" width="12.5703125" style="11" customWidth="1"/>
    <col min="14" max="25" width="14.28515625" style="11" customWidth="1"/>
    <col min="26" max="31" width="14.28515625" style="11" hidden="1" customWidth="1"/>
    <col min="32" max="36" width="11.42578125" style="11" customWidth="1"/>
    <col min="37" max="37" width="0" style="11" hidden="1" customWidth="1"/>
    <col min="38" max="16384" width="11.42578125" style="11" hidden="1"/>
  </cols>
  <sheetData>
    <row r="1" spans="1:16384" s="12" customFormat="1" ht="39.950000000000003" customHeight="1" x14ac:dyDescent="0.25">
      <c r="A1" s="317" t="str">
        <f>Version</f>
        <v xml:space="preserve">   V - 5.0 </v>
      </c>
      <c r="B1" s="207"/>
      <c r="C1" s="208"/>
      <c r="D1" s="316"/>
      <c r="E1" s="316"/>
      <c r="F1" s="319" t="str">
        <f ca="1">'Formulario OM'!L2&amp;"
"&amp;'DATOS GENERALES'!S17</f>
        <v>DATOS 
GENERALES
FORMULARIO</v>
      </c>
      <c r="G1" s="579" t="str">
        <f ca="1">'Datos OM'!G1</f>
        <v>INSERTAR PREGUNTA
BORRAR PREGUNTA</v>
      </c>
      <c r="H1" s="609">
        <f>COUNTA('Datos O2'!$G$6:$G$6)</f>
        <v>0</v>
      </c>
      <c r="I1" s="320" t="str">
        <f ca="1">INDIRECT("Z_BP_01_"&amp;IDIOMA)</f>
        <v>Preguntas Almacenadas</v>
      </c>
    </row>
    <row r="2" spans="1:16384" s="494" customFormat="1" ht="50.1" customHeight="1" thickBot="1" x14ac:dyDescent="0.3">
      <c r="A2" s="347" t="str">
        <f ca="1">'Datos OM'!A2</f>
        <v>Nombre de la pregunta</v>
      </c>
      <c r="B2" s="486" t="str">
        <f ca="1">'Datos OM'!B2</f>
        <v>N. Respuesta Correcta</v>
      </c>
      <c r="C2" s="486" t="str">
        <f ca="1">'Datos OM'!C2</f>
        <v>N. Respuesta Incorrecta</v>
      </c>
      <c r="D2" s="487" t="str">
        <f ca="1">'Datos OM'!D2</f>
        <v>Puntos Respuesta Correcta</v>
      </c>
      <c r="E2" s="487" t="str">
        <f ca="1">'Datos OM'!E2</f>
        <v>Puntos Respuesta Incorrecta</v>
      </c>
      <c r="F2" s="368" t="str">
        <f ca="1">'Datos OM'!F2</f>
        <v>Descripción</v>
      </c>
      <c r="G2" s="358" t="str">
        <f ca="1">'Formulario O2'!B1&amp;"
"&amp;'Formulario OM'!B11</f>
        <v>FastTest PlugIn - Opción Múltiple +R 
Enunciado de la pregunta</v>
      </c>
      <c r="H2" s="480" t="str">
        <f ca="1">'Datos OM'!H2</f>
        <v>Respuesta 1</v>
      </c>
      <c r="I2" s="481" t="str">
        <f ca="1">'Datos OM'!I2</f>
        <v>Respuesta 2</v>
      </c>
      <c r="J2" s="482" t="str">
        <f ca="1">'Datos OM'!J2</f>
        <v>Respuesta 3</v>
      </c>
      <c r="K2" s="483" t="str">
        <f ca="1">'Datos OM'!K2</f>
        <v>Respuesta 4</v>
      </c>
      <c r="L2" s="484" t="str">
        <f ca="1">'Datos OM'!L2</f>
        <v>Respuesta 5</v>
      </c>
      <c r="M2" s="485" t="str">
        <f ca="1">'Datos OM'!M2</f>
        <v>Respuesta 6</v>
      </c>
      <c r="N2" s="387" t="str">
        <f ca="1">'Datos OM'!N2</f>
        <v>Retroalim. 1</v>
      </c>
      <c r="O2" s="388" t="str">
        <f ca="1">'Datos OM'!O2</f>
        <v>Retroalim. 2</v>
      </c>
      <c r="P2" s="373" t="str">
        <f ca="1">'Datos OM'!P2</f>
        <v>Retroalim. 3</v>
      </c>
      <c r="Q2" s="389" t="str">
        <f ca="1">'Datos OM'!Q2</f>
        <v>Retroalim. 4</v>
      </c>
      <c r="R2" s="390" t="str">
        <f ca="1">'Datos OM'!R2</f>
        <v>Retroalim. 5</v>
      </c>
      <c r="S2" s="391" t="str">
        <f ca="1">'Datos OM'!S2</f>
        <v>Retroalim. 6</v>
      </c>
      <c r="T2" s="488" t="str">
        <f ca="1">'Datos OM'!T2</f>
        <v>Puntos 1</v>
      </c>
      <c r="U2" s="489" t="str">
        <f ca="1">'Datos OM'!U2</f>
        <v>Puntos 2</v>
      </c>
      <c r="V2" s="490" t="str">
        <f ca="1">'Datos OM'!V2</f>
        <v>Puntos 3</v>
      </c>
      <c r="W2" s="491" t="str">
        <f ca="1">'Datos OM'!W2</f>
        <v>Puntos 4</v>
      </c>
      <c r="X2" s="492" t="str">
        <f ca="1">'Datos OM'!X2</f>
        <v>Puntos 5</v>
      </c>
      <c r="Y2" s="493" t="str">
        <f ca="1">'Datos OM'!Y2</f>
        <v>Puntos 6</v>
      </c>
      <c r="Z2" s="391">
        <f>'Datos OM'!Z2</f>
        <v>0</v>
      </c>
      <c r="AA2" s="391">
        <f>'Datos OM'!AA2</f>
        <v>0</v>
      </c>
      <c r="AB2" s="391">
        <f>'Datos OM'!AB2</f>
        <v>0</v>
      </c>
      <c r="AC2" s="391">
        <f>'Datos OM'!AC2</f>
        <v>0</v>
      </c>
      <c r="AD2" s="391">
        <f>'Datos OM'!AD2</f>
        <v>0</v>
      </c>
      <c r="AE2" s="391">
        <f>'Datos OM'!AE2</f>
        <v>0</v>
      </c>
      <c r="AF2" s="369" t="str">
        <f ca="1">'Datos OM'!AF2</f>
        <v>PISTA: 1</v>
      </c>
      <c r="AG2" s="370" t="str">
        <f ca="1">'Datos OM'!AG2</f>
        <v>PISTA: 2</v>
      </c>
      <c r="AH2" s="371" t="str">
        <f ca="1">'Datos OM'!AH2</f>
        <v>PISTA: 3</v>
      </c>
      <c r="AI2" s="372" t="str">
        <f ca="1">'Datos OM'!AI2</f>
        <v>PISTA: 4</v>
      </c>
      <c r="AJ2" s="373" t="s">
        <v>1314</v>
      </c>
    </row>
    <row r="3" spans="1:16384" s="473" customFormat="1" ht="12.75" hidden="1" thickTop="1" x14ac:dyDescent="0.25">
      <c r="A3" s="459" t="str">
        <f t="shared" ref="A3:AJ3" ca="1" si="0">IFERROR(IF(INDIRECT("F"&amp;PREGUNTA_ACTUAL-(N_I_O2)+N_I_Tabla&amp;"C"&amp;COLUMN(),FALSE)="","",INDIRECT("F"&amp;PREGUNTA_ACTUAL-(N_I_O2)+N_I_Tabla&amp;"C"&amp;COLUMN(),FALSE)),"")</f>
        <v/>
      </c>
      <c r="B3" s="459" t="str">
        <f t="shared" ca="1" si="0"/>
        <v/>
      </c>
      <c r="C3" s="459" t="str">
        <f t="shared" ca="1" si="0"/>
        <v/>
      </c>
      <c r="D3" s="459" t="str">
        <f t="shared" ca="1" si="0"/>
        <v/>
      </c>
      <c r="E3" s="459" t="str">
        <f t="shared" ca="1" si="0"/>
        <v/>
      </c>
      <c r="F3" s="459" t="str">
        <f t="shared" ca="1" si="0"/>
        <v/>
      </c>
      <c r="G3" s="459" t="str">
        <f t="shared" ca="1" si="0"/>
        <v/>
      </c>
      <c r="H3" s="459" t="str">
        <f t="shared" ca="1" si="0"/>
        <v/>
      </c>
      <c r="I3" s="459" t="str">
        <f t="shared" ca="1" si="0"/>
        <v/>
      </c>
      <c r="J3" s="459" t="str">
        <f t="shared" ca="1" si="0"/>
        <v/>
      </c>
      <c r="K3" s="459" t="str">
        <f t="shared" ca="1" si="0"/>
        <v/>
      </c>
      <c r="L3" s="459" t="str">
        <f t="shared" ca="1" si="0"/>
        <v/>
      </c>
      <c r="M3" s="459" t="str">
        <f t="shared" ca="1" si="0"/>
        <v/>
      </c>
      <c r="N3" s="459" t="str">
        <f t="shared" ca="1" si="0"/>
        <v/>
      </c>
      <c r="O3" s="459" t="str">
        <f t="shared" ca="1" si="0"/>
        <v/>
      </c>
      <c r="P3" s="459" t="str">
        <f t="shared" ca="1" si="0"/>
        <v/>
      </c>
      <c r="Q3" s="459" t="str">
        <f t="shared" ca="1" si="0"/>
        <v/>
      </c>
      <c r="R3" s="459" t="str">
        <f t="shared" ca="1" si="0"/>
        <v/>
      </c>
      <c r="S3" s="459" t="str">
        <f t="shared" ca="1" si="0"/>
        <v/>
      </c>
      <c r="T3" s="459" t="str">
        <f t="shared" ca="1" si="0"/>
        <v/>
      </c>
      <c r="U3" s="459" t="str">
        <f t="shared" ca="1" si="0"/>
        <v/>
      </c>
      <c r="V3" s="459" t="str">
        <f t="shared" ca="1" si="0"/>
        <v/>
      </c>
      <c r="W3" s="459" t="str">
        <f t="shared" ca="1" si="0"/>
        <v/>
      </c>
      <c r="X3" s="459" t="str">
        <f t="shared" ca="1" si="0"/>
        <v/>
      </c>
      <c r="Y3" s="459" t="str">
        <f t="shared" ca="1" si="0"/>
        <v/>
      </c>
      <c r="Z3" s="459" t="str">
        <f t="shared" ca="1" si="0"/>
        <v/>
      </c>
      <c r="AA3" s="459" t="str">
        <f t="shared" ca="1" si="0"/>
        <v/>
      </c>
      <c r="AB3" s="459" t="str">
        <f t="shared" ca="1" si="0"/>
        <v/>
      </c>
      <c r="AC3" s="459" t="str">
        <f t="shared" ca="1" si="0"/>
        <v/>
      </c>
      <c r="AD3" s="459" t="str">
        <f t="shared" ca="1" si="0"/>
        <v/>
      </c>
      <c r="AE3" s="459" t="str">
        <f t="shared" ca="1" si="0"/>
        <v/>
      </c>
      <c r="AF3" s="459" t="str">
        <f t="shared" ca="1" si="0"/>
        <v/>
      </c>
      <c r="AG3" s="459" t="str">
        <f t="shared" ca="1" si="0"/>
        <v/>
      </c>
      <c r="AH3" s="459" t="str">
        <f t="shared" ca="1" si="0"/>
        <v/>
      </c>
      <c r="AI3" s="459" t="str">
        <f t="shared" ca="1" si="0"/>
        <v/>
      </c>
      <c r="AJ3" s="459" t="str">
        <f t="shared" ca="1" si="0"/>
        <v/>
      </c>
    </row>
    <row r="4" spans="1:16384" s="472" customFormat="1" ht="12.75" hidden="1" thickBot="1" x14ac:dyDescent="0.3">
      <c r="A4" s="142">
        <v>201</v>
      </c>
      <c r="B4" s="471">
        <f>N_I_Tabla</f>
        <v>6</v>
      </c>
      <c r="C4" s="469"/>
      <c r="D4" s="345"/>
      <c r="E4" s="345"/>
      <c r="F4" s="148" t="str">
        <f>IF('Formulario O2'!H9="","",'Formulario O2'!H9)</f>
        <v/>
      </c>
      <c r="G4" s="422" t="str">
        <f>IF('Formulario O2'!H11="","",'Formulario O2'!H11)</f>
        <v/>
      </c>
      <c r="H4" s="160" t="str">
        <f>IF('Formulario O2'!H17="","",'Formulario O2'!H17)</f>
        <v/>
      </c>
      <c r="I4" s="161" t="str">
        <f>IF('Formulario O2'!H19="","",'Formulario O2'!H19)</f>
        <v/>
      </c>
      <c r="J4" s="162" t="str">
        <f>IF('Formulario O2'!H21="","",'Formulario O2'!H21)</f>
        <v/>
      </c>
      <c r="K4" s="163" t="str">
        <f>IF('Formulario O2'!H23="","",'Formulario O2'!H23)</f>
        <v/>
      </c>
      <c r="L4" s="164" t="str">
        <f>IF('Formulario O2'!H25="","",'Formulario O2'!H25)</f>
        <v/>
      </c>
      <c r="M4" s="165" t="str">
        <f>IF('Formulario O2'!H27="","",'Formulario O2'!H27)</f>
        <v/>
      </c>
      <c r="N4" s="150" t="str">
        <f>IF('Formulario O2'!T17="","",'Formulario O2'!T17)</f>
        <v/>
      </c>
      <c r="O4" s="151" t="str">
        <f>IF('Formulario O2'!T19="","",'Formulario O2'!T19)</f>
        <v/>
      </c>
      <c r="P4" s="152" t="str">
        <f>IF('Formulario O2'!T21="","",'Formulario O2'!T21)</f>
        <v/>
      </c>
      <c r="Q4" s="153" t="str">
        <f>IF('Formulario O2'!T23="","",'Formulario O2'!T23)</f>
        <v/>
      </c>
      <c r="R4" s="154" t="str">
        <f>IF('Formulario O2'!T25="","",'Formulario O2'!T25)</f>
        <v/>
      </c>
      <c r="S4" s="155" t="str">
        <f>IF('Formulario O2'!T27="","",'Formulario O2'!T27)</f>
        <v/>
      </c>
      <c r="T4" s="242" t="str">
        <f>IF('Formulario O2'!Q17="","",'Formulario O2'!Q17)</f>
        <v/>
      </c>
      <c r="U4" s="237" t="str">
        <f>IF('Formulario O2'!Q19="","",'Formulario O2'!Q19)</f>
        <v/>
      </c>
      <c r="V4" s="243" t="str">
        <f>IF('Formulario O2'!Q21="","",'Formulario O2'!Q21)</f>
        <v/>
      </c>
      <c r="W4" s="244" t="str">
        <f>IF('Formulario O2'!Q23="","",'Formulario O2'!Q23)</f>
        <v/>
      </c>
      <c r="X4" s="245" t="str">
        <f>IF('Formulario O2'!Q25="","",'Formulario O2'!Q25)</f>
        <v/>
      </c>
      <c r="Y4" s="246" t="str">
        <f>IF('Formulario O2'!Q27="","",'Formulario O2'!Q27)</f>
        <v/>
      </c>
      <c r="Z4" s="155"/>
      <c r="AA4" s="155"/>
      <c r="AB4" s="155"/>
      <c r="AC4" s="155"/>
      <c r="AD4" s="155"/>
      <c r="AE4" s="155"/>
      <c r="AF4" s="156" t="str">
        <f>IF('Formulario O2'!G33="","",'Formulario O2'!G33)</f>
        <v/>
      </c>
      <c r="AG4" s="157" t="str">
        <f>IF('Formulario O2'!M33="","",'Formulario O2'!M33)</f>
        <v/>
      </c>
      <c r="AH4" s="158" t="str">
        <f>IF('Formulario O2'!G35="","",'Formulario O2'!G35)</f>
        <v/>
      </c>
      <c r="AI4" s="159" t="str">
        <f>IF('Formulario O2'!M35="","",'Formulario O2'!M35)</f>
        <v/>
      </c>
      <c r="AJ4" s="152" t="str">
        <f>IF('Formulario O2'!Q7="","",'Formulario O2'!Q7)</f>
        <v/>
      </c>
    </row>
    <row r="5" spans="1:16384" s="12" customFormat="1" ht="15.75" hidden="1" thickTop="1" x14ac:dyDescent="0.25">
      <c r="A5" s="416" t="s">
        <v>1702</v>
      </c>
      <c r="B5" s="416" t="s">
        <v>1703</v>
      </c>
      <c r="C5" s="416" t="s">
        <v>1704</v>
      </c>
      <c r="D5" s="416" t="s">
        <v>1705</v>
      </c>
      <c r="E5" s="416" t="s">
        <v>1857</v>
      </c>
      <c r="F5" s="426" t="s">
        <v>1856</v>
      </c>
      <c r="G5" s="427" t="s">
        <v>24</v>
      </c>
      <c r="H5" s="428" t="s">
        <v>1551</v>
      </c>
      <c r="I5" s="429" t="s">
        <v>1552</v>
      </c>
      <c r="J5" s="430" t="s">
        <v>1553</v>
      </c>
      <c r="K5" s="431" t="s">
        <v>1554</v>
      </c>
      <c r="L5" s="432" t="s">
        <v>1555</v>
      </c>
      <c r="M5" s="433" t="s">
        <v>1556</v>
      </c>
      <c r="N5" s="434" t="s">
        <v>1690</v>
      </c>
      <c r="O5" s="435" t="s">
        <v>1691</v>
      </c>
      <c r="P5" s="436" t="s">
        <v>1692</v>
      </c>
      <c r="Q5" s="437" t="s">
        <v>1693</v>
      </c>
      <c r="R5" s="438" t="s">
        <v>1694</v>
      </c>
      <c r="S5" s="439" t="s">
        <v>1695</v>
      </c>
      <c r="T5" s="440" t="s">
        <v>1557</v>
      </c>
      <c r="U5" s="441" t="s">
        <v>1558</v>
      </c>
      <c r="V5" s="442" t="s">
        <v>1559</v>
      </c>
      <c r="W5" s="443" t="s">
        <v>1560</v>
      </c>
      <c r="X5" s="444" t="s">
        <v>1561</v>
      </c>
      <c r="Y5" s="445" t="s">
        <v>1562</v>
      </c>
      <c r="Z5" s="439" t="s">
        <v>1696</v>
      </c>
      <c r="AA5" s="439" t="s">
        <v>1697</v>
      </c>
      <c r="AB5" s="439" t="s">
        <v>1698</v>
      </c>
      <c r="AC5" s="439" t="s">
        <v>1699</v>
      </c>
      <c r="AD5" s="439" t="s">
        <v>1700</v>
      </c>
      <c r="AE5" s="439" t="s">
        <v>1701</v>
      </c>
      <c r="AF5" s="446" t="s">
        <v>1606</v>
      </c>
      <c r="AG5" s="447" t="s">
        <v>1607</v>
      </c>
      <c r="AH5" s="448" t="s">
        <v>1608</v>
      </c>
      <c r="AI5" s="449" t="s">
        <v>1609</v>
      </c>
      <c r="AJ5" s="436" t="s">
        <v>1314</v>
      </c>
      <c r="AK5" s="460" t="s">
        <v>1706</v>
      </c>
      <c r="AL5" s="12" t="s">
        <v>1707</v>
      </c>
      <c r="AM5" s="12" t="s">
        <v>1708</v>
      </c>
      <c r="AN5" s="12" t="s">
        <v>1709</v>
      </c>
      <c r="AO5" s="12" t="s">
        <v>1710</v>
      </c>
      <c r="AP5" s="12" t="s">
        <v>1666</v>
      </c>
      <c r="AQ5" s="12" t="s">
        <v>1858</v>
      </c>
      <c r="AR5" s="12" t="s">
        <v>1859</v>
      </c>
      <c r="AS5" s="12" t="s">
        <v>1860</v>
      </c>
      <c r="AT5" s="12" t="s">
        <v>1861</v>
      </c>
      <c r="AU5" s="12" t="s">
        <v>1862</v>
      </c>
      <c r="AV5" s="12" t="s">
        <v>1667</v>
      </c>
      <c r="AW5" s="12" t="s">
        <v>1668</v>
      </c>
      <c r="AX5" s="12" t="s">
        <v>1669</v>
      </c>
      <c r="AY5" s="12" t="s">
        <v>1670</v>
      </c>
      <c r="AZ5" s="12" t="s">
        <v>1671</v>
      </c>
      <c r="BA5" s="12" t="s">
        <v>1672</v>
      </c>
      <c r="BB5" s="12" t="s">
        <v>1673</v>
      </c>
      <c r="BC5" s="12" t="s">
        <v>1674</v>
      </c>
      <c r="BD5" s="12" t="s">
        <v>1675</v>
      </c>
      <c r="BE5" s="12" t="s">
        <v>1676</v>
      </c>
      <c r="BF5" s="12" t="s">
        <v>1677</v>
      </c>
      <c r="BG5" s="12" t="s">
        <v>1678</v>
      </c>
      <c r="BH5" s="12" t="s">
        <v>1679</v>
      </c>
      <c r="BI5" s="12" t="s">
        <v>1680</v>
      </c>
      <c r="BJ5" s="12" t="s">
        <v>1681</v>
      </c>
      <c r="BK5" s="12" t="s">
        <v>1682</v>
      </c>
      <c r="BL5" s="12" t="s">
        <v>1683</v>
      </c>
      <c r="BM5" s="12" t="s">
        <v>1684</v>
      </c>
      <c r="BN5" s="12" t="s">
        <v>1685</v>
      </c>
      <c r="BO5" s="12" t="s">
        <v>1686</v>
      </c>
      <c r="BP5" s="12" t="s">
        <v>1687</v>
      </c>
      <c r="BQ5" s="12" t="s">
        <v>1688</v>
      </c>
      <c r="BR5" s="12" t="s">
        <v>1871</v>
      </c>
      <c r="BS5" s="12" t="s">
        <v>1872</v>
      </c>
      <c r="BT5" s="12" t="s">
        <v>1873</v>
      </c>
      <c r="BU5" s="12" t="s">
        <v>1874</v>
      </c>
      <c r="BV5" s="12" t="s">
        <v>1875</v>
      </c>
      <c r="BW5" s="12" t="s">
        <v>1876</v>
      </c>
      <c r="BX5" s="12" t="s">
        <v>1877</v>
      </c>
      <c r="BY5" s="12" t="s">
        <v>1878</v>
      </c>
      <c r="BZ5" s="12" t="s">
        <v>1879</v>
      </c>
      <c r="CA5" s="12" t="s">
        <v>1880</v>
      </c>
      <c r="CB5" s="12" t="s">
        <v>1881</v>
      </c>
      <c r="CC5" s="12" t="s">
        <v>1882</v>
      </c>
      <c r="CD5" s="12" t="s">
        <v>1883</v>
      </c>
      <c r="CE5" s="12" t="s">
        <v>1884</v>
      </c>
      <c r="CF5" s="12" t="s">
        <v>1885</v>
      </c>
      <c r="CG5" s="12" t="s">
        <v>1886</v>
      </c>
      <c r="CH5" s="12" t="s">
        <v>1887</v>
      </c>
      <c r="CI5" s="12" t="s">
        <v>1888</v>
      </c>
      <c r="CJ5" s="12" t="s">
        <v>1889</v>
      </c>
      <c r="CK5" s="12" t="s">
        <v>1890</v>
      </c>
      <c r="CL5" s="12" t="s">
        <v>1891</v>
      </c>
      <c r="CM5" s="12" t="s">
        <v>1892</v>
      </c>
      <c r="CN5" s="12" t="s">
        <v>1893</v>
      </c>
      <c r="CO5" s="12" t="s">
        <v>1894</v>
      </c>
      <c r="CP5" s="12" t="s">
        <v>1895</v>
      </c>
      <c r="CQ5" s="12" t="s">
        <v>1896</v>
      </c>
      <c r="CR5" s="12" t="s">
        <v>1897</v>
      </c>
      <c r="CS5" s="12" t="s">
        <v>1898</v>
      </c>
      <c r="CT5" s="12" t="s">
        <v>1713</v>
      </c>
      <c r="CU5" s="12" t="s">
        <v>1714</v>
      </c>
      <c r="CV5" s="12" t="s">
        <v>1715</v>
      </c>
      <c r="CW5" s="12" t="s">
        <v>1716</v>
      </c>
      <c r="CX5" s="12" t="s">
        <v>1717</v>
      </c>
      <c r="CY5" s="12" t="s">
        <v>1718</v>
      </c>
      <c r="CZ5" s="12" t="s">
        <v>1719</v>
      </c>
      <c r="DA5" s="12" t="s">
        <v>1720</v>
      </c>
      <c r="DB5" s="12" t="s">
        <v>1721</v>
      </c>
      <c r="DC5" s="12" t="s">
        <v>1722</v>
      </c>
      <c r="DD5" s="12" t="s">
        <v>1723</v>
      </c>
      <c r="DE5" s="12" t="s">
        <v>1724</v>
      </c>
      <c r="DF5" s="12" t="s">
        <v>1725</v>
      </c>
      <c r="DG5" s="12" t="s">
        <v>1726</v>
      </c>
      <c r="DH5" s="12" t="s">
        <v>1727</v>
      </c>
      <c r="DI5" s="12" t="s">
        <v>1728</v>
      </c>
      <c r="DJ5" s="12" t="s">
        <v>1729</v>
      </c>
      <c r="DK5" s="12" t="s">
        <v>1730</v>
      </c>
      <c r="DL5" s="12" t="s">
        <v>1731</v>
      </c>
      <c r="DM5" s="12" t="s">
        <v>1732</v>
      </c>
      <c r="DN5" s="12" t="s">
        <v>1899</v>
      </c>
      <c r="DO5" s="12" t="s">
        <v>1900</v>
      </c>
      <c r="DP5" s="12" t="s">
        <v>1901</v>
      </c>
      <c r="DQ5" s="12" t="s">
        <v>1902</v>
      </c>
      <c r="DR5" s="12" t="s">
        <v>1903</v>
      </c>
      <c r="DS5" s="12" t="s">
        <v>1904</v>
      </c>
      <c r="DT5" s="12" t="s">
        <v>1905</v>
      </c>
      <c r="DU5" s="12" t="s">
        <v>1906</v>
      </c>
      <c r="DV5" s="12" t="s">
        <v>1907</v>
      </c>
      <c r="DW5" s="12" t="s">
        <v>1908</v>
      </c>
      <c r="DX5" s="12" t="s">
        <v>1909</v>
      </c>
      <c r="DY5" s="12" t="s">
        <v>1910</v>
      </c>
      <c r="DZ5" s="12" t="s">
        <v>1911</v>
      </c>
      <c r="EA5" s="12" t="s">
        <v>1912</v>
      </c>
      <c r="EB5" s="12" t="s">
        <v>1913</v>
      </c>
      <c r="EC5" s="12" t="s">
        <v>1914</v>
      </c>
      <c r="ED5" s="12" t="s">
        <v>1915</v>
      </c>
      <c r="EE5" s="12" t="s">
        <v>1916</v>
      </c>
      <c r="EF5" s="12" t="s">
        <v>1917</v>
      </c>
      <c r="EG5" s="12" t="s">
        <v>1918</v>
      </c>
      <c r="EH5" s="12" t="s">
        <v>1919</v>
      </c>
      <c r="EI5" s="12" t="s">
        <v>1920</v>
      </c>
      <c r="EJ5" s="12" t="s">
        <v>1921</v>
      </c>
      <c r="EK5" s="12" t="s">
        <v>1922</v>
      </c>
      <c r="EL5" s="12" t="s">
        <v>1923</v>
      </c>
      <c r="EM5" s="12" t="s">
        <v>1924</v>
      </c>
      <c r="EN5" s="12" t="s">
        <v>1925</v>
      </c>
      <c r="EO5" s="12" t="s">
        <v>1926</v>
      </c>
      <c r="EP5" s="12" t="s">
        <v>1927</v>
      </c>
      <c r="EQ5" s="12" t="s">
        <v>1928</v>
      </c>
      <c r="ER5" s="12" t="s">
        <v>1929</v>
      </c>
      <c r="ES5" s="12" t="s">
        <v>1930</v>
      </c>
      <c r="ET5" s="12" t="s">
        <v>1931</v>
      </c>
      <c r="EU5" s="12" t="s">
        <v>1932</v>
      </c>
      <c r="EV5" s="12" t="s">
        <v>1933</v>
      </c>
      <c r="EW5" s="12" t="s">
        <v>1934</v>
      </c>
      <c r="EX5" s="12" t="s">
        <v>1935</v>
      </c>
      <c r="EY5" s="12" t="s">
        <v>1936</v>
      </c>
      <c r="EZ5" s="12" t="s">
        <v>1937</v>
      </c>
      <c r="FA5" s="12" t="s">
        <v>1938</v>
      </c>
      <c r="FB5" s="12" t="s">
        <v>1939</v>
      </c>
      <c r="FC5" s="12" t="s">
        <v>1940</v>
      </c>
      <c r="FD5" s="12" t="s">
        <v>1941</v>
      </c>
      <c r="FE5" s="12" t="s">
        <v>1942</v>
      </c>
      <c r="FF5" s="12" t="s">
        <v>1943</v>
      </c>
      <c r="FG5" s="12" t="s">
        <v>1944</v>
      </c>
      <c r="FH5" s="12" t="s">
        <v>1945</v>
      </c>
      <c r="FI5" s="12" t="s">
        <v>1946</v>
      </c>
      <c r="FJ5" s="12" t="s">
        <v>1947</v>
      </c>
      <c r="FK5" s="12" t="s">
        <v>1948</v>
      </c>
      <c r="FL5" s="12" t="s">
        <v>1949</v>
      </c>
      <c r="FM5" s="12" t="s">
        <v>1950</v>
      </c>
      <c r="FN5" s="12" t="s">
        <v>1951</v>
      </c>
      <c r="FO5" s="12" t="s">
        <v>1952</v>
      </c>
      <c r="FP5" s="12" t="s">
        <v>1953</v>
      </c>
      <c r="FQ5" s="12" t="s">
        <v>1954</v>
      </c>
      <c r="FR5" s="12" t="s">
        <v>1955</v>
      </c>
      <c r="FS5" s="12" t="s">
        <v>1956</v>
      </c>
      <c r="FT5" s="12" t="s">
        <v>1957</v>
      </c>
      <c r="FU5" s="12" t="s">
        <v>1958</v>
      </c>
      <c r="FV5" s="12" t="s">
        <v>1959</v>
      </c>
      <c r="FW5" s="12" t="s">
        <v>1960</v>
      </c>
      <c r="FX5" s="12" t="s">
        <v>1961</v>
      </c>
      <c r="FY5" s="12" t="s">
        <v>1962</v>
      </c>
      <c r="FZ5" s="12" t="s">
        <v>1963</v>
      </c>
      <c r="GA5" s="12" t="s">
        <v>1964</v>
      </c>
      <c r="GB5" s="12" t="s">
        <v>1965</v>
      </c>
      <c r="GC5" s="12" t="s">
        <v>1966</v>
      </c>
      <c r="GD5" s="12" t="s">
        <v>1967</v>
      </c>
      <c r="GE5" s="12" t="s">
        <v>1968</v>
      </c>
      <c r="GF5" s="12" t="s">
        <v>1969</v>
      </c>
      <c r="GG5" s="12" t="s">
        <v>1970</v>
      </c>
      <c r="GH5" s="12" t="s">
        <v>1971</v>
      </c>
      <c r="GI5" s="12" t="s">
        <v>1972</v>
      </c>
      <c r="GJ5" s="12" t="s">
        <v>1973</v>
      </c>
      <c r="GK5" s="12" t="s">
        <v>1974</v>
      </c>
      <c r="GL5" s="12" t="s">
        <v>1975</v>
      </c>
      <c r="GM5" s="12" t="s">
        <v>1976</v>
      </c>
      <c r="GN5" s="12" t="s">
        <v>1977</v>
      </c>
      <c r="GO5" s="12" t="s">
        <v>1978</v>
      </c>
      <c r="GP5" s="12" t="s">
        <v>1979</v>
      </c>
      <c r="GQ5" s="12" t="s">
        <v>1980</v>
      </c>
      <c r="GR5" s="12" t="s">
        <v>1981</v>
      </c>
      <c r="GS5" s="12" t="s">
        <v>1982</v>
      </c>
      <c r="GT5" s="12" t="s">
        <v>1983</v>
      </c>
      <c r="GU5" s="12" t="s">
        <v>1984</v>
      </c>
      <c r="GV5" s="12" t="s">
        <v>1985</v>
      </c>
      <c r="GW5" s="12" t="s">
        <v>1986</v>
      </c>
      <c r="GX5" s="12" t="s">
        <v>1987</v>
      </c>
      <c r="GY5" s="12" t="s">
        <v>1988</v>
      </c>
      <c r="GZ5" s="12" t="s">
        <v>1989</v>
      </c>
      <c r="HA5" s="12" t="s">
        <v>1990</v>
      </c>
      <c r="HB5" s="12" t="s">
        <v>1991</v>
      </c>
      <c r="HC5" s="12" t="s">
        <v>1992</v>
      </c>
      <c r="HD5" s="12" t="s">
        <v>1993</v>
      </c>
      <c r="HE5" s="12" t="s">
        <v>1994</v>
      </c>
      <c r="HF5" s="12" t="s">
        <v>1995</v>
      </c>
      <c r="HG5" s="12" t="s">
        <v>1996</v>
      </c>
      <c r="HH5" s="12" t="s">
        <v>1997</v>
      </c>
      <c r="HI5" s="12" t="s">
        <v>1998</v>
      </c>
      <c r="HJ5" s="12" t="s">
        <v>1999</v>
      </c>
      <c r="HK5" s="12" t="s">
        <v>2000</v>
      </c>
      <c r="HL5" s="12" t="s">
        <v>2001</v>
      </c>
      <c r="HM5" s="12" t="s">
        <v>2002</v>
      </c>
      <c r="HN5" s="12" t="s">
        <v>2003</v>
      </c>
      <c r="HO5" s="12" t="s">
        <v>2004</v>
      </c>
      <c r="HP5" s="12" t="s">
        <v>2005</v>
      </c>
      <c r="HQ5" s="12" t="s">
        <v>2006</v>
      </c>
      <c r="HR5" s="12" t="s">
        <v>2007</v>
      </c>
      <c r="HS5" s="12" t="s">
        <v>2008</v>
      </c>
      <c r="HT5" s="12" t="s">
        <v>2009</v>
      </c>
      <c r="HU5" s="12" t="s">
        <v>2010</v>
      </c>
      <c r="HV5" s="12" t="s">
        <v>2011</v>
      </c>
      <c r="HW5" s="12" t="s">
        <v>2012</v>
      </c>
      <c r="HX5" s="12" t="s">
        <v>2013</v>
      </c>
      <c r="HY5" s="12" t="s">
        <v>2014</v>
      </c>
      <c r="HZ5" s="12" t="s">
        <v>2015</v>
      </c>
      <c r="IA5" s="12" t="s">
        <v>2016</v>
      </c>
      <c r="IB5" s="12" t="s">
        <v>2017</v>
      </c>
      <c r="IC5" s="12" t="s">
        <v>2018</v>
      </c>
      <c r="ID5" s="12" t="s">
        <v>2019</v>
      </c>
      <c r="IE5" s="12" t="s">
        <v>2020</v>
      </c>
      <c r="IF5" s="12" t="s">
        <v>2021</v>
      </c>
      <c r="IG5" s="12" t="s">
        <v>2022</v>
      </c>
      <c r="IH5" s="12" t="s">
        <v>2023</v>
      </c>
      <c r="II5" s="12" t="s">
        <v>2024</v>
      </c>
      <c r="IJ5" s="12" t="s">
        <v>2025</v>
      </c>
      <c r="IK5" s="12" t="s">
        <v>2026</v>
      </c>
      <c r="IL5" s="12" t="s">
        <v>2027</v>
      </c>
      <c r="IM5" s="12" t="s">
        <v>2028</v>
      </c>
      <c r="IN5" s="12" t="s">
        <v>2029</v>
      </c>
      <c r="IO5" s="12" t="s">
        <v>2030</v>
      </c>
      <c r="IP5" s="12" t="s">
        <v>2031</v>
      </c>
      <c r="IQ5" s="12" t="s">
        <v>2032</v>
      </c>
      <c r="IR5" s="12" t="s">
        <v>2033</v>
      </c>
      <c r="IS5" s="12" t="s">
        <v>2034</v>
      </c>
      <c r="IT5" s="12" t="s">
        <v>2035</v>
      </c>
      <c r="IU5" s="12" t="s">
        <v>2036</v>
      </c>
      <c r="IV5" s="12" t="s">
        <v>2037</v>
      </c>
      <c r="IW5" s="12" t="s">
        <v>2038</v>
      </c>
      <c r="IX5" s="12" t="s">
        <v>2039</v>
      </c>
      <c r="IY5" s="12" t="s">
        <v>2040</v>
      </c>
      <c r="IZ5" s="12" t="s">
        <v>2041</v>
      </c>
      <c r="JA5" s="12" t="s">
        <v>2042</v>
      </c>
      <c r="JB5" s="12" t="s">
        <v>2043</v>
      </c>
      <c r="JC5" s="12" t="s">
        <v>2044</v>
      </c>
      <c r="JD5" s="12" t="s">
        <v>2045</v>
      </c>
      <c r="JE5" s="12" t="s">
        <v>2046</v>
      </c>
      <c r="JF5" s="12" t="s">
        <v>2047</v>
      </c>
      <c r="JG5" s="12" t="s">
        <v>2048</v>
      </c>
      <c r="JH5" s="12" t="s">
        <v>2049</v>
      </c>
      <c r="JI5" s="12" t="s">
        <v>2050</v>
      </c>
      <c r="JJ5" s="12" t="s">
        <v>2051</v>
      </c>
      <c r="JK5" s="12" t="s">
        <v>2052</v>
      </c>
      <c r="JL5" s="12" t="s">
        <v>2053</v>
      </c>
      <c r="JM5" s="12" t="s">
        <v>2054</v>
      </c>
      <c r="JN5" s="12" t="s">
        <v>2055</v>
      </c>
      <c r="JO5" s="12" t="s">
        <v>2056</v>
      </c>
      <c r="JP5" s="12" t="s">
        <v>2057</v>
      </c>
      <c r="JQ5" s="12" t="s">
        <v>2058</v>
      </c>
      <c r="JR5" s="12" t="s">
        <v>2059</v>
      </c>
      <c r="JS5" s="12" t="s">
        <v>2060</v>
      </c>
      <c r="JT5" s="12" t="s">
        <v>2061</v>
      </c>
      <c r="JU5" s="12" t="s">
        <v>2062</v>
      </c>
      <c r="JV5" s="12" t="s">
        <v>2063</v>
      </c>
      <c r="JW5" s="12" t="s">
        <v>2064</v>
      </c>
      <c r="JX5" s="12" t="s">
        <v>2065</v>
      </c>
      <c r="JY5" s="12" t="s">
        <v>2066</v>
      </c>
      <c r="JZ5" s="12" t="s">
        <v>2067</v>
      </c>
      <c r="KA5" s="12" t="s">
        <v>2068</v>
      </c>
      <c r="KB5" s="12" t="s">
        <v>2069</v>
      </c>
      <c r="KC5" s="12" t="s">
        <v>2070</v>
      </c>
      <c r="KD5" s="12" t="s">
        <v>2071</v>
      </c>
      <c r="KE5" s="12" t="s">
        <v>2072</v>
      </c>
      <c r="KF5" s="12" t="s">
        <v>2073</v>
      </c>
      <c r="KG5" s="12" t="s">
        <v>2074</v>
      </c>
      <c r="KH5" s="12" t="s">
        <v>2075</v>
      </c>
      <c r="KI5" s="12" t="s">
        <v>2076</v>
      </c>
      <c r="KJ5" s="12" t="s">
        <v>2077</v>
      </c>
      <c r="KK5" s="12" t="s">
        <v>2078</v>
      </c>
      <c r="KL5" s="12" t="s">
        <v>2079</v>
      </c>
      <c r="KM5" s="12" t="s">
        <v>2080</v>
      </c>
      <c r="KN5" s="12" t="s">
        <v>2081</v>
      </c>
      <c r="KO5" s="12" t="s">
        <v>2082</v>
      </c>
      <c r="KP5" s="12" t="s">
        <v>2083</v>
      </c>
      <c r="KQ5" s="12" t="s">
        <v>2084</v>
      </c>
      <c r="KR5" s="12" t="s">
        <v>2085</v>
      </c>
      <c r="KS5" s="12" t="s">
        <v>2086</v>
      </c>
      <c r="KT5" s="12" t="s">
        <v>2087</v>
      </c>
      <c r="KU5" s="12" t="s">
        <v>2088</v>
      </c>
      <c r="KV5" s="12" t="s">
        <v>2089</v>
      </c>
      <c r="KW5" s="12" t="s">
        <v>2090</v>
      </c>
      <c r="KX5" s="12" t="s">
        <v>2091</v>
      </c>
      <c r="KY5" s="12" t="s">
        <v>2092</v>
      </c>
      <c r="KZ5" s="12" t="s">
        <v>2093</v>
      </c>
      <c r="LA5" s="12" t="s">
        <v>2094</v>
      </c>
      <c r="LB5" s="12" t="s">
        <v>2095</v>
      </c>
      <c r="LC5" s="12" t="s">
        <v>2096</v>
      </c>
      <c r="LD5" s="12" t="s">
        <v>2097</v>
      </c>
      <c r="LE5" s="12" t="s">
        <v>2098</v>
      </c>
      <c r="LF5" s="12" t="s">
        <v>2099</v>
      </c>
      <c r="LG5" s="12" t="s">
        <v>2100</v>
      </c>
      <c r="LH5" s="12" t="s">
        <v>2101</v>
      </c>
      <c r="LI5" s="12" t="s">
        <v>2102</v>
      </c>
      <c r="LJ5" s="12" t="s">
        <v>2103</v>
      </c>
      <c r="LK5" s="12" t="s">
        <v>2104</v>
      </c>
      <c r="LL5" s="12" t="s">
        <v>2105</v>
      </c>
      <c r="LM5" s="12" t="s">
        <v>2106</v>
      </c>
      <c r="LN5" s="12" t="s">
        <v>2107</v>
      </c>
      <c r="LO5" s="12" t="s">
        <v>2108</v>
      </c>
      <c r="LP5" s="12" t="s">
        <v>2109</v>
      </c>
      <c r="LQ5" s="12" t="s">
        <v>2110</v>
      </c>
      <c r="LR5" s="12" t="s">
        <v>2111</v>
      </c>
      <c r="LS5" s="12" t="s">
        <v>2112</v>
      </c>
      <c r="LT5" s="12" t="s">
        <v>2113</v>
      </c>
      <c r="LU5" s="12" t="s">
        <v>2114</v>
      </c>
      <c r="LV5" s="12" t="s">
        <v>2115</v>
      </c>
      <c r="LW5" s="12" t="s">
        <v>2116</v>
      </c>
      <c r="LX5" s="12" t="s">
        <v>2117</v>
      </c>
      <c r="LY5" s="12" t="s">
        <v>2118</v>
      </c>
      <c r="LZ5" s="12" t="s">
        <v>2119</v>
      </c>
      <c r="MA5" s="12" t="s">
        <v>2120</v>
      </c>
      <c r="MB5" s="12" t="s">
        <v>2121</v>
      </c>
      <c r="MC5" s="12" t="s">
        <v>2122</v>
      </c>
      <c r="MD5" s="12" t="s">
        <v>2123</v>
      </c>
      <c r="ME5" s="12" t="s">
        <v>2124</v>
      </c>
      <c r="MF5" s="12" t="s">
        <v>2125</v>
      </c>
      <c r="MG5" s="12" t="s">
        <v>2126</v>
      </c>
      <c r="MH5" s="12" t="s">
        <v>2127</v>
      </c>
      <c r="MI5" s="12" t="s">
        <v>2128</v>
      </c>
      <c r="MJ5" s="12" t="s">
        <v>2129</v>
      </c>
      <c r="MK5" s="12" t="s">
        <v>2130</v>
      </c>
      <c r="ML5" s="12" t="s">
        <v>2131</v>
      </c>
      <c r="MM5" s="12" t="s">
        <v>2132</v>
      </c>
      <c r="MN5" s="12" t="s">
        <v>2133</v>
      </c>
      <c r="MO5" s="12" t="s">
        <v>2134</v>
      </c>
      <c r="MP5" s="12" t="s">
        <v>2135</v>
      </c>
      <c r="MQ5" s="12" t="s">
        <v>2136</v>
      </c>
      <c r="MR5" s="12" t="s">
        <v>2137</v>
      </c>
      <c r="MS5" s="12" t="s">
        <v>2138</v>
      </c>
      <c r="MT5" s="12" t="s">
        <v>2139</v>
      </c>
      <c r="MU5" s="12" t="s">
        <v>2140</v>
      </c>
      <c r="MV5" s="12" t="s">
        <v>2141</v>
      </c>
      <c r="MW5" s="12" t="s">
        <v>2142</v>
      </c>
      <c r="MX5" s="12" t="s">
        <v>2143</v>
      </c>
      <c r="MY5" s="12" t="s">
        <v>2144</v>
      </c>
      <c r="MZ5" s="12" t="s">
        <v>2145</v>
      </c>
      <c r="NA5" s="12" t="s">
        <v>2146</v>
      </c>
      <c r="NB5" s="12" t="s">
        <v>2147</v>
      </c>
      <c r="NC5" s="12" t="s">
        <v>2148</v>
      </c>
      <c r="ND5" s="12" t="s">
        <v>2149</v>
      </c>
      <c r="NE5" s="12" t="s">
        <v>2150</v>
      </c>
      <c r="NF5" s="12" t="s">
        <v>2151</v>
      </c>
      <c r="NG5" s="12" t="s">
        <v>2152</v>
      </c>
      <c r="NH5" s="12" t="s">
        <v>2153</v>
      </c>
      <c r="NI5" s="12" t="s">
        <v>2154</v>
      </c>
      <c r="NJ5" s="12" t="s">
        <v>2155</v>
      </c>
      <c r="NK5" s="12" t="s">
        <v>2156</v>
      </c>
      <c r="NL5" s="12" t="s">
        <v>2157</v>
      </c>
      <c r="NM5" s="12" t="s">
        <v>2158</v>
      </c>
      <c r="NN5" s="12" t="s">
        <v>2159</v>
      </c>
      <c r="NO5" s="12" t="s">
        <v>2160</v>
      </c>
      <c r="NP5" s="12" t="s">
        <v>2161</v>
      </c>
      <c r="NQ5" s="12" t="s">
        <v>2162</v>
      </c>
      <c r="NR5" s="12" t="s">
        <v>2163</v>
      </c>
      <c r="NS5" s="12" t="s">
        <v>2164</v>
      </c>
      <c r="NT5" s="12" t="s">
        <v>2165</v>
      </c>
      <c r="NU5" s="12" t="s">
        <v>2166</v>
      </c>
      <c r="NV5" s="12" t="s">
        <v>2167</v>
      </c>
      <c r="NW5" s="12" t="s">
        <v>2168</v>
      </c>
      <c r="NX5" s="12" t="s">
        <v>2169</v>
      </c>
      <c r="NY5" s="12" t="s">
        <v>2170</v>
      </c>
      <c r="NZ5" s="12" t="s">
        <v>2171</v>
      </c>
      <c r="OA5" s="12" t="s">
        <v>2172</v>
      </c>
      <c r="OB5" s="12" t="s">
        <v>2173</v>
      </c>
      <c r="OC5" s="12" t="s">
        <v>2174</v>
      </c>
      <c r="OD5" s="12" t="s">
        <v>2175</v>
      </c>
      <c r="OE5" s="12" t="s">
        <v>2176</v>
      </c>
      <c r="OF5" s="12" t="s">
        <v>2177</v>
      </c>
      <c r="OG5" s="12" t="s">
        <v>2178</v>
      </c>
      <c r="OH5" s="12" t="s">
        <v>2179</v>
      </c>
      <c r="OI5" s="12" t="s">
        <v>2180</v>
      </c>
      <c r="OJ5" s="12" t="s">
        <v>2181</v>
      </c>
      <c r="OK5" s="12" t="s">
        <v>2182</v>
      </c>
      <c r="OL5" s="12" t="s">
        <v>2183</v>
      </c>
      <c r="OM5" s="12" t="s">
        <v>2184</v>
      </c>
      <c r="ON5" s="12" t="s">
        <v>2185</v>
      </c>
      <c r="OO5" s="12" t="s">
        <v>2186</v>
      </c>
      <c r="OP5" s="12" t="s">
        <v>2187</v>
      </c>
      <c r="OQ5" s="12" t="s">
        <v>2188</v>
      </c>
      <c r="OR5" s="12" t="s">
        <v>2189</v>
      </c>
      <c r="OS5" s="12" t="s">
        <v>2190</v>
      </c>
      <c r="OT5" s="12" t="s">
        <v>2191</v>
      </c>
      <c r="OU5" s="12" t="s">
        <v>2192</v>
      </c>
      <c r="OV5" s="12" t="s">
        <v>2193</v>
      </c>
      <c r="OW5" s="12" t="s">
        <v>2194</v>
      </c>
      <c r="OX5" s="12" t="s">
        <v>2195</v>
      </c>
      <c r="OY5" s="12" t="s">
        <v>2196</v>
      </c>
      <c r="OZ5" s="12" t="s">
        <v>2197</v>
      </c>
      <c r="PA5" s="12" t="s">
        <v>2198</v>
      </c>
      <c r="PB5" s="12" t="s">
        <v>2199</v>
      </c>
      <c r="PC5" s="12" t="s">
        <v>2200</v>
      </c>
      <c r="PD5" s="12" t="s">
        <v>2201</v>
      </c>
      <c r="PE5" s="12" t="s">
        <v>2202</v>
      </c>
      <c r="PF5" s="12" t="s">
        <v>2203</v>
      </c>
      <c r="PG5" s="12" t="s">
        <v>2204</v>
      </c>
      <c r="PH5" s="12" t="s">
        <v>2205</v>
      </c>
      <c r="PI5" s="12" t="s">
        <v>2206</v>
      </c>
      <c r="PJ5" s="12" t="s">
        <v>2207</v>
      </c>
      <c r="PK5" s="12" t="s">
        <v>2208</v>
      </c>
      <c r="PL5" s="12" t="s">
        <v>2209</v>
      </c>
      <c r="PM5" s="12" t="s">
        <v>2210</v>
      </c>
      <c r="PN5" s="12" t="s">
        <v>2211</v>
      </c>
      <c r="PO5" s="12" t="s">
        <v>2212</v>
      </c>
      <c r="PP5" s="12" t="s">
        <v>2213</v>
      </c>
      <c r="PQ5" s="12" t="s">
        <v>2214</v>
      </c>
      <c r="PR5" s="12" t="s">
        <v>2215</v>
      </c>
      <c r="PS5" s="12" t="s">
        <v>2216</v>
      </c>
      <c r="PT5" s="12" t="s">
        <v>2217</v>
      </c>
      <c r="PU5" s="12" t="s">
        <v>2218</v>
      </c>
      <c r="PV5" s="12" t="s">
        <v>2219</v>
      </c>
      <c r="PW5" s="12" t="s">
        <v>2220</v>
      </c>
      <c r="PX5" s="12" t="s">
        <v>2221</v>
      </c>
      <c r="PY5" s="12" t="s">
        <v>2222</v>
      </c>
      <c r="PZ5" s="12" t="s">
        <v>2223</v>
      </c>
      <c r="QA5" s="12" t="s">
        <v>2224</v>
      </c>
      <c r="QB5" s="12" t="s">
        <v>2225</v>
      </c>
      <c r="QC5" s="12" t="s">
        <v>2226</v>
      </c>
      <c r="QD5" s="12" t="s">
        <v>2227</v>
      </c>
      <c r="QE5" s="12" t="s">
        <v>2228</v>
      </c>
      <c r="QF5" s="12" t="s">
        <v>2229</v>
      </c>
      <c r="QG5" s="12" t="s">
        <v>2230</v>
      </c>
      <c r="QH5" s="12" t="s">
        <v>2231</v>
      </c>
      <c r="QI5" s="12" t="s">
        <v>2232</v>
      </c>
      <c r="QJ5" s="12" t="s">
        <v>2233</v>
      </c>
      <c r="QK5" s="12" t="s">
        <v>2234</v>
      </c>
      <c r="QL5" s="12" t="s">
        <v>2235</v>
      </c>
      <c r="QM5" s="12" t="s">
        <v>2236</v>
      </c>
      <c r="QN5" s="12" t="s">
        <v>2237</v>
      </c>
      <c r="QO5" s="12" t="s">
        <v>2238</v>
      </c>
      <c r="QP5" s="12" t="s">
        <v>2239</v>
      </c>
      <c r="QQ5" s="12" t="s">
        <v>2240</v>
      </c>
      <c r="QR5" s="12" t="s">
        <v>2241</v>
      </c>
      <c r="QS5" s="12" t="s">
        <v>2242</v>
      </c>
      <c r="QT5" s="12" t="s">
        <v>2243</v>
      </c>
      <c r="QU5" s="12" t="s">
        <v>2244</v>
      </c>
      <c r="QV5" s="12" t="s">
        <v>2245</v>
      </c>
      <c r="QW5" s="12" t="s">
        <v>2246</v>
      </c>
      <c r="QX5" s="12" t="s">
        <v>2247</v>
      </c>
      <c r="QY5" s="12" t="s">
        <v>2248</v>
      </c>
      <c r="QZ5" s="12" t="s">
        <v>2249</v>
      </c>
      <c r="RA5" s="12" t="s">
        <v>2250</v>
      </c>
      <c r="RB5" s="12" t="s">
        <v>2251</v>
      </c>
      <c r="RC5" s="12" t="s">
        <v>2252</v>
      </c>
      <c r="RD5" s="12" t="s">
        <v>2253</v>
      </c>
      <c r="RE5" s="12" t="s">
        <v>2254</v>
      </c>
      <c r="RF5" s="12" t="s">
        <v>2255</v>
      </c>
      <c r="RG5" s="12" t="s">
        <v>2256</v>
      </c>
      <c r="RH5" s="12" t="s">
        <v>2257</v>
      </c>
      <c r="RI5" s="12" t="s">
        <v>2258</v>
      </c>
      <c r="RJ5" s="12" t="s">
        <v>2259</v>
      </c>
      <c r="RK5" s="12" t="s">
        <v>2260</v>
      </c>
      <c r="RL5" s="12" t="s">
        <v>2261</v>
      </c>
      <c r="RM5" s="12" t="s">
        <v>2262</v>
      </c>
      <c r="RN5" s="12" t="s">
        <v>2263</v>
      </c>
      <c r="RO5" s="12" t="s">
        <v>2264</v>
      </c>
      <c r="RP5" s="12" t="s">
        <v>2265</v>
      </c>
      <c r="RQ5" s="12" t="s">
        <v>2266</v>
      </c>
      <c r="RR5" s="12" t="s">
        <v>2267</v>
      </c>
      <c r="RS5" s="12" t="s">
        <v>2268</v>
      </c>
      <c r="RT5" s="12" t="s">
        <v>2269</v>
      </c>
      <c r="RU5" s="12" t="s">
        <v>2270</v>
      </c>
      <c r="RV5" s="12" t="s">
        <v>2271</v>
      </c>
      <c r="RW5" s="12" t="s">
        <v>2272</v>
      </c>
      <c r="RX5" s="12" t="s">
        <v>2273</v>
      </c>
      <c r="RY5" s="12" t="s">
        <v>2274</v>
      </c>
      <c r="RZ5" s="12" t="s">
        <v>2275</v>
      </c>
      <c r="SA5" s="12" t="s">
        <v>2276</v>
      </c>
      <c r="SB5" s="12" t="s">
        <v>2277</v>
      </c>
      <c r="SC5" s="12" t="s">
        <v>2278</v>
      </c>
      <c r="SD5" s="12" t="s">
        <v>2279</v>
      </c>
      <c r="SE5" s="12" t="s">
        <v>2280</v>
      </c>
      <c r="SF5" s="12" t="s">
        <v>2281</v>
      </c>
      <c r="SG5" s="12" t="s">
        <v>2282</v>
      </c>
      <c r="SH5" s="12" t="s">
        <v>2283</v>
      </c>
      <c r="SI5" s="12" t="s">
        <v>2284</v>
      </c>
      <c r="SJ5" s="12" t="s">
        <v>2285</v>
      </c>
      <c r="SK5" s="12" t="s">
        <v>2286</v>
      </c>
      <c r="SL5" s="12" t="s">
        <v>2287</v>
      </c>
      <c r="SM5" s="12" t="s">
        <v>2288</v>
      </c>
      <c r="SN5" s="12" t="s">
        <v>2289</v>
      </c>
      <c r="SO5" s="12" t="s">
        <v>2290</v>
      </c>
      <c r="SP5" s="12" t="s">
        <v>2291</v>
      </c>
      <c r="SQ5" s="12" t="s">
        <v>2292</v>
      </c>
      <c r="SR5" s="12" t="s">
        <v>2293</v>
      </c>
      <c r="SS5" s="12" t="s">
        <v>2294</v>
      </c>
      <c r="ST5" s="12" t="s">
        <v>2295</v>
      </c>
      <c r="SU5" s="12" t="s">
        <v>2296</v>
      </c>
      <c r="SV5" s="12" t="s">
        <v>2297</v>
      </c>
      <c r="SW5" s="12" t="s">
        <v>2298</v>
      </c>
      <c r="SX5" s="12" t="s">
        <v>2299</v>
      </c>
      <c r="SY5" s="12" t="s">
        <v>2300</v>
      </c>
      <c r="SZ5" s="12" t="s">
        <v>2301</v>
      </c>
      <c r="TA5" s="12" t="s">
        <v>2302</v>
      </c>
      <c r="TB5" s="12" t="s">
        <v>2303</v>
      </c>
      <c r="TC5" s="12" t="s">
        <v>2304</v>
      </c>
      <c r="TD5" s="12" t="s">
        <v>2305</v>
      </c>
      <c r="TE5" s="12" t="s">
        <v>2306</v>
      </c>
      <c r="TF5" s="12" t="s">
        <v>2307</v>
      </c>
      <c r="TG5" s="12" t="s">
        <v>2308</v>
      </c>
      <c r="TH5" s="12" t="s">
        <v>2309</v>
      </c>
      <c r="TI5" s="12" t="s">
        <v>2310</v>
      </c>
      <c r="TJ5" s="12" t="s">
        <v>2311</v>
      </c>
      <c r="TK5" s="12" t="s">
        <v>2312</v>
      </c>
      <c r="TL5" s="12" t="s">
        <v>2313</v>
      </c>
      <c r="TM5" s="12" t="s">
        <v>2314</v>
      </c>
      <c r="TN5" s="12" t="s">
        <v>2315</v>
      </c>
      <c r="TO5" s="12" t="s">
        <v>2316</v>
      </c>
      <c r="TP5" s="12" t="s">
        <v>2317</v>
      </c>
      <c r="TQ5" s="12" t="s">
        <v>2318</v>
      </c>
      <c r="TR5" s="12" t="s">
        <v>2319</v>
      </c>
      <c r="TS5" s="12" t="s">
        <v>2320</v>
      </c>
      <c r="TT5" s="12" t="s">
        <v>2321</v>
      </c>
      <c r="TU5" s="12" t="s">
        <v>2322</v>
      </c>
      <c r="TV5" s="12" t="s">
        <v>2323</v>
      </c>
      <c r="TW5" s="12" t="s">
        <v>2324</v>
      </c>
      <c r="TX5" s="12" t="s">
        <v>2325</v>
      </c>
      <c r="TY5" s="12" t="s">
        <v>2326</v>
      </c>
      <c r="TZ5" s="12" t="s">
        <v>2327</v>
      </c>
      <c r="UA5" s="12" t="s">
        <v>2328</v>
      </c>
      <c r="UB5" s="12" t="s">
        <v>2329</v>
      </c>
      <c r="UC5" s="12" t="s">
        <v>2330</v>
      </c>
      <c r="UD5" s="12" t="s">
        <v>2331</v>
      </c>
      <c r="UE5" s="12" t="s">
        <v>2332</v>
      </c>
      <c r="UF5" s="12" t="s">
        <v>2333</v>
      </c>
      <c r="UG5" s="12" t="s">
        <v>2334</v>
      </c>
      <c r="UH5" s="12" t="s">
        <v>2335</v>
      </c>
      <c r="UI5" s="12" t="s">
        <v>2336</v>
      </c>
      <c r="UJ5" s="12" t="s">
        <v>2337</v>
      </c>
      <c r="UK5" s="12" t="s">
        <v>2338</v>
      </c>
      <c r="UL5" s="12" t="s">
        <v>2339</v>
      </c>
      <c r="UM5" s="12" t="s">
        <v>2340</v>
      </c>
      <c r="UN5" s="12" t="s">
        <v>2341</v>
      </c>
      <c r="UO5" s="12" t="s">
        <v>2342</v>
      </c>
      <c r="UP5" s="12" t="s">
        <v>2343</v>
      </c>
      <c r="UQ5" s="12" t="s">
        <v>2344</v>
      </c>
      <c r="UR5" s="12" t="s">
        <v>2345</v>
      </c>
      <c r="US5" s="12" t="s">
        <v>2346</v>
      </c>
      <c r="UT5" s="12" t="s">
        <v>2347</v>
      </c>
      <c r="UU5" s="12" t="s">
        <v>2348</v>
      </c>
      <c r="UV5" s="12" t="s">
        <v>2349</v>
      </c>
      <c r="UW5" s="12" t="s">
        <v>2350</v>
      </c>
      <c r="UX5" s="12" t="s">
        <v>2351</v>
      </c>
      <c r="UY5" s="12" t="s">
        <v>2352</v>
      </c>
      <c r="UZ5" s="12" t="s">
        <v>2353</v>
      </c>
      <c r="VA5" s="12" t="s">
        <v>2354</v>
      </c>
      <c r="VB5" s="12" t="s">
        <v>2355</v>
      </c>
      <c r="VC5" s="12" t="s">
        <v>2356</v>
      </c>
      <c r="VD5" s="12" t="s">
        <v>2357</v>
      </c>
      <c r="VE5" s="12" t="s">
        <v>2358</v>
      </c>
      <c r="VF5" s="12" t="s">
        <v>2359</v>
      </c>
      <c r="VG5" s="12" t="s">
        <v>2360</v>
      </c>
      <c r="VH5" s="12" t="s">
        <v>2361</v>
      </c>
      <c r="VI5" s="12" t="s">
        <v>2362</v>
      </c>
      <c r="VJ5" s="12" t="s">
        <v>2363</v>
      </c>
      <c r="VK5" s="12" t="s">
        <v>2364</v>
      </c>
      <c r="VL5" s="12" t="s">
        <v>2365</v>
      </c>
      <c r="VM5" s="12" t="s">
        <v>2366</v>
      </c>
      <c r="VN5" s="12" t="s">
        <v>2367</v>
      </c>
      <c r="VO5" s="12" t="s">
        <v>2368</v>
      </c>
      <c r="VP5" s="12" t="s">
        <v>2369</v>
      </c>
      <c r="VQ5" s="12" t="s">
        <v>2370</v>
      </c>
      <c r="VR5" s="12" t="s">
        <v>2371</v>
      </c>
      <c r="VS5" s="12" t="s">
        <v>2372</v>
      </c>
      <c r="VT5" s="12" t="s">
        <v>2373</v>
      </c>
      <c r="VU5" s="12" t="s">
        <v>2374</v>
      </c>
      <c r="VV5" s="12" t="s">
        <v>2375</v>
      </c>
      <c r="VW5" s="12" t="s">
        <v>2376</v>
      </c>
      <c r="VX5" s="12" t="s">
        <v>2377</v>
      </c>
      <c r="VY5" s="12" t="s">
        <v>2378</v>
      </c>
      <c r="VZ5" s="12" t="s">
        <v>2379</v>
      </c>
      <c r="WA5" s="12" t="s">
        <v>2380</v>
      </c>
      <c r="WB5" s="12" t="s">
        <v>2381</v>
      </c>
      <c r="WC5" s="12" t="s">
        <v>2382</v>
      </c>
      <c r="WD5" s="12" t="s">
        <v>2383</v>
      </c>
      <c r="WE5" s="12" t="s">
        <v>2384</v>
      </c>
      <c r="WF5" s="12" t="s">
        <v>2385</v>
      </c>
      <c r="WG5" s="12" t="s">
        <v>2386</v>
      </c>
      <c r="WH5" s="12" t="s">
        <v>2387</v>
      </c>
      <c r="WI5" s="12" t="s">
        <v>2388</v>
      </c>
      <c r="WJ5" s="12" t="s">
        <v>2389</v>
      </c>
      <c r="WK5" s="12" t="s">
        <v>2390</v>
      </c>
      <c r="WL5" s="12" t="s">
        <v>2391</v>
      </c>
      <c r="WM5" s="12" t="s">
        <v>2392</v>
      </c>
      <c r="WN5" s="12" t="s">
        <v>2393</v>
      </c>
      <c r="WO5" s="12" t="s">
        <v>2394</v>
      </c>
      <c r="WP5" s="12" t="s">
        <v>2395</v>
      </c>
      <c r="WQ5" s="12" t="s">
        <v>2396</v>
      </c>
      <c r="WR5" s="12" t="s">
        <v>2397</v>
      </c>
      <c r="WS5" s="12" t="s">
        <v>2398</v>
      </c>
      <c r="WT5" s="12" t="s">
        <v>2399</v>
      </c>
      <c r="WU5" s="12" t="s">
        <v>2400</v>
      </c>
      <c r="WV5" s="12" t="s">
        <v>2401</v>
      </c>
      <c r="WW5" s="12" t="s">
        <v>2402</v>
      </c>
      <c r="WX5" s="12" t="s">
        <v>2403</v>
      </c>
      <c r="WY5" s="12" t="s">
        <v>2404</v>
      </c>
      <c r="WZ5" s="12" t="s">
        <v>2405</v>
      </c>
      <c r="XA5" s="12" t="s">
        <v>2406</v>
      </c>
      <c r="XB5" s="12" t="s">
        <v>2407</v>
      </c>
      <c r="XC5" s="12" t="s">
        <v>2408</v>
      </c>
      <c r="XD5" s="12" t="s">
        <v>2409</v>
      </c>
      <c r="XE5" s="12" t="s">
        <v>2410</v>
      </c>
      <c r="XF5" s="12" t="s">
        <v>2411</v>
      </c>
      <c r="XG5" s="12" t="s">
        <v>2412</v>
      </c>
      <c r="XH5" s="12" t="s">
        <v>2413</v>
      </c>
      <c r="XI5" s="12" t="s">
        <v>2414</v>
      </c>
      <c r="XJ5" s="12" t="s">
        <v>2415</v>
      </c>
      <c r="XK5" s="12" t="s">
        <v>2416</v>
      </c>
      <c r="XL5" s="12" t="s">
        <v>2417</v>
      </c>
      <c r="XM5" s="12" t="s">
        <v>2418</v>
      </c>
      <c r="XN5" s="12" t="s">
        <v>2419</v>
      </c>
      <c r="XO5" s="12" t="s">
        <v>2420</v>
      </c>
      <c r="XP5" s="12" t="s">
        <v>2421</v>
      </c>
      <c r="XQ5" s="12" t="s">
        <v>2422</v>
      </c>
      <c r="XR5" s="12" t="s">
        <v>2423</v>
      </c>
      <c r="XS5" s="12" t="s">
        <v>2424</v>
      </c>
      <c r="XT5" s="12" t="s">
        <v>2425</v>
      </c>
      <c r="XU5" s="12" t="s">
        <v>2426</v>
      </c>
      <c r="XV5" s="12" t="s">
        <v>2427</v>
      </c>
      <c r="XW5" s="12" t="s">
        <v>2428</v>
      </c>
      <c r="XX5" s="12" t="s">
        <v>2429</v>
      </c>
      <c r="XY5" s="12" t="s">
        <v>2430</v>
      </c>
      <c r="XZ5" s="12" t="s">
        <v>2431</v>
      </c>
      <c r="YA5" s="12" t="s">
        <v>2432</v>
      </c>
      <c r="YB5" s="12" t="s">
        <v>2433</v>
      </c>
      <c r="YC5" s="12" t="s">
        <v>2434</v>
      </c>
      <c r="YD5" s="12" t="s">
        <v>2435</v>
      </c>
      <c r="YE5" s="12" t="s">
        <v>2436</v>
      </c>
      <c r="YF5" s="12" t="s">
        <v>2437</v>
      </c>
      <c r="YG5" s="12" t="s">
        <v>2438</v>
      </c>
      <c r="YH5" s="12" t="s">
        <v>2439</v>
      </c>
      <c r="YI5" s="12" t="s">
        <v>2440</v>
      </c>
      <c r="YJ5" s="12" t="s">
        <v>2441</v>
      </c>
      <c r="YK5" s="12" t="s">
        <v>2442</v>
      </c>
      <c r="YL5" s="12" t="s">
        <v>2443</v>
      </c>
      <c r="YM5" s="12" t="s">
        <v>2444</v>
      </c>
      <c r="YN5" s="12" t="s">
        <v>2445</v>
      </c>
      <c r="YO5" s="12" t="s">
        <v>2446</v>
      </c>
      <c r="YP5" s="12" t="s">
        <v>2447</v>
      </c>
      <c r="YQ5" s="12" t="s">
        <v>2448</v>
      </c>
      <c r="YR5" s="12" t="s">
        <v>2449</v>
      </c>
      <c r="YS5" s="12" t="s">
        <v>2450</v>
      </c>
      <c r="YT5" s="12" t="s">
        <v>2451</v>
      </c>
      <c r="YU5" s="12" t="s">
        <v>2452</v>
      </c>
      <c r="YV5" s="12" t="s">
        <v>2453</v>
      </c>
      <c r="YW5" s="12" t="s">
        <v>2454</v>
      </c>
      <c r="YX5" s="12" t="s">
        <v>2455</v>
      </c>
      <c r="YY5" s="12" t="s">
        <v>2456</v>
      </c>
      <c r="YZ5" s="12" t="s">
        <v>2457</v>
      </c>
      <c r="ZA5" s="12" t="s">
        <v>2458</v>
      </c>
      <c r="ZB5" s="12" t="s">
        <v>2459</v>
      </c>
      <c r="ZC5" s="12" t="s">
        <v>2460</v>
      </c>
      <c r="ZD5" s="12" t="s">
        <v>2461</v>
      </c>
      <c r="ZE5" s="12" t="s">
        <v>2462</v>
      </c>
      <c r="ZF5" s="12" t="s">
        <v>2463</v>
      </c>
      <c r="ZG5" s="12" t="s">
        <v>2464</v>
      </c>
      <c r="ZH5" s="12" t="s">
        <v>2465</v>
      </c>
      <c r="ZI5" s="12" t="s">
        <v>2466</v>
      </c>
      <c r="ZJ5" s="12" t="s">
        <v>2467</v>
      </c>
      <c r="ZK5" s="12" t="s">
        <v>2468</v>
      </c>
      <c r="ZL5" s="12" t="s">
        <v>2469</v>
      </c>
      <c r="ZM5" s="12" t="s">
        <v>2470</v>
      </c>
      <c r="ZN5" s="12" t="s">
        <v>2471</v>
      </c>
      <c r="ZO5" s="12" t="s">
        <v>2472</v>
      </c>
      <c r="ZP5" s="12" t="s">
        <v>2473</v>
      </c>
      <c r="ZQ5" s="12" t="s">
        <v>2474</v>
      </c>
      <c r="ZR5" s="12" t="s">
        <v>2475</v>
      </c>
      <c r="ZS5" s="12" t="s">
        <v>2476</v>
      </c>
      <c r="ZT5" s="12" t="s">
        <v>2477</v>
      </c>
      <c r="ZU5" s="12" t="s">
        <v>2478</v>
      </c>
      <c r="ZV5" s="12" t="s">
        <v>2479</v>
      </c>
      <c r="ZW5" s="12" t="s">
        <v>2480</v>
      </c>
      <c r="ZX5" s="12" t="s">
        <v>2481</v>
      </c>
      <c r="ZY5" s="12" t="s">
        <v>2482</v>
      </c>
      <c r="ZZ5" s="12" t="s">
        <v>2483</v>
      </c>
      <c r="AAA5" s="12" t="s">
        <v>2484</v>
      </c>
      <c r="AAB5" s="12" t="s">
        <v>2485</v>
      </c>
      <c r="AAC5" s="12" t="s">
        <v>2486</v>
      </c>
      <c r="AAD5" s="12" t="s">
        <v>2487</v>
      </c>
      <c r="AAE5" s="12" t="s">
        <v>2488</v>
      </c>
      <c r="AAF5" s="12" t="s">
        <v>2489</v>
      </c>
      <c r="AAG5" s="12" t="s">
        <v>2490</v>
      </c>
      <c r="AAH5" s="12" t="s">
        <v>2491</v>
      </c>
      <c r="AAI5" s="12" t="s">
        <v>2492</v>
      </c>
      <c r="AAJ5" s="12" t="s">
        <v>2493</v>
      </c>
      <c r="AAK5" s="12" t="s">
        <v>2494</v>
      </c>
      <c r="AAL5" s="12" t="s">
        <v>2495</v>
      </c>
      <c r="AAM5" s="12" t="s">
        <v>2496</v>
      </c>
      <c r="AAN5" s="12" t="s">
        <v>2497</v>
      </c>
      <c r="AAO5" s="12" t="s">
        <v>2498</v>
      </c>
      <c r="AAP5" s="12" t="s">
        <v>2499</v>
      </c>
      <c r="AAQ5" s="12" t="s">
        <v>2500</v>
      </c>
      <c r="AAR5" s="12" t="s">
        <v>2501</v>
      </c>
      <c r="AAS5" s="12" t="s">
        <v>2502</v>
      </c>
      <c r="AAT5" s="12" t="s">
        <v>2503</v>
      </c>
      <c r="AAU5" s="12" t="s">
        <v>2504</v>
      </c>
      <c r="AAV5" s="12" t="s">
        <v>2505</v>
      </c>
      <c r="AAW5" s="12" t="s">
        <v>2506</v>
      </c>
      <c r="AAX5" s="12" t="s">
        <v>2507</v>
      </c>
      <c r="AAY5" s="12" t="s">
        <v>2508</v>
      </c>
      <c r="AAZ5" s="12" t="s">
        <v>2509</v>
      </c>
      <c r="ABA5" s="12" t="s">
        <v>2510</v>
      </c>
      <c r="ABB5" s="12" t="s">
        <v>2511</v>
      </c>
      <c r="ABC5" s="12" t="s">
        <v>2512</v>
      </c>
      <c r="ABD5" s="12" t="s">
        <v>2513</v>
      </c>
      <c r="ABE5" s="12" t="s">
        <v>2514</v>
      </c>
      <c r="ABF5" s="12" t="s">
        <v>2515</v>
      </c>
      <c r="ABG5" s="12" t="s">
        <v>2516</v>
      </c>
      <c r="ABH5" s="12" t="s">
        <v>2517</v>
      </c>
      <c r="ABI5" s="12" t="s">
        <v>2518</v>
      </c>
      <c r="ABJ5" s="12" t="s">
        <v>2519</v>
      </c>
      <c r="ABK5" s="12" t="s">
        <v>2520</v>
      </c>
      <c r="ABL5" s="12" t="s">
        <v>2521</v>
      </c>
      <c r="ABM5" s="12" t="s">
        <v>2522</v>
      </c>
      <c r="ABN5" s="12" t="s">
        <v>2523</v>
      </c>
      <c r="ABO5" s="12" t="s">
        <v>2524</v>
      </c>
      <c r="ABP5" s="12" t="s">
        <v>2525</v>
      </c>
      <c r="ABQ5" s="12" t="s">
        <v>2526</v>
      </c>
      <c r="ABR5" s="12" t="s">
        <v>2527</v>
      </c>
      <c r="ABS5" s="12" t="s">
        <v>2528</v>
      </c>
      <c r="ABT5" s="12" t="s">
        <v>2529</v>
      </c>
      <c r="ABU5" s="12" t="s">
        <v>2530</v>
      </c>
      <c r="ABV5" s="12" t="s">
        <v>2531</v>
      </c>
      <c r="ABW5" s="12" t="s">
        <v>2532</v>
      </c>
      <c r="ABX5" s="12" t="s">
        <v>2533</v>
      </c>
      <c r="ABY5" s="12" t="s">
        <v>2534</v>
      </c>
      <c r="ABZ5" s="12" t="s">
        <v>2535</v>
      </c>
      <c r="ACA5" s="12" t="s">
        <v>2536</v>
      </c>
      <c r="ACB5" s="12" t="s">
        <v>2537</v>
      </c>
      <c r="ACC5" s="12" t="s">
        <v>2538</v>
      </c>
      <c r="ACD5" s="12" t="s">
        <v>2539</v>
      </c>
      <c r="ACE5" s="12" t="s">
        <v>2540</v>
      </c>
      <c r="ACF5" s="12" t="s">
        <v>2541</v>
      </c>
      <c r="ACG5" s="12" t="s">
        <v>2542</v>
      </c>
      <c r="ACH5" s="12" t="s">
        <v>2543</v>
      </c>
      <c r="ACI5" s="12" t="s">
        <v>2544</v>
      </c>
      <c r="ACJ5" s="12" t="s">
        <v>2545</v>
      </c>
      <c r="ACK5" s="12" t="s">
        <v>2546</v>
      </c>
      <c r="ACL5" s="12" t="s">
        <v>2547</v>
      </c>
      <c r="ACM5" s="12" t="s">
        <v>2548</v>
      </c>
      <c r="ACN5" s="12" t="s">
        <v>2549</v>
      </c>
      <c r="ACO5" s="12" t="s">
        <v>2550</v>
      </c>
      <c r="ACP5" s="12" t="s">
        <v>2551</v>
      </c>
      <c r="ACQ5" s="12" t="s">
        <v>2552</v>
      </c>
      <c r="ACR5" s="12" t="s">
        <v>2553</v>
      </c>
      <c r="ACS5" s="12" t="s">
        <v>2554</v>
      </c>
      <c r="ACT5" s="12" t="s">
        <v>2555</v>
      </c>
      <c r="ACU5" s="12" t="s">
        <v>2556</v>
      </c>
      <c r="ACV5" s="12" t="s">
        <v>2557</v>
      </c>
      <c r="ACW5" s="12" t="s">
        <v>2558</v>
      </c>
      <c r="ACX5" s="12" t="s">
        <v>2559</v>
      </c>
      <c r="ACY5" s="12" t="s">
        <v>2560</v>
      </c>
      <c r="ACZ5" s="12" t="s">
        <v>2561</v>
      </c>
      <c r="ADA5" s="12" t="s">
        <v>2562</v>
      </c>
      <c r="ADB5" s="12" t="s">
        <v>2563</v>
      </c>
      <c r="ADC5" s="12" t="s">
        <v>2564</v>
      </c>
      <c r="ADD5" s="12" t="s">
        <v>2565</v>
      </c>
      <c r="ADE5" s="12" t="s">
        <v>2566</v>
      </c>
      <c r="ADF5" s="12" t="s">
        <v>2567</v>
      </c>
      <c r="ADG5" s="12" t="s">
        <v>2568</v>
      </c>
      <c r="ADH5" s="12" t="s">
        <v>2569</v>
      </c>
      <c r="ADI5" s="12" t="s">
        <v>2570</v>
      </c>
      <c r="ADJ5" s="12" t="s">
        <v>2571</v>
      </c>
      <c r="ADK5" s="12" t="s">
        <v>2572</v>
      </c>
      <c r="ADL5" s="12" t="s">
        <v>2573</v>
      </c>
      <c r="ADM5" s="12" t="s">
        <v>2574</v>
      </c>
      <c r="ADN5" s="12" t="s">
        <v>2575</v>
      </c>
      <c r="ADO5" s="12" t="s">
        <v>2576</v>
      </c>
      <c r="ADP5" s="12" t="s">
        <v>2577</v>
      </c>
      <c r="ADQ5" s="12" t="s">
        <v>2578</v>
      </c>
      <c r="ADR5" s="12" t="s">
        <v>2579</v>
      </c>
      <c r="ADS5" s="12" t="s">
        <v>2580</v>
      </c>
      <c r="ADT5" s="12" t="s">
        <v>2581</v>
      </c>
      <c r="ADU5" s="12" t="s">
        <v>2582</v>
      </c>
      <c r="ADV5" s="12" t="s">
        <v>2583</v>
      </c>
      <c r="ADW5" s="12" t="s">
        <v>2584</v>
      </c>
      <c r="ADX5" s="12" t="s">
        <v>2585</v>
      </c>
      <c r="ADY5" s="12" t="s">
        <v>2586</v>
      </c>
      <c r="ADZ5" s="12" t="s">
        <v>2587</v>
      </c>
      <c r="AEA5" s="12" t="s">
        <v>2588</v>
      </c>
      <c r="AEB5" s="12" t="s">
        <v>2589</v>
      </c>
      <c r="AEC5" s="12" t="s">
        <v>2590</v>
      </c>
      <c r="AED5" s="12" t="s">
        <v>2591</v>
      </c>
      <c r="AEE5" s="12" t="s">
        <v>2592</v>
      </c>
      <c r="AEF5" s="12" t="s">
        <v>2593</v>
      </c>
      <c r="AEG5" s="12" t="s">
        <v>2594</v>
      </c>
      <c r="AEH5" s="12" t="s">
        <v>2595</v>
      </c>
      <c r="AEI5" s="12" t="s">
        <v>2596</v>
      </c>
      <c r="AEJ5" s="12" t="s">
        <v>2597</v>
      </c>
      <c r="AEK5" s="12" t="s">
        <v>2598</v>
      </c>
      <c r="AEL5" s="12" t="s">
        <v>2599</v>
      </c>
      <c r="AEM5" s="12" t="s">
        <v>2600</v>
      </c>
      <c r="AEN5" s="12" t="s">
        <v>2601</v>
      </c>
      <c r="AEO5" s="12" t="s">
        <v>2602</v>
      </c>
      <c r="AEP5" s="12" t="s">
        <v>2603</v>
      </c>
      <c r="AEQ5" s="12" t="s">
        <v>2604</v>
      </c>
      <c r="AER5" s="12" t="s">
        <v>2605</v>
      </c>
      <c r="AES5" s="12" t="s">
        <v>2606</v>
      </c>
      <c r="AET5" s="12" t="s">
        <v>2607</v>
      </c>
      <c r="AEU5" s="12" t="s">
        <v>2608</v>
      </c>
      <c r="AEV5" s="12" t="s">
        <v>2609</v>
      </c>
      <c r="AEW5" s="12" t="s">
        <v>2610</v>
      </c>
      <c r="AEX5" s="12" t="s">
        <v>2611</v>
      </c>
      <c r="AEY5" s="12" t="s">
        <v>2612</v>
      </c>
      <c r="AEZ5" s="12" t="s">
        <v>2613</v>
      </c>
      <c r="AFA5" s="12" t="s">
        <v>2614</v>
      </c>
      <c r="AFB5" s="12" t="s">
        <v>2615</v>
      </c>
      <c r="AFC5" s="12" t="s">
        <v>2616</v>
      </c>
      <c r="AFD5" s="12" t="s">
        <v>2617</v>
      </c>
      <c r="AFE5" s="12" t="s">
        <v>2618</v>
      </c>
      <c r="AFF5" s="12" t="s">
        <v>2619</v>
      </c>
      <c r="AFG5" s="12" t="s">
        <v>2620</v>
      </c>
      <c r="AFH5" s="12" t="s">
        <v>2621</v>
      </c>
      <c r="AFI5" s="12" t="s">
        <v>2622</v>
      </c>
      <c r="AFJ5" s="12" t="s">
        <v>2623</v>
      </c>
      <c r="AFK5" s="12" t="s">
        <v>2624</v>
      </c>
      <c r="AFL5" s="12" t="s">
        <v>2625</v>
      </c>
      <c r="AFM5" s="12" t="s">
        <v>2626</v>
      </c>
      <c r="AFN5" s="12" t="s">
        <v>2627</v>
      </c>
      <c r="AFO5" s="12" t="s">
        <v>2628</v>
      </c>
      <c r="AFP5" s="12" t="s">
        <v>2629</v>
      </c>
      <c r="AFQ5" s="12" t="s">
        <v>2630</v>
      </c>
      <c r="AFR5" s="12" t="s">
        <v>2631</v>
      </c>
      <c r="AFS5" s="12" t="s">
        <v>2632</v>
      </c>
      <c r="AFT5" s="12" t="s">
        <v>2633</v>
      </c>
      <c r="AFU5" s="12" t="s">
        <v>2634</v>
      </c>
      <c r="AFV5" s="12" t="s">
        <v>2635</v>
      </c>
      <c r="AFW5" s="12" t="s">
        <v>2636</v>
      </c>
      <c r="AFX5" s="12" t="s">
        <v>2637</v>
      </c>
      <c r="AFY5" s="12" t="s">
        <v>2638</v>
      </c>
      <c r="AFZ5" s="12" t="s">
        <v>2639</v>
      </c>
      <c r="AGA5" s="12" t="s">
        <v>2640</v>
      </c>
      <c r="AGB5" s="12" t="s">
        <v>2641</v>
      </c>
      <c r="AGC5" s="12" t="s">
        <v>2642</v>
      </c>
      <c r="AGD5" s="12" t="s">
        <v>2643</v>
      </c>
      <c r="AGE5" s="12" t="s">
        <v>2644</v>
      </c>
      <c r="AGF5" s="12" t="s">
        <v>2645</v>
      </c>
      <c r="AGG5" s="12" t="s">
        <v>2646</v>
      </c>
      <c r="AGH5" s="12" t="s">
        <v>2647</v>
      </c>
      <c r="AGI5" s="12" t="s">
        <v>2648</v>
      </c>
      <c r="AGJ5" s="12" t="s">
        <v>2649</v>
      </c>
      <c r="AGK5" s="12" t="s">
        <v>2650</v>
      </c>
      <c r="AGL5" s="12" t="s">
        <v>2651</v>
      </c>
      <c r="AGM5" s="12" t="s">
        <v>2652</v>
      </c>
      <c r="AGN5" s="12" t="s">
        <v>2653</v>
      </c>
      <c r="AGO5" s="12" t="s">
        <v>2654</v>
      </c>
      <c r="AGP5" s="12" t="s">
        <v>2655</v>
      </c>
      <c r="AGQ5" s="12" t="s">
        <v>2656</v>
      </c>
      <c r="AGR5" s="12" t="s">
        <v>2657</v>
      </c>
      <c r="AGS5" s="12" t="s">
        <v>2658</v>
      </c>
      <c r="AGT5" s="12" t="s">
        <v>2659</v>
      </c>
      <c r="AGU5" s="12" t="s">
        <v>2660</v>
      </c>
      <c r="AGV5" s="12" t="s">
        <v>2661</v>
      </c>
      <c r="AGW5" s="12" t="s">
        <v>2662</v>
      </c>
      <c r="AGX5" s="12" t="s">
        <v>2663</v>
      </c>
      <c r="AGY5" s="12" t="s">
        <v>2664</v>
      </c>
      <c r="AGZ5" s="12" t="s">
        <v>2665</v>
      </c>
      <c r="AHA5" s="12" t="s">
        <v>2666</v>
      </c>
      <c r="AHB5" s="12" t="s">
        <v>2667</v>
      </c>
      <c r="AHC5" s="12" t="s">
        <v>2668</v>
      </c>
      <c r="AHD5" s="12" t="s">
        <v>2669</v>
      </c>
      <c r="AHE5" s="12" t="s">
        <v>2670</v>
      </c>
      <c r="AHF5" s="12" t="s">
        <v>2671</v>
      </c>
      <c r="AHG5" s="12" t="s">
        <v>2672</v>
      </c>
      <c r="AHH5" s="12" t="s">
        <v>2673</v>
      </c>
      <c r="AHI5" s="12" t="s">
        <v>2674</v>
      </c>
      <c r="AHJ5" s="12" t="s">
        <v>2675</v>
      </c>
      <c r="AHK5" s="12" t="s">
        <v>2676</v>
      </c>
      <c r="AHL5" s="12" t="s">
        <v>2677</v>
      </c>
      <c r="AHM5" s="12" t="s">
        <v>2678</v>
      </c>
      <c r="AHN5" s="12" t="s">
        <v>2679</v>
      </c>
      <c r="AHO5" s="12" t="s">
        <v>2680</v>
      </c>
      <c r="AHP5" s="12" t="s">
        <v>2681</v>
      </c>
      <c r="AHQ5" s="12" t="s">
        <v>2682</v>
      </c>
      <c r="AHR5" s="12" t="s">
        <v>2683</v>
      </c>
      <c r="AHS5" s="12" t="s">
        <v>2684</v>
      </c>
      <c r="AHT5" s="12" t="s">
        <v>2685</v>
      </c>
      <c r="AHU5" s="12" t="s">
        <v>2686</v>
      </c>
      <c r="AHV5" s="12" t="s">
        <v>2687</v>
      </c>
      <c r="AHW5" s="12" t="s">
        <v>2688</v>
      </c>
      <c r="AHX5" s="12" t="s">
        <v>2689</v>
      </c>
      <c r="AHY5" s="12" t="s">
        <v>2690</v>
      </c>
      <c r="AHZ5" s="12" t="s">
        <v>2691</v>
      </c>
      <c r="AIA5" s="12" t="s">
        <v>2692</v>
      </c>
      <c r="AIB5" s="12" t="s">
        <v>2693</v>
      </c>
      <c r="AIC5" s="12" t="s">
        <v>2694</v>
      </c>
      <c r="AID5" s="12" t="s">
        <v>2695</v>
      </c>
      <c r="AIE5" s="12" t="s">
        <v>2696</v>
      </c>
      <c r="AIF5" s="12" t="s">
        <v>2697</v>
      </c>
      <c r="AIG5" s="12" t="s">
        <v>2698</v>
      </c>
      <c r="AIH5" s="12" t="s">
        <v>2699</v>
      </c>
      <c r="AII5" s="12" t="s">
        <v>2700</v>
      </c>
      <c r="AIJ5" s="12" t="s">
        <v>2701</v>
      </c>
      <c r="AIK5" s="12" t="s">
        <v>2702</v>
      </c>
      <c r="AIL5" s="12" t="s">
        <v>2703</v>
      </c>
      <c r="AIM5" s="12" t="s">
        <v>2704</v>
      </c>
      <c r="AIN5" s="12" t="s">
        <v>2705</v>
      </c>
      <c r="AIO5" s="12" t="s">
        <v>2706</v>
      </c>
      <c r="AIP5" s="12" t="s">
        <v>2707</v>
      </c>
      <c r="AIQ5" s="12" t="s">
        <v>2708</v>
      </c>
      <c r="AIR5" s="12" t="s">
        <v>2709</v>
      </c>
      <c r="AIS5" s="12" t="s">
        <v>2710</v>
      </c>
      <c r="AIT5" s="12" t="s">
        <v>2711</v>
      </c>
      <c r="AIU5" s="12" t="s">
        <v>2712</v>
      </c>
      <c r="AIV5" s="12" t="s">
        <v>2713</v>
      </c>
      <c r="AIW5" s="12" t="s">
        <v>2714</v>
      </c>
      <c r="AIX5" s="12" t="s">
        <v>2715</v>
      </c>
      <c r="AIY5" s="12" t="s">
        <v>2716</v>
      </c>
      <c r="AIZ5" s="12" t="s">
        <v>2717</v>
      </c>
      <c r="AJA5" s="12" t="s">
        <v>2718</v>
      </c>
      <c r="AJB5" s="12" t="s">
        <v>2719</v>
      </c>
      <c r="AJC5" s="12" t="s">
        <v>2720</v>
      </c>
      <c r="AJD5" s="12" t="s">
        <v>2721</v>
      </c>
      <c r="AJE5" s="12" t="s">
        <v>2722</v>
      </c>
      <c r="AJF5" s="12" t="s">
        <v>2723</v>
      </c>
      <c r="AJG5" s="12" t="s">
        <v>2724</v>
      </c>
      <c r="AJH5" s="12" t="s">
        <v>2725</v>
      </c>
      <c r="AJI5" s="12" t="s">
        <v>2726</v>
      </c>
      <c r="AJJ5" s="12" t="s">
        <v>2727</v>
      </c>
      <c r="AJK5" s="12" t="s">
        <v>2728</v>
      </c>
      <c r="AJL5" s="12" t="s">
        <v>2729</v>
      </c>
      <c r="AJM5" s="12" t="s">
        <v>2730</v>
      </c>
      <c r="AJN5" s="12" t="s">
        <v>2731</v>
      </c>
      <c r="AJO5" s="12" t="s">
        <v>2732</v>
      </c>
      <c r="AJP5" s="12" t="s">
        <v>2733</v>
      </c>
      <c r="AJQ5" s="12" t="s">
        <v>2734</v>
      </c>
      <c r="AJR5" s="12" t="s">
        <v>2735</v>
      </c>
      <c r="AJS5" s="12" t="s">
        <v>2736</v>
      </c>
      <c r="AJT5" s="12" t="s">
        <v>2737</v>
      </c>
      <c r="AJU5" s="12" t="s">
        <v>2738</v>
      </c>
      <c r="AJV5" s="12" t="s">
        <v>2739</v>
      </c>
      <c r="AJW5" s="12" t="s">
        <v>2740</v>
      </c>
      <c r="AJX5" s="12" t="s">
        <v>2741</v>
      </c>
      <c r="AJY5" s="12" t="s">
        <v>2742</v>
      </c>
      <c r="AJZ5" s="12" t="s">
        <v>2743</v>
      </c>
      <c r="AKA5" s="12" t="s">
        <v>2744</v>
      </c>
      <c r="AKB5" s="12" t="s">
        <v>2745</v>
      </c>
      <c r="AKC5" s="12" t="s">
        <v>2746</v>
      </c>
      <c r="AKD5" s="12" t="s">
        <v>2747</v>
      </c>
      <c r="AKE5" s="12" t="s">
        <v>2748</v>
      </c>
      <c r="AKF5" s="12" t="s">
        <v>2749</v>
      </c>
      <c r="AKG5" s="12" t="s">
        <v>2750</v>
      </c>
      <c r="AKH5" s="12" t="s">
        <v>2751</v>
      </c>
      <c r="AKI5" s="12" t="s">
        <v>2752</v>
      </c>
      <c r="AKJ5" s="12" t="s">
        <v>2753</v>
      </c>
      <c r="AKK5" s="12" t="s">
        <v>2754</v>
      </c>
      <c r="AKL5" s="12" t="s">
        <v>2755</v>
      </c>
      <c r="AKM5" s="12" t="s">
        <v>2756</v>
      </c>
      <c r="AKN5" s="12" t="s">
        <v>2757</v>
      </c>
      <c r="AKO5" s="12" t="s">
        <v>2758</v>
      </c>
      <c r="AKP5" s="12" t="s">
        <v>2759</v>
      </c>
      <c r="AKQ5" s="12" t="s">
        <v>2760</v>
      </c>
      <c r="AKR5" s="12" t="s">
        <v>2761</v>
      </c>
      <c r="AKS5" s="12" t="s">
        <v>2762</v>
      </c>
      <c r="AKT5" s="12" t="s">
        <v>2763</v>
      </c>
      <c r="AKU5" s="12" t="s">
        <v>2764</v>
      </c>
      <c r="AKV5" s="12" t="s">
        <v>2765</v>
      </c>
      <c r="AKW5" s="12" t="s">
        <v>2766</v>
      </c>
      <c r="AKX5" s="12" t="s">
        <v>2767</v>
      </c>
      <c r="AKY5" s="12" t="s">
        <v>2768</v>
      </c>
      <c r="AKZ5" s="12" t="s">
        <v>2769</v>
      </c>
      <c r="ALA5" s="12" t="s">
        <v>2770</v>
      </c>
      <c r="ALB5" s="12" t="s">
        <v>2771</v>
      </c>
      <c r="ALC5" s="12" t="s">
        <v>2772</v>
      </c>
      <c r="ALD5" s="12" t="s">
        <v>2773</v>
      </c>
      <c r="ALE5" s="12" t="s">
        <v>2774</v>
      </c>
      <c r="ALF5" s="12" t="s">
        <v>2775</v>
      </c>
      <c r="ALG5" s="12" t="s">
        <v>2776</v>
      </c>
      <c r="ALH5" s="12" t="s">
        <v>2777</v>
      </c>
      <c r="ALI5" s="12" t="s">
        <v>2778</v>
      </c>
      <c r="ALJ5" s="12" t="s">
        <v>2779</v>
      </c>
      <c r="ALK5" s="12" t="s">
        <v>2780</v>
      </c>
      <c r="ALL5" s="12" t="s">
        <v>2781</v>
      </c>
      <c r="ALM5" s="12" t="s">
        <v>2782</v>
      </c>
      <c r="ALN5" s="12" t="s">
        <v>2783</v>
      </c>
      <c r="ALO5" s="12" t="s">
        <v>2784</v>
      </c>
      <c r="ALP5" s="12" t="s">
        <v>2785</v>
      </c>
      <c r="ALQ5" s="12" t="s">
        <v>2786</v>
      </c>
      <c r="ALR5" s="12" t="s">
        <v>2787</v>
      </c>
      <c r="ALS5" s="12" t="s">
        <v>2788</v>
      </c>
      <c r="ALT5" s="12" t="s">
        <v>2789</v>
      </c>
      <c r="ALU5" s="12" t="s">
        <v>2790</v>
      </c>
      <c r="ALV5" s="12" t="s">
        <v>2791</v>
      </c>
      <c r="ALW5" s="12" t="s">
        <v>2792</v>
      </c>
      <c r="ALX5" s="12" t="s">
        <v>2793</v>
      </c>
      <c r="ALY5" s="12" t="s">
        <v>2794</v>
      </c>
      <c r="ALZ5" s="12" t="s">
        <v>2795</v>
      </c>
      <c r="AMA5" s="12" t="s">
        <v>2796</v>
      </c>
      <c r="AMB5" s="12" t="s">
        <v>2797</v>
      </c>
      <c r="AMC5" s="12" t="s">
        <v>2798</v>
      </c>
      <c r="AMD5" s="12" t="s">
        <v>2799</v>
      </c>
      <c r="AME5" s="12" t="s">
        <v>2800</v>
      </c>
      <c r="AMF5" s="12" t="s">
        <v>2801</v>
      </c>
      <c r="AMG5" s="12" t="s">
        <v>2802</v>
      </c>
      <c r="AMH5" s="12" t="s">
        <v>2803</v>
      </c>
      <c r="AMI5" s="12" t="s">
        <v>2804</v>
      </c>
      <c r="AMJ5" s="12" t="s">
        <v>2805</v>
      </c>
      <c r="AMK5" s="12" t="s">
        <v>2806</v>
      </c>
      <c r="AML5" s="12" t="s">
        <v>2807</v>
      </c>
      <c r="AMM5" s="12" t="s">
        <v>2808</v>
      </c>
      <c r="AMN5" s="12" t="s">
        <v>2809</v>
      </c>
      <c r="AMO5" s="12" t="s">
        <v>2810</v>
      </c>
      <c r="AMP5" s="12" t="s">
        <v>2811</v>
      </c>
      <c r="AMQ5" s="12" t="s">
        <v>2812</v>
      </c>
      <c r="AMR5" s="12" t="s">
        <v>2813</v>
      </c>
      <c r="AMS5" s="12" t="s">
        <v>2814</v>
      </c>
      <c r="AMT5" s="12" t="s">
        <v>2815</v>
      </c>
      <c r="AMU5" s="12" t="s">
        <v>2816</v>
      </c>
      <c r="AMV5" s="12" t="s">
        <v>2817</v>
      </c>
      <c r="AMW5" s="12" t="s">
        <v>2818</v>
      </c>
      <c r="AMX5" s="12" t="s">
        <v>2819</v>
      </c>
      <c r="AMY5" s="12" t="s">
        <v>2820</v>
      </c>
      <c r="AMZ5" s="12" t="s">
        <v>2821</v>
      </c>
      <c r="ANA5" s="12" t="s">
        <v>2822</v>
      </c>
      <c r="ANB5" s="12" t="s">
        <v>2823</v>
      </c>
      <c r="ANC5" s="12" t="s">
        <v>2824</v>
      </c>
      <c r="AND5" s="12" t="s">
        <v>2825</v>
      </c>
      <c r="ANE5" s="12" t="s">
        <v>2826</v>
      </c>
      <c r="ANF5" s="12" t="s">
        <v>2827</v>
      </c>
      <c r="ANG5" s="12" t="s">
        <v>2828</v>
      </c>
      <c r="ANH5" s="12" t="s">
        <v>2829</v>
      </c>
      <c r="ANI5" s="12" t="s">
        <v>2830</v>
      </c>
      <c r="ANJ5" s="12" t="s">
        <v>2831</v>
      </c>
      <c r="ANK5" s="12" t="s">
        <v>2832</v>
      </c>
      <c r="ANL5" s="12" t="s">
        <v>2833</v>
      </c>
      <c r="ANM5" s="12" t="s">
        <v>2834</v>
      </c>
      <c r="ANN5" s="12" t="s">
        <v>2835</v>
      </c>
      <c r="ANO5" s="12" t="s">
        <v>2836</v>
      </c>
      <c r="ANP5" s="12" t="s">
        <v>2837</v>
      </c>
      <c r="ANQ5" s="12" t="s">
        <v>2838</v>
      </c>
      <c r="ANR5" s="12" t="s">
        <v>2839</v>
      </c>
      <c r="ANS5" s="12" t="s">
        <v>2840</v>
      </c>
      <c r="ANT5" s="12" t="s">
        <v>2841</v>
      </c>
      <c r="ANU5" s="12" t="s">
        <v>2842</v>
      </c>
      <c r="ANV5" s="12" t="s">
        <v>2843</v>
      </c>
      <c r="ANW5" s="12" t="s">
        <v>2844</v>
      </c>
      <c r="ANX5" s="12" t="s">
        <v>2845</v>
      </c>
      <c r="ANY5" s="12" t="s">
        <v>2846</v>
      </c>
      <c r="ANZ5" s="12" t="s">
        <v>2847</v>
      </c>
      <c r="AOA5" s="12" t="s">
        <v>2848</v>
      </c>
      <c r="AOB5" s="12" t="s">
        <v>2849</v>
      </c>
      <c r="AOC5" s="12" t="s">
        <v>2850</v>
      </c>
      <c r="AOD5" s="12" t="s">
        <v>2851</v>
      </c>
      <c r="AOE5" s="12" t="s">
        <v>2852</v>
      </c>
      <c r="AOF5" s="12" t="s">
        <v>2853</v>
      </c>
      <c r="AOG5" s="12" t="s">
        <v>2854</v>
      </c>
      <c r="AOH5" s="12" t="s">
        <v>2855</v>
      </c>
      <c r="AOI5" s="12" t="s">
        <v>2856</v>
      </c>
      <c r="AOJ5" s="12" t="s">
        <v>2857</v>
      </c>
      <c r="AOK5" s="12" t="s">
        <v>2858</v>
      </c>
      <c r="AOL5" s="12" t="s">
        <v>2859</v>
      </c>
      <c r="AOM5" s="12" t="s">
        <v>2860</v>
      </c>
      <c r="AON5" s="12" t="s">
        <v>2861</v>
      </c>
      <c r="AOO5" s="12" t="s">
        <v>2862</v>
      </c>
      <c r="AOP5" s="12" t="s">
        <v>2863</v>
      </c>
      <c r="AOQ5" s="12" t="s">
        <v>2864</v>
      </c>
      <c r="AOR5" s="12" t="s">
        <v>2865</v>
      </c>
      <c r="AOS5" s="12" t="s">
        <v>2866</v>
      </c>
      <c r="AOT5" s="12" t="s">
        <v>2867</v>
      </c>
      <c r="AOU5" s="12" t="s">
        <v>2868</v>
      </c>
      <c r="AOV5" s="12" t="s">
        <v>2869</v>
      </c>
      <c r="AOW5" s="12" t="s">
        <v>2870</v>
      </c>
      <c r="AOX5" s="12" t="s">
        <v>2871</v>
      </c>
      <c r="AOY5" s="12" t="s">
        <v>2872</v>
      </c>
      <c r="AOZ5" s="12" t="s">
        <v>2873</v>
      </c>
      <c r="APA5" s="12" t="s">
        <v>2874</v>
      </c>
      <c r="APB5" s="12" t="s">
        <v>2875</v>
      </c>
      <c r="APC5" s="12" t="s">
        <v>2876</v>
      </c>
      <c r="APD5" s="12" t="s">
        <v>2877</v>
      </c>
      <c r="APE5" s="12" t="s">
        <v>2878</v>
      </c>
      <c r="APF5" s="12" t="s">
        <v>2879</v>
      </c>
      <c r="APG5" s="12" t="s">
        <v>2880</v>
      </c>
      <c r="APH5" s="12" t="s">
        <v>2881</v>
      </c>
      <c r="API5" s="12" t="s">
        <v>2882</v>
      </c>
      <c r="APJ5" s="12" t="s">
        <v>2883</v>
      </c>
      <c r="APK5" s="12" t="s">
        <v>2884</v>
      </c>
      <c r="APL5" s="12" t="s">
        <v>2885</v>
      </c>
      <c r="APM5" s="12" t="s">
        <v>2886</v>
      </c>
      <c r="APN5" s="12" t="s">
        <v>2887</v>
      </c>
      <c r="APO5" s="12" t="s">
        <v>2888</v>
      </c>
      <c r="APP5" s="12" t="s">
        <v>2889</v>
      </c>
      <c r="APQ5" s="12" t="s">
        <v>2890</v>
      </c>
      <c r="APR5" s="12" t="s">
        <v>2891</v>
      </c>
      <c r="APS5" s="12" t="s">
        <v>2892</v>
      </c>
      <c r="APT5" s="12" t="s">
        <v>2893</v>
      </c>
      <c r="APU5" s="12" t="s">
        <v>2894</v>
      </c>
      <c r="APV5" s="12" t="s">
        <v>2895</v>
      </c>
      <c r="APW5" s="12" t="s">
        <v>2896</v>
      </c>
      <c r="APX5" s="12" t="s">
        <v>2897</v>
      </c>
      <c r="APY5" s="12" t="s">
        <v>2898</v>
      </c>
      <c r="APZ5" s="12" t="s">
        <v>2899</v>
      </c>
      <c r="AQA5" s="12" t="s">
        <v>2900</v>
      </c>
      <c r="AQB5" s="12" t="s">
        <v>2901</v>
      </c>
      <c r="AQC5" s="12" t="s">
        <v>2902</v>
      </c>
      <c r="AQD5" s="12" t="s">
        <v>2903</v>
      </c>
      <c r="AQE5" s="12" t="s">
        <v>2904</v>
      </c>
      <c r="AQF5" s="12" t="s">
        <v>2905</v>
      </c>
      <c r="AQG5" s="12" t="s">
        <v>2906</v>
      </c>
      <c r="AQH5" s="12" t="s">
        <v>2907</v>
      </c>
      <c r="AQI5" s="12" t="s">
        <v>2908</v>
      </c>
      <c r="AQJ5" s="12" t="s">
        <v>2909</v>
      </c>
      <c r="AQK5" s="12" t="s">
        <v>2910</v>
      </c>
      <c r="AQL5" s="12" t="s">
        <v>2911</v>
      </c>
      <c r="AQM5" s="12" t="s">
        <v>2912</v>
      </c>
      <c r="AQN5" s="12" t="s">
        <v>2913</v>
      </c>
      <c r="AQO5" s="12" t="s">
        <v>2914</v>
      </c>
      <c r="AQP5" s="12" t="s">
        <v>2915</v>
      </c>
      <c r="AQQ5" s="12" t="s">
        <v>2916</v>
      </c>
      <c r="AQR5" s="12" t="s">
        <v>2917</v>
      </c>
      <c r="AQS5" s="12" t="s">
        <v>2918</v>
      </c>
      <c r="AQT5" s="12" t="s">
        <v>2919</v>
      </c>
      <c r="AQU5" s="12" t="s">
        <v>2920</v>
      </c>
      <c r="AQV5" s="12" t="s">
        <v>2921</v>
      </c>
      <c r="AQW5" s="12" t="s">
        <v>2922</v>
      </c>
      <c r="AQX5" s="12" t="s">
        <v>2923</v>
      </c>
      <c r="AQY5" s="12" t="s">
        <v>2924</v>
      </c>
      <c r="AQZ5" s="12" t="s">
        <v>2925</v>
      </c>
      <c r="ARA5" s="12" t="s">
        <v>2926</v>
      </c>
      <c r="ARB5" s="12" t="s">
        <v>2927</v>
      </c>
      <c r="ARC5" s="12" t="s">
        <v>2928</v>
      </c>
      <c r="ARD5" s="12" t="s">
        <v>2929</v>
      </c>
      <c r="ARE5" s="12" t="s">
        <v>2930</v>
      </c>
      <c r="ARF5" s="12" t="s">
        <v>2931</v>
      </c>
      <c r="ARG5" s="12" t="s">
        <v>2932</v>
      </c>
      <c r="ARH5" s="12" t="s">
        <v>2933</v>
      </c>
      <c r="ARI5" s="12" t="s">
        <v>2934</v>
      </c>
      <c r="ARJ5" s="12" t="s">
        <v>2935</v>
      </c>
      <c r="ARK5" s="12" t="s">
        <v>2936</v>
      </c>
      <c r="ARL5" s="12" t="s">
        <v>2937</v>
      </c>
      <c r="ARM5" s="12" t="s">
        <v>2938</v>
      </c>
      <c r="ARN5" s="12" t="s">
        <v>2939</v>
      </c>
      <c r="ARO5" s="12" t="s">
        <v>2940</v>
      </c>
      <c r="ARP5" s="12" t="s">
        <v>2941</v>
      </c>
      <c r="ARQ5" s="12" t="s">
        <v>2942</v>
      </c>
      <c r="ARR5" s="12" t="s">
        <v>2943</v>
      </c>
      <c r="ARS5" s="12" t="s">
        <v>2944</v>
      </c>
      <c r="ART5" s="12" t="s">
        <v>2945</v>
      </c>
      <c r="ARU5" s="12" t="s">
        <v>2946</v>
      </c>
      <c r="ARV5" s="12" t="s">
        <v>2947</v>
      </c>
      <c r="ARW5" s="12" t="s">
        <v>2948</v>
      </c>
      <c r="ARX5" s="12" t="s">
        <v>2949</v>
      </c>
      <c r="ARY5" s="12" t="s">
        <v>2950</v>
      </c>
      <c r="ARZ5" s="12" t="s">
        <v>2951</v>
      </c>
      <c r="ASA5" s="12" t="s">
        <v>2952</v>
      </c>
      <c r="ASB5" s="12" t="s">
        <v>2953</v>
      </c>
      <c r="ASC5" s="12" t="s">
        <v>2954</v>
      </c>
      <c r="ASD5" s="12" t="s">
        <v>2955</v>
      </c>
      <c r="ASE5" s="12" t="s">
        <v>2956</v>
      </c>
      <c r="ASF5" s="12" t="s">
        <v>2957</v>
      </c>
      <c r="ASG5" s="12" t="s">
        <v>2958</v>
      </c>
      <c r="ASH5" s="12" t="s">
        <v>2959</v>
      </c>
      <c r="ASI5" s="12" t="s">
        <v>2960</v>
      </c>
      <c r="ASJ5" s="12" t="s">
        <v>2961</v>
      </c>
      <c r="ASK5" s="12" t="s">
        <v>2962</v>
      </c>
      <c r="ASL5" s="12" t="s">
        <v>2963</v>
      </c>
      <c r="ASM5" s="12" t="s">
        <v>2964</v>
      </c>
      <c r="ASN5" s="12" t="s">
        <v>2965</v>
      </c>
      <c r="ASO5" s="12" t="s">
        <v>2966</v>
      </c>
      <c r="ASP5" s="12" t="s">
        <v>2967</v>
      </c>
      <c r="ASQ5" s="12" t="s">
        <v>2968</v>
      </c>
      <c r="ASR5" s="12" t="s">
        <v>2969</v>
      </c>
      <c r="ASS5" s="12" t="s">
        <v>2970</v>
      </c>
      <c r="AST5" s="12" t="s">
        <v>2971</v>
      </c>
      <c r="ASU5" s="12" t="s">
        <v>2972</v>
      </c>
      <c r="ASV5" s="12" t="s">
        <v>2973</v>
      </c>
      <c r="ASW5" s="12" t="s">
        <v>2974</v>
      </c>
      <c r="ASX5" s="12" t="s">
        <v>2975</v>
      </c>
      <c r="ASY5" s="12" t="s">
        <v>2976</v>
      </c>
      <c r="ASZ5" s="12" t="s">
        <v>2977</v>
      </c>
      <c r="ATA5" s="12" t="s">
        <v>2978</v>
      </c>
      <c r="ATB5" s="12" t="s">
        <v>2979</v>
      </c>
      <c r="ATC5" s="12" t="s">
        <v>2980</v>
      </c>
      <c r="ATD5" s="12" t="s">
        <v>2981</v>
      </c>
      <c r="ATE5" s="12" t="s">
        <v>2982</v>
      </c>
      <c r="ATF5" s="12" t="s">
        <v>2983</v>
      </c>
      <c r="ATG5" s="12" t="s">
        <v>2984</v>
      </c>
      <c r="ATH5" s="12" t="s">
        <v>2985</v>
      </c>
      <c r="ATI5" s="12" t="s">
        <v>2986</v>
      </c>
      <c r="ATJ5" s="12" t="s">
        <v>2987</v>
      </c>
      <c r="ATK5" s="12" t="s">
        <v>2988</v>
      </c>
      <c r="ATL5" s="12" t="s">
        <v>2989</v>
      </c>
      <c r="ATM5" s="12" t="s">
        <v>2990</v>
      </c>
      <c r="ATN5" s="12" t="s">
        <v>2991</v>
      </c>
      <c r="ATO5" s="12" t="s">
        <v>2992</v>
      </c>
      <c r="ATP5" s="12" t="s">
        <v>2993</v>
      </c>
      <c r="ATQ5" s="12" t="s">
        <v>2994</v>
      </c>
      <c r="ATR5" s="12" t="s">
        <v>2995</v>
      </c>
      <c r="ATS5" s="12" t="s">
        <v>2996</v>
      </c>
      <c r="ATT5" s="12" t="s">
        <v>2997</v>
      </c>
      <c r="ATU5" s="12" t="s">
        <v>2998</v>
      </c>
      <c r="ATV5" s="12" t="s">
        <v>2999</v>
      </c>
      <c r="ATW5" s="12" t="s">
        <v>3000</v>
      </c>
      <c r="ATX5" s="12" t="s">
        <v>3001</v>
      </c>
      <c r="ATY5" s="12" t="s">
        <v>3002</v>
      </c>
      <c r="ATZ5" s="12" t="s">
        <v>3003</v>
      </c>
      <c r="AUA5" s="12" t="s">
        <v>3004</v>
      </c>
      <c r="AUB5" s="12" t="s">
        <v>3005</v>
      </c>
      <c r="AUC5" s="12" t="s">
        <v>3006</v>
      </c>
      <c r="AUD5" s="12" t="s">
        <v>3007</v>
      </c>
      <c r="AUE5" s="12" t="s">
        <v>3008</v>
      </c>
      <c r="AUF5" s="12" t="s">
        <v>3009</v>
      </c>
      <c r="AUG5" s="12" t="s">
        <v>3010</v>
      </c>
      <c r="AUH5" s="12" t="s">
        <v>3011</v>
      </c>
      <c r="AUI5" s="12" t="s">
        <v>3012</v>
      </c>
      <c r="AUJ5" s="12" t="s">
        <v>3013</v>
      </c>
      <c r="AUK5" s="12" t="s">
        <v>3014</v>
      </c>
      <c r="AUL5" s="12" t="s">
        <v>3015</v>
      </c>
      <c r="AUM5" s="12" t="s">
        <v>3016</v>
      </c>
      <c r="AUN5" s="12" t="s">
        <v>3017</v>
      </c>
      <c r="AUO5" s="12" t="s">
        <v>3018</v>
      </c>
      <c r="AUP5" s="12" t="s">
        <v>3019</v>
      </c>
      <c r="AUQ5" s="12" t="s">
        <v>3020</v>
      </c>
      <c r="AUR5" s="12" t="s">
        <v>3021</v>
      </c>
      <c r="AUS5" s="12" t="s">
        <v>3022</v>
      </c>
      <c r="AUT5" s="12" t="s">
        <v>3023</v>
      </c>
      <c r="AUU5" s="12" t="s">
        <v>3024</v>
      </c>
      <c r="AUV5" s="12" t="s">
        <v>3025</v>
      </c>
      <c r="AUW5" s="12" t="s">
        <v>3026</v>
      </c>
      <c r="AUX5" s="12" t="s">
        <v>3027</v>
      </c>
      <c r="AUY5" s="12" t="s">
        <v>3028</v>
      </c>
      <c r="AUZ5" s="12" t="s">
        <v>3029</v>
      </c>
      <c r="AVA5" s="12" t="s">
        <v>3030</v>
      </c>
      <c r="AVB5" s="12" t="s">
        <v>3031</v>
      </c>
      <c r="AVC5" s="12" t="s">
        <v>3032</v>
      </c>
      <c r="AVD5" s="12" t="s">
        <v>3033</v>
      </c>
      <c r="AVE5" s="12" t="s">
        <v>3034</v>
      </c>
      <c r="AVF5" s="12" t="s">
        <v>3035</v>
      </c>
      <c r="AVG5" s="12" t="s">
        <v>3036</v>
      </c>
      <c r="AVH5" s="12" t="s">
        <v>3037</v>
      </c>
      <c r="AVI5" s="12" t="s">
        <v>3038</v>
      </c>
      <c r="AVJ5" s="12" t="s">
        <v>3039</v>
      </c>
      <c r="AVK5" s="12" t="s">
        <v>3040</v>
      </c>
      <c r="AVL5" s="12" t="s">
        <v>3041</v>
      </c>
      <c r="AVM5" s="12" t="s">
        <v>3042</v>
      </c>
      <c r="AVN5" s="12" t="s">
        <v>3043</v>
      </c>
      <c r="AVO5" s="12" t="s">
        <v>3044</v>
      </c>
      <c r="AVP5" s="12" t="s">
        <v>3045</v>
      </c>
      <c r="AVQ5" s="12" t="s">
        <v>3046</v>
      </c>
      <c r="AVR5" s="12" t="s">
        <v>3047</v>
      </c>
      <c r="AVS5" s="12" t="s">
        <v>3048</v>
      </c>
      <c r="AVT5" s="12" t="s">
        <v>3049</v>
      </c>
      <c r="AVU5" s="12" t="s">
        <v>3050</v>
      </c>
      <c r="AVV5" s="12" t="s">
        <v>3051</v>
      </c>
      <c r="AVW5" s="12" t="s">
        <v>3052</v>
      </c>
      <c r="AVX5" s="12" t="s">
        <v>3053</v>
      </c>
      <c r="AVY5" s="12" t="s">
        <v>3054</v>
      </c>
      <c r="AVZ5" s="12" t="s">
        <v>3055</v>
      </c>
      <c r="AWA5" s="12" t="s">
        <v>3056</v>
      </c>
      <c r="AWB5" s="12" t="s">
        <v>3057</v>
      </c>
      <c r="AWC5" s="12" t="s">
        <v>3058</v>
      </c>
      <c r="AWD5" s="12" t="s">
        <v>3059</v>
      </c>
      <c r="AWE5" s="12" t="s">
        <v>3060</v>
      </c>
      <c r="AWF5" s="12" t="s">
        <v>3061</v>
      </c>
      <c r="AWG5" s="12" t="s">
        <v>3062</v>
      </c>
      <c r="AWH5" s="12" t="s">
        <v>3063</v>
      </c>
      <c r="AWI5" s="12" t="s">
        <v>3064</v>
      </c>
      <c r="AWJ5" s="12" t="s">
        <v>3065</v>
      </c>
      <c r="AWK5" s="12" t="s">
        <v>3066</v>
      </c>
      <c r="AWL5" s="12" t="s">
        <v>3067</v>
      </c>
      <c r="AWM5" s="12" t="s">
        <v>3068</v>
      </c>
      <c r="AWN5" s="12" t="s">
        <v>3069</v>
      </c>
      <c r="AWO5" s="12" t="s">
        <v>3070</v>
      </c>
      <c r="AWP5" s="12" t="s">
        <v>3071</v>
      </c>
      <c r="AWQ5" s="12" t="s">
        <v>3072</v>
      </c>
      <c r="AWR5" s="12" t="s">
        <v>3073</v>
      </c>
      <c r="AWS5" s="12" t="s">
        <v>3074</v>
      </c>
      <c r="AWT5" s="12" t="s">
        <v>3075</v>
      </c>
      <c r="AWU5" s="12" t="s">
        <v>3076</v>
      </c>
      <c r="AWV5" s="12" t="s">
        <v>3077</v>
      </c>
      <c r="AWW5" s="12" t="s">
        <v>3078</v>
      </c>
      <c r="AWX5" s="12" t="s">
        <v>3079</v>
      </c>
      <c r="AWY5" s="12" t="s">
        <v>3080</v>
      </c>
      <c r="AWZ5" s="12" t="s">
        <v>3081</v>
      </c>
      <c r="AXA5" s="12" t="s">
        <v>3082</v>
      </c>
      <c r="AXB5" s="12" t="s">
        <v>3083</v>
      </c>
      <c r="AXC5" s="12" t="s">
        <v>3084</v>
      </c>
      <c r="AXD5" s="12" t="s">
        <v>3085</v>
      </c>
      <c r="AXE5" s="12" t="s">
        <v>3086</v>
      </c>
      <c r="AXF5" s="12" t="s">
        <v>3087</v>
      </c>
      <c r="AXG5" s="12" t="s">
        <v>3088</v>
      </c>
      <c r="AXH5" s="12" t="s">
        <v>3089</v>
      </c>
      <c r="AXI5" s="12" t="s">
        <v>3090</v>
      </c>
      <c r="AXJ5" s="12" t="s">
        <v>3091</v>
      </c>
      <c r="AXK5" s="12" t="s">
        <v>3092</v>
      </c>
      <c r="AXL5" s="12" t="s">
        <v>3093</v>
      </c>
      <c r="AXM5" s="12" t="s">
        <v>3094</v>
      </c>
      <c r="AXN5" s="12" t="s">
        <v>3095</v>
      </c>
      <c r="AXO5" s="12" t="s">
        <v>3096</v>
      </c>
      <c r="AXP5" s="12" t="s">
        <v>3097</v>
      </c>
      <c r="AXQ5" s="12" t="s">
        <v>3098</v>
      </c>
      <c r="AXR5" s="12" t="s">
        <v>3099</v>
      </c>
      <c r="AXS5" s="12" t="s">
        <v>3100</v>
      </c>
      <c r="AXT5" s="12" t="s">
        <v>3101</v>
      </c>
      <c r="AXU5" s="12" t="s">
        <v>3102</v>
      </c>
      <c r="AXV5" s="12" t="s">
        <v>3103</v>
      </c>
      <c r="AXW5" s="12" t="s">
        <v>3104</v>
      </c>
      <c r="AXX5" s="12" t="s">
        <v>3105</v>
      </c>
      <c r="AXY5" s="12" t="s">
        <v>3106</v>
      </c>
      <c r="AXZ5" s="12" t="s">
        <v>3107</v>
      </c>
      <c r="AYA5" s="12" t="s">
        <v>3108</v>
      </c>
      <c r="AYB5" s="12" t="s">
        <v>3109</v>
      </c>
      <c r="AYC5" s="12" t="s">
        <v>3110</v>
      </c>
      <c r="AYD5" s="12" t="s">
        <v>3111</v>
      </c>
      <c r="AYE5" s="12" t="s">
        <v>3112</v>
      </c>
      <c r="AYF5" s="12" t="s">
        <v>3113</v>
      </c>
      <c r="AYG5" s="12" t="s">
        <v>3114</v>
      </c>
      <c r="AYH5" s="12" t="s">
        <v>3115</v>
      </c>
      <c r="AYI5" s="12" t="s">
        <v>3116</v>
      </c>
      <c r="AYJ5" s="12" t="s">
        <v>3117</v>
      </c>
      <c r="AYK5" s="12" t="s">
        <v>3118</v>
      </c>
      <c r="AYL5" s="12" t="s">
        <v>3119</v>
      </c>
      <c r="AYM5" s="12" t="s">
        <v>3120</v>
      </c>
      <c r="AYN5" s="12" t="s">
        <v>3121</v>
      </c>
      <c r="AYO5" s="12" t="s">
        <v>3122</v>
      </c>
      <c r="AYP5" s="12" t="s">
        <v>3123</v>
      </c>
      <c r="AYQ5" s="12" t="s">
        <v>3124</v>
      </c>
      <c r="AYR5" s="12" t="s">
        <v>3125</v>
      </c>
      <c r="AYS5" s="12" t="s">
        <v>3126</v>
      </c>
      <c r="AYT5" s="12" t="s">
        <v>3127</v>
      </c>
      <c r="AYU5" s="12" t="s">
        <v>3128</v>
      </c>
      <c r="AYV5" s="12" t="s">
        <v>3129</v>
      </c>
      <c r="AYW5" s="12" t="s">
        <v>3130</v>
      </c>
      <c r="AYX5" s="12" t="s">
        <v>3131</v>
      </c>
      <c r="AYY5" s="12" t="s">
        <v>3132</v>
      </c>
      <c r="AYZ5" s="12" t="s">
        <v>3133</v>
      </c>
      <c r="AZA5" s="12" t="s">
        <v>3134</v>
      </c>
      <c r="AZB5" s="12" t="s">
        <v>3135</v>
      </c>
      <c r="AZC5" s="12" t="s">
        <v>3136</v>
      </c>
      <c r="AZD5" s="12" t="s">
        <v>3137</v>
      </c>
      <c r="AZE5" s="12" t="s">
        <v>3138</v>
      </c>
      <c r="AZF5" s="12" t="s">
        <v>3139</v>
      </c>
      <c r="AZG5" s="12" t="s">
        <v>3140</v>
      </c>
      <c r="AZH5" s="12" t="s">
        <v>3141</v>
      </c>
      <c r="AZI5" s="12" t="s">
        <v>3142</v>
      </c>
      <c r="AZJ5" s="12" t="s">
        <v>3143</v>
      </c>
      <c r="AZK5" s="12" t="s">
        <v>3144</v>
      </c>
      <c r="AZL5" s="12" t="s">
        <v>3145</v>
      </c>
      <c r="AZM5" s="12" t="s">
        <v>3146</v>
      </c>
      <c r="AZN5" s="12" t="s">
        <v>3147</v>
      </c>
      <c r="AZO5" s="12" t="s">
        <v>3148</v>
      </c>
      <c r="AZP5" s="12" t="s">
        <v>3149</v>
      </c>
      <c r="AZQ5" s="12" t="s">
        <v>3150</v>
      </c>
      <c r="AZR5" s="12" t="s">
        <v>3151</v>
      </c>
      <c r="AZS5" s="12" t="s">
        <v>3152</v>
      </c>
      <c r="AZT5" s="12" t="s">
        <v>3153</v>
      </c>
      <c r="AZU5" s="12" t="s">
        <v>3154</v>
      </c>
      <c r="AZV5" s="12" t="s">
        <v>3155</v>
      </c>
      <c r="AZW5" s="12" t="s">
        <v>3156</v>
      </c>
      <c r="AZX5" s="12" t="s">
        <v>3157</v>
      </c>
      <c r="AZY5" s="12" t="s">
        <v>3158</v>
      </c>
      <c r="AZZ5" s="12" t="s">
        <v>3159</v>
      </c>
      <c r="BAA5" s="12" t="s">
        <v>3160</v>
      </c>
      <c r="BAB5" s="12" t="s">
        <v>3161</v>
      </c>
      <c r="BAC5" s="12" t="s">
        <v>3162</v>
      </c>
      <c r="BAD5" s="12" t="s">
        <v>3163</v>
      </c>
      <c r="BAE5" s="12" t="s">
        <v>3164</v>
      </c>
      <c r="BAF5" s="12" t="s">
        <v>3165</v>
      </c>
      <c r="BAG5" s="12" t="s">
        <v>3166</v>
      </c>
      <c r="BAH5" s="12" t="s">
        <v>3167</v>
      </c>
      <c r="BAI5" s="12" t="s">
        <v>3168</v>
      </c>
      <c r="BAJ5" s="12" t="s">
        <v>3169</v>
      </c>
      <c r="BAK5" s="12" t="s">
        <v>3170</v>
      </c>
      <c r="BAL5" s="12" t="s">
        <v>3171</v>
      </c>
      <c r="BAM5" s="12" t="s">
        <v>3172</v>
      </c>
      <c r="BAN5" s="12" t="s">
        <v>3173</v>
      </c>
      <c r="BAO5" s="12" t="s">
        <v>3174</v>
      </c>
      <c r="BAP5" s="12" t="s">
        <v>3175</v>
      </c>
      <c r="BAQ5" s="12" t="s">
        <v>3176</v>
      </c>
      <c r="BAR5" s="12" t="s">
        <v>3177</v>
      </c>
      <c r="BAS5" s="12" t="s">
        <v>3178</v>
      </c>
      <c r="BAT5" s="12" t="s">
        <v>3179</v>
      </c>
      <c r="BAU5" s="12" t="s">
        <v>3180</v>
      </c>
      <c r="BAV5" s="12" t="s">
        <v>3181</v>
      </c>
      <c r="BAW5" s="12" t="s">
        <v>3182</v>
      </c>
      <c r="BAX5" s="12" t="s">
        <v>3183</v>
      </c>
      <c r="BAY5" s="12" t="s">
        <v>3184</v>
      </c>
      <c r="BAZ5" s="12" t="s">
        <v>3185</v>
      </c>
      <c r="BBA5" s="12" t="s">
        <v>3186</v>
      </c>
      <c r="BBB5" s="12" t="s">
        <v>3187</v>
      </c>
      <c r="BBC5" s="12" t="s">
        <v>3188</v>
      </c>
      <c r="BBD5" s="12" t="s">
        <v>3189</v>
      </c>
      <c r="BBE5" s="12" t="s">
        <v>3190</v>
      </c>
      <c r="BBF5" s="12" t="s">
        <v>3191</v>
      </c>
      <c r="BBG5" s="12" t="s">
        <v>3192</v>
      </c>
      <c r="BBH5" s="12" t="s">
        <v>3193</v>
      </c>
      <c r="BBI5" s="12" t="s">
        <v>3194</v>
      </c>
      <c r="BBJ5" s="12" t="s">
        <v>3195</v>
      </c>
      <c r="BBK5" s="12" t="s">
        <v>3196</v>
      </c>
      <c r="BBL5" s="12" t="s">
        <v>3197</v>
      </c>
      <c r="BBM5" s="12" t="s">
        <v>3198</v>
      </c>
      <c r="BBN5" s="12" t="s">
        <v>3199</v>
      </c>
      <c r="BBO5" s="12" t="s">
        <v>3200</v>
      </c>
      <c r="BBP5" s="12" t="s">
        <v>3201</v>
      </c>
      <c r="BBQ5" s="12" t="s">
        <v>3202</v>
      </c>
      <c r="BBR5" s="12" t="s">
        <v>3203</v>
      </c>
      <c r="BBS5" s="12" t="s">
        <v>3204</v>
      </c>
      <c r="BBT5" s="12" t="s">
        <v>3205</v>
      </c>
      <c r="BBU5" s="12" t="s">
        <v>3206</v>
      </c>
      <c r="BBV5" s="12" t="s">
        <v>3207</v>
      </c>
      <c r="BBW5" s="12" t="s">
        <v>3208</v>
      </c>
      <c r="BBX5" s="12" t="s">
        <v>3209</v>
      </c>
      <c r="BBY5" s="12" t="s">
        <v>3210</v>
      </c>
      <c r="BBZ5" s="12" t="s">
        <v>3211</v>
      </c>
      <c r="BCA5" s="12" t="s">
        <v>3212</v>
      </c>
      <c r="BCB5" s="12" t="s">
        <v>3213</v>
      </c>
      <c r="BCC5" s="12" t="s">
        <v>3214</v>
      </c>
      <c r="BCD5" s="12" t="s">
        <v>3215</v>
      </c>
      <c r="BCE5" s="12" t="s">
        <v>3216</v>
      </c>
      <c r="BCF5" s="12" t="s">
        <v>3217</v>
      </c>
      <c r="BCG5" s="12" t="s">
        <v>3218</v>
      </c>
      <c r="BCH5" s="12" t="s">
        <v>3219</v>
      </c>
      <c r="BCI5" s="12" t="s">
        <v>3220</v>
      </c>
      <c r="BCJ5" s="12" t="s">
        <v>3221</v>
      </c>
      <c r="BCK5" s="12" t="s">
        <v>3222</v>
      </c>
      <c r="BCL5" s="12" t="s">
        <v>3223</v>
      </c>
      <c r="BCM5" s="12" t="s">
        <v>3224</v>
      </c>
      <c r="BCN5" s="12" t="s">
        <v>3225</v>
      </c>
      <c r="BCO5" s="12" t="s">
        <v>3226</v>
      </c>
      <c r="BCP5" s="12" t="s">
        <v>3227</v>
      </c>
      <c r="BCQ5" s="12" t="s">
        <v>3228</v>
      </c>
      <c r="BCR5" s="12" t="s">
        <v>3229</v>
      </c>
      <c r="BCS5" s="12" t="s">
        <v>3230</v>
      </c>
      <c r="BCT5" s="12" t="s">
        <v>3231</v>
      </c>
      <c r="BCU5" s="12" t="s">
        <v>3232</v>
      </c>
      <c r="BCV5" s="12" t="s">
        <v>3233</v>
      </c>
      <c r="BCW5" s="12" t="s">
        <v>3234</v>
      </c>
      <c r="BCX5" s="12" t="s">
        <v>3235</v>
      </c>
      <c r="BCY5" s="12" t="s">
        <v>3236</v>
      </c>
      <c r="BCZ5" s="12" t="s">
        <v>3237</v>
      </c>
      <c r="BDA5" s="12" t="s">
        <v>3238</v>
      </c>
      <c r="BDB5" s="12" t="s">
        <v>3239</v>
      </c>
      <c r="BDC5" s="12" t="s">
        <v>3240</v>
      </c>
      <c r="BDD5" s="12" t="s">
        <v>3241</v>
      </c>
      <c r="BDE5" s="12" t="s">
        <v>3242</v>
      </c>
      <c r="BDF5" s="12" t="s">
        <v>3243</v>
      </c>
      <c r="BDG5" s="12" t="s">
        <v>3244</v>
      </c>
      <c r="BDH5" s="12" t="s">
        <v>3245</v>
      </c>
      <c r="BDI5" s="12" t="s">
        <v>3246</v>
      </c>
      <c r="BDJ5" s="12" t="s">
        <v>3247</v>
      </c>
      <c r="BDK5" s="12" t="s">
        <v>3248</v>
      </c>
      <c r="BDL5" s="12" t="s">
        <v>3249</v>
      </c>
      <c r="BDM5" s="12" t="s">
        <v>3250</v>
      </c>
      <c r="BDN5" s="12" t="s">
        <v>3251</v>
      </c>
      <c r="BDO5" s="12" t="s">
        <v>3252</v>
      </c>
      <c r="BDP5" s="12" t="s">
        <v>3253</v>
      </c>
      <c r="BDQ5" s="12" t="s">
        <v>3254</v>
      </c>
      <c r="BDR5" s="12" t="s">
        <v>3255</v>
      </c>
      <c r="BDS5" s="12" t="s">
        <v>3256</v>
      </c>
      <c r="BDT5" s="12" t="s">
        <v>3257</v>
      </c>
      <c r="BDU5" s="12" t="s">
        <v>3258</v>
      </c>
      <c r="BDV5" s="12" t="s">
        <v>3259</v>
      </c>
      <c r="BDW5" s="12" t="s">
        <v>3260</v>
      </c>
      <c r="BDX5" s="12" t="s">
        <v>3261</v>
      </c>
      <c r="BDY5" s="12" t="s">
        <v>3262</v>
      </c>
      <c r="BDZ5" s="12" t="s">
        <v>3263</v>
      </c>
      <c r="BEA5" s="12" t="s">
        <v>3264</v>
      </c>
      <c r="BEB5" s="12" t="s">
        <v>3265</v>
      </c>
      <c r="BEC5" s="12" t="s">
        <v>3266</v>
      </c>
      <c r="BED5" s="12" t="s">
        <v>3267</v>
      </c>
      <c r="BEE5" s="12" t="s">
        <v>3268</v>
      </c>
      <c r="BEF5" s="12" t="s">
        <v>3269</v>
      </c>
      <c r="BEG5" s="12" t="s">
        <v>3270</v>
      </c>
      <c r="BEH5" s="12" t="s">
        <v>3271</v>
      </c>
      <c r="BEI5" s="12" t="s">
        <v>3272</v>
      </c>
      <c r="BEJ5" s="12" t="s">
        <v>3273</v>
      </c>
      <c r="BEK5" s="12" t="s">
        <v>3274</v>
      </c>
      <c r="BEL5" s="12" t="s">
        <v>3275</v>
      </c>
      <c r="BEM5" s="12" t="s">
        <v>3276</v>
      </c>
      <c r="BEN5" s="12" t="s">
        <v>3277</v>
      </c>
      <c r="BEO5" s="12" t="s">
        <v>3278</v>
      </c>
      <c r="BEP5" s="12" t="s">
        <v>3279</v>
      </c>
      <c r="BEQ5" s="12" t="s">
        <v>3280</v>
      </c>
      <c r="BER5" s="12" t="s">
        <v>3281</v>
      </c>
      <c r="BES5" s="12" t="s">
        <v>3282</v>
      </c>
      <c r="BET5" s="12" t="s">
        <v>3283</v>
      </c>
      <c r="BEU5" s="12" t="s">
        <v>3284</v>
      </c>
      <c r="BEV5" s="12" t="s">
        <v>3285</v>
      </c>
      <c r="BEW5" s="12" t="s">
        <v>3286</v>
      </c>
      <c r="BEX5" s="12" t="s">
        <v>3287</v>
      </c>
      <c r="BEY5" s="12" t="s">
        <v>3288</v>
      </c>
      <c r="BEZ5" s="12" t="s">
        <v>3289</v>
      </c>
      <c r="BFA5" s="12" t="s">
        <v>3290</v>
      </c>
      <c r="BFB5" s="12" t="s">
        <v>3291</v>
      </c>
      <c r="BFC5" s="12" t="s">
        <v>3292</v>
      </c>
      <c r="BFD5" s="12" t="s">
        <v>3293</v>
      </c>
      <c r="BFE5" s="12" t="s">
        <v>3294</v>
      </c>
      <c r="BFF5" s="12" t="s">
        <v>3295</v>
      </c>
      <c r="BFG5" s="12" t="s">
        <v>3296</v>
      </c>
      <c r="BFH5" s="12" t="s">
        <v>3297</v>
      </c>
      <c r="BFI5" s="12" t="s">
        <v>3298</v>
      </c>
      <c r="BFJ5" s="12" t="s">
        <v>3299</v>
      </c>
      <c r="BFK5" s="12" t="s">
        <v>3300</v>
      </c>
      <c r="BFL5" s="12" t="s">
        <v>3301</v>
      </c>
      <c r="BFM5" s="12" t="s">
        <v>3302</v>
      </c>
      <c r="BFN5" s="12" t="s">
        <v>3303</v>
      </c>
      <c r="BFO5" s="12" t="s">
        <v>3304</v>
      </c>
      <c r="BFP5" s="12" t="s">
        <v>3305</v>
      </c>
      <c r="BFQ5" s="12" t="s">
        <v>3306</v>
      </c>
      <c r="BFR5" s="12" t="s">
        <v>3307</v>
      </c>
      <c r="BFS5" s="12" t="s">
        <v>3308</v>
      </c>
      <c r="BFT5" s="12" t="s">
        <v>3309</v>
      </c>
      <c r="BFU5" s="12" t="s">
        <v>3310</v>
      </c>
      <c r="BFV5" s="12" t="s">
        <v>3311</v>
      </c>
      <c r="BFW5" s="12" t="s">
        <v>3312</v>
      </c>
      <c r="BFX5" s="12" t="s">
        <v>3313</v>
      </c>
      <c r="BFY5" s="12" t="s">
        <v>3314</v>
      </c>
      <c r="BFZ5" s="12" t="s">
        <v>3315</v>
      </c>
      <c r="BGA5" s="12" t="s">
        <v>3316</v>
      </c>
      <c r="BGB5" s="12" t="s">
        <v>3317</v>
      </c>
      <c r="BGC5" s="12" t="s">
        <v>3318</v>
      </c>
      <c r="BGD5" s="12" t="s">
        <v>3319</v>
      </c>
      <c r="BGE5" s="12" t="s">
        <v>3320</v>
      </c>
      <c r="BGF5" s="12" t="s">
        <v>3321</v>
      </c>
      <c r="BGG5" s="12" t="s">
        <v>3322</v>
      </c>
      <c r="BGH5" s="12" t="s">
        <v>3323</v>
      </c>
      <c r="BGI5" s="12" t="s">
        <v>3324</v>
      </c>
      <c r="BGJ5" s="12" t="s">
        <v>3325</v>
      </c>
      <c r="BGK5" s="12" t="s">
        <v>3326</v>
      </c>
      <c r="BGL5" s="12" t="s">
        <v>3327</v>
      </c>
      <c r="BGM5" s="12" t="s">
        <v>3328</v>
      </c>
      <c r="BGN5" s="12" t="s">
        <v>3329</v>
      </c>
      <c r="BGO5" s="12" t="s">
        <v>3330</v>
      </c>
      <c r="BGP5" s="12" t="s">
        <v>3331</v>
      </c>
      <c r="BGQ5" s="12" t="s">
        <v>3332</v>
      </c>
      <c r="BGR5" s="12" t="s">
        <v>3333</v>
      </c>
      <c r="BGS5" s="12" t="s">
        <v>3334</v>
      </c>
      <c r="BGT5" s="12" t="s">
        <v>3335</v>
      </c>
      <c r="BGU5" s="12" t="s">
        <v>3336</v>
      </c>
      <c r="BGV5" s="12" t="s">
        <v>3337</v>
      </c>
      <c r="BGW5" s="12" t="s">
        <v>3338</v>
      </c>
      <c r="BGX5" s="12" t="s">
        <v>3339</v>
      </c>
      <c r="BGY5" s="12" t="s">
        <v>3340</v>
      </c>
      <c r="BGZ5" s="12" t="s">
        <v>3341</v>
      </c>
      <c r="BHA5" s="12" t="s">
        <v>3342</v>
      </c>
      <c r="BHB5" s="12" t="s">
        <v>3343</v>
      </c>
      <c r="BHC5" s="12" t="s">
        <v>3344</v>
      </c>
      <c r="BHD5" s="12" t="s">
        <v>3345</v>
      </c>
      <c r="BHE5" s="12" t="s">
        <v>3346</v>
      </c>
      <c r="BHF5" s="12" t="s">
        <v>3347</v>
      </c>
      <c r="BHG5" s="12" t="s">
        <v>3348</v>
      </c>
      <c r="BHH5" s="12" t="s">
        <v>3349</v>
      </c>
      <c r="BHI5" s="12" t="s">
        <v>3350</v>
      </c>
      <c r="BHJ5" s="12" t="s">
        <v>3351</v>
      </c>
      <c r="BHK5" s="12" t="s">
        <v>3352</v>
      </c>
      <c r="BHL5" s="12" t="s">
        <v>3353</v>
      </c>
      <c r="BHM5" s="12" t="s">
        <v>3354</v>
      </c>
      <c r="BHN5" s="12" t="s">
        <v>3355</v>
      </c>
      <c r="BHO5" s="12" t="s">
        <v>3356</v>
      </c>
      <c r="BHP5" s="12" t="s">
        <v>3357</v>
      </c>
      <c r="BHQ5" s="12" t="s">
        <v>3358</v>
      </c>
      <c r="BHR5" s="12" t="s">
        <v>3359</v>
      </c>
      <c r="BHS5" s="12" t="s">
        <v>3360</v>
      </c>
      <c r="BHT5" s="12" t="s">
        <v>3361</v>
      </c>
      <c r="BHU5" s="12" t="s">
        <v>3362</v>
      </c>
      <c r="BHV5" s="12" t="s">
        <v>3363</v>
      </c>
      <c r="BHW5" s="12" t="s">
        <v>3364</v>
      </c>
      <c r="BHX5" s="12" t="s">
        <v>3365</v>
      </c>
      <c r="BHY5" s="12" t="s">
        <v>3366</v>
      </c>
      <c r="BHZ5" s="12" t="s">
        <v>3367</v>
      </c>
      <c r="BIA5" s="12" t="s">
        <v>3368</v>
      </c>
      <c r="BIB5" s="12" t="s">
        <v>3369</v>
      </c>
      <c r="BIC5" s="12" t="s">
        <v>3370</v>
      </c>
      <c r="BID5" s="12" t="s">
        <v>3371</v>
      </c>
      <c r="BIE5" s="12" t="s">
        <v>3372</v>
      </c>
      <c r="BIF5" s="12" t="s">
        <v>3373</v>
      </c>
      <c r="BIG5" s="12" t="s">
        <v>3374</v>
      </c>
      <c r="BIH5" s="12" t="s">
        <v>3375</v>
      </c>
      <c r="BII5" s="12" t="s">
        <v>3376</v>
      </c>
      <c r="BIJ5" s="12" t="s">
        <v>3377</v>
      </c>
      <c r="BIK5" s="12" t="s">
        <v>3378</v>
      </c>
      <c r="BIL5" s="12" t="s">
        <v>3379</v>
      </c>
      <c r="BIM5" s="12" t="s">
        <v>3380</v>
      </c>
      <c r="BIN5" s="12" t="s">
        <v>3381</v>
      </c>
      <c r="BIO5" s="12" t="s">
        <v>3382</v>
      </c>
      <c r="BIP5" s="12" t="s">
        <v>3383</v>
      </c>
      <c r="BIQ5" s="12" t="s">
        <v>3384</v>
      </c>
      <c r="BIR5" s="12" t="s">
        <v>3385</v>
      </c>
      <c r="BIS5" s="12" t="s">
        <v>3386</v>
      </c>
      <c r="BIT5" s="12" t="s">
        <v>3387</v>
      </c>
      <c r="BIU5" s="12" t="s">
        <v>3388</v>
      </c>
      <c r="BIV5" s="12" t="s">
        <v>3389</v>
      </c>
      <c r="BIW5" s="12" t="s">
        <v>3390</v>
      </c>
      <c r="BIX5" s="12" t="s">
        <v>3391</v>
      </c>
      <c r="BIY5" s="12" t="s">
        <v>3392</v>
      </c>
      <c r="BIZ5" s="12" t="s">
        <v>3393</v>
      </c>
      <c r="BJA5" s="12" t="s">
        <v>3394</v>
      </c>
      <c r="BJB5" s="12" t="s">
        <v>3395</v>
      </c>
      <c r="BJC5" s="12" t="s">
        <v>3396</v>
      </c>
      <c r="BJD5" s="12" t="s">
        <v>3397</v>
      </c>
      <c r="BJE5" s="12" t="s">
        <v>3398</v>
      </c>
      <c r="BJF5" s="12" t="s">
        <v>3399</v>
      </c>
      <c r="BJG5" s="12" t="s">
        <v>3400</v>
      </c>
      <c r="BJH5" s="12" t="s">
        <v>3401</v>
      </c>
      <c r="BJI5" s="12" t="s">
        <v>3402</v>
      </c>
      <c r="BJJ5" s="12" t="s">
        <v>3403</v>
      </c>
      <c r="BJK5" s="12" t="s">
        <v>3404</v>
      </c>
      <c r="BJL5" s="12" t="s">
        <v>3405</v>
      </c>
      <c r="BJM5" s="12" t="s">
        <v>3406</v>
      </c>
      <c r="BJN5" s="12" t="s">
        <v>3407</v>
      </c>
      <c r="BJO5" s="12" t="s">
        <v>3408</v>
      </c>
      <c r="BJP5" s="12" t="s">
        <v>3409</v>
      </c>
      <c r="BJQ5" s="12" t="s">
        <v>3410</v>
      </c>
      <c r="BJR5" s="12" t="s">
        <v>3411</v>
      </c>
      <c r="BJS5" s="12" t="s">
        <v>3412</v>
      </c>
      <c r="BJT5" s="12" t="s">
        <v>3413</v>
      </c>
      <c r="BJU5" s="12" t="s">
        <v>3414</v>
      </c>
      <c r="BJV5" s="12" t="s">
        <v>3415</v>
      </c>
      <c r="BJW5" s="12" t="s">
        <v>3416</v>
      </c>
      <c r="BJX5" s="12" t="s">
        <v>3417</v>
      </c>
      <c r="BJY5" s="12" t="s">
        <v>3418</v>
      </c>
      <c r="BJZ5" s="12" t="s">
        <v>3419</v>
      </c>
      <c r="BKA5" s="12" t="s">
        <v>3420</v>
      </c>
      <c r="BKB5" s="12" t="s">
        <v>3421</v>
      </c>
      <c r="BKC5" s="12" t="s">
        <v>3422</v>
      </c>
      <c r="BKD5" s="12" t="s">
        <v>3423</v>
      </c>
      <c r="BKE5" s="12" t="s">
        <v>3424</v>
      </c>
      <c r="BKF5" s="12" t="s">
        <v>3425</v>
      </c>
      <c r="BKG5" s="12" t="s">
        <v>3426</v>
      </c>
      <c r="BKH5" s="12" t="s">
        <v>3427</v>
      </c>
      <c r="BKI5" s="12" t="s">
        <v>3428</v>
      </c>
      <c r="BKJ5" s="12" t="s">
        <v>3429</v>
      </c>
      <c r="BKK5" s="12" t="s">
        <v>3430</v>
      </c>
      <c r="BKL5" s="12" t="s">
        <v>3431</v>
      </c>
      <c r="BKM5" s="12" t="s">
        <v>3432</v>
      </c>
      <c r="BKN5" s="12" t="s">
        <v>3433</v>
      </c>
      <c r="BKO5" s="12" t="s">
        <v>3434</v>
      </c>
      <c r="BKP5" s="12" t="s">
        <v>3435</v>
      </c>
      <c r="BKQ5" s="12" t="s">
        <v>3436</v>
      </c>
      <c r="BKR5" s="12" t="s">
        <v>3437</v>
      </c>
      <c r="BKS5" s="12" t="s">
        <v>3438</v>
      </c>
      <c r="BKT5" s="12" t="s">
        <v>3439</v>
      </c>
      <c r="BKU5" s="12" t="s">
        <v>3440</v>
      </c>
      <c r="BKV5" s="12" t="s">
        <v>3441</v>
      </c>
      <c r="BKW5" s="12" t="s">
        <v>3442</v>
      </c>
      <c r="BKX5" s="12" t="s">
        <v>3443</v>
      </c>
      <c r="BKY5" s="12" t="s">
        <v>3444</v>
      </c>
      <c r="BKZ5" s="12" t="s">
        <v>3445</v>
      </c>
      <c r="BLA5" s="12" t="s">
        <v>3446</v>
      </c>
      <c r="BLB5" s="12" t="s">
        <v>3447</v>
      </c>
      <c r="BLC5" s="12" t="s">
        <v>3448</v>
      </c>
      <c r="BLD5" s="12" t="s">
        <v>3449</v>
      </c>
      <c r="BLE5" s="12" t="s">
        <v>3450</v>
      </c>
      <c r="BLF5" s="12" t="s">
        <v>3451</v>
      </c>
      <c r="BLG5" s="12" t="s">
        <v>3452</v>
      </c>
      <c r="BLH5" s="12" t="s">
        <v>3453</v>
      </c>
      <c r="BLI5" s="12" t="s">
        <v>3454</v>
      </c>
      <c r="BLJ5" s="12" t="s">
        <v>3455</v>
      </c>
      <c r="BLK5" s="12" t="s">
        <v>3456</v>
      </c>
      <c r="BLL5" s="12" t="s">
        <v>3457</v>
      </c>
      <c r="BLM5" s="12" t="s">
        <v>3458</v>
      </c>
      <c r="BLN5" s="12" t="s">
        <v>3459</v>
      </c>
      <c r="BLO5" s="12" t="s">
        <v>3460</v>
      </c>
      <c r="BLP5" s="12" t="s">
        <v>3461</v>
      </c>
      <c r="BLQ5" s="12" t="s">
        <v>3462</v>
      </c>
      <c r="BLR5" s="12" t="s">
        <v>3463</v>
      </c>
      <c r="BLS5" s="12" t="s">
        <v>3464</v>
      </c>
      <c r="BLT5" s="12" t="s">
        <v>3465</v>
      </c>
      <c r="BLU5" s="12" t="s">
        <v>3466</v>
      </c>
      <c r="BLV5" s="12" t="s">
        <v>3467</v>
      </c>
      <c r="BLW5" s="12" t="s">
        <v>3468</v>
      </c>
      <c r="BLX5" s="12" t="s">
        <v>3469</v>
      </c>
      <c r="BLY5" s="12" t="s">
        <v>3470</v>
      </c>
      <c r="BLZ5" s="12" t="s">
        <v>3471</v>
      </c>
      <c r="BMA5" s="12" t="s">
        <v>3472</v>
      </c>
      <c r="BMB5" s="12" t="s">
        <v>3473</v>
      </c>
      <c r="BMC5" s="12" t="s">
        <v>3474</v>
      </c>
      <c r="BMD5" s="12" t="s">
        <v>3475</v>
      </c>
      <c r="BME5" s="12" t="s">
        <v>3476</v>
      </c>
      <c r="BMF5" s="12" t="s">
        <v>3477</v>
      </c>
      <c r="BMG5" s="12" t="s">
        <v>3478</v>
      </c>
      <c r="BMH5" s="12" t="s">
        <v>3479</v>
      </c>
      <c r="BMI5" s="12" t="s">
        <v>3480</v>
      </c>
      <c r="BMJ5" s="12" t="s">
        <v>3481</v>
      </c>
      <c r="BMK5" s="12" t="s">
        <v>3482</v>
      </c>
      <c r="BML5" s="12" t="s">
        <v>3483</v>
      </c>
      <c r="BMM5" s="12" t="s">
        <v>3484</v>
      </c>
      <c r="BMN5" s="12" t="s">
        <v>3485</v>
      </c>
      <c r="BMO5" s="12" t="s">
        <v>3486</v>
      </c>
      <c r="BMP5" s="12" t="s">
        <v>3487</v>
      </c>
      <c r="BMQ5" s="12" t="s">
        <v>3488</v>
      </c>
      <c r="BMR5" s="12" t="s">
        <v>3489</v>
      </c>
      <c r="BMS5" s="12" t="s">
        <v>3490</v>
      </c>
      <c r="BMT5" s="12" t="s">
        <v>3491</v>
      </c>
      <c r="BMU5" s="12" t="s">
        <v>3492</v>
      </c>
      <c r="BMV5" s="12" t="s">
        <v>3493</v>
      </c>
      <c r="BMW5" s="12" t="s">
        <v>3494</v>
      </c>
      <c r="BMX5" s="12" t="s">
        <v>3495</v>
      </c>
      <c r="BMY5" s="12" t="s">
        <v>3496</v>
      </c>
      <c r="BMZ5" s="12" t="s">
        <v>3497</v>
      </c>
      <c r="BNA5" s="12" t="s">
        <v>3498</v>
      </c>
      <c r="BNB5" s="12" t="s">
        <v>3499</v>
      </c>
      <c r="BNC5" s="12" t="s">
        <v>3500</v>
      </c>
      <c r="BND5" s="12" t="s">
        <v>3501</v>
      </c>
      <c r="BNE5" s="12" t="s">
        <v>3502</v>
      </c>
      <c r="BNF5" s="12" t="s">
        <v>3503</v>
      </c>
      <c r="BNG5" s="12" t="s">
        <v>3504</v>
      </c>
      <c r="BNH5" s="12" t="s">
        <v>3505</v>
      </c>
      <c r="BNI5" s="12" t="s">
        <v>3506</v>
      </c>
      <c r="BNJ5" s="12" t="s">
        <v>3507</v>
      </c>
      <c r="BNK5" s="12" t="s">
        <v>3508</v>
      </c>
      <c r="BNL5" s="12" t="s">
        <v>3509</v>
      </c>
      <c r="BNM5" s="12" t="s">
        <v>3510</v>
      </c>
      <c r="BNN5" s="12" t="s">
        <v>3511</v>
      </c>
      <c r="BNO5" s="12" t="s">
        <v>3512</v>
      </c>
      <c r="BNP5" s="12" t="s">
        <v>3513</v>
      </c>
      <c r="BNQ5" s="12" t="s">
        <v>3514</v>
      </c>
      <c r="BNR5" s="12" t="s">
        <v>3515</v>
      </c>
      <c r="BNS5" s="12" t="s">
        <v>3516</v>
      </c>
      <c r="BNT5" s="12" t="s">
        <v>3517</v>
      </c>
      <c r="BNU5" s="12" t="s">
        <v>3518</v>
      </c>
      <c r="BNV5" s="12" t="s">
        <v>3519</v>
      </c>
      <c r="BNW5" s="12" t="s">
        <v>3520</v>
      </c>
      <c r="BNX5" s="12" t="s">
        <v>3521</v>
      </c>
      <c r="BNY5" s="12" t="s">
        <v>3522</v>
      </c>
      <c r="BNZ5" s="12" t="s">
        <v>3523</v>
      </c>
      <c r="BOA5" s="12" t="s">
        <v>3524</v>
      </c>
      <c r="BOB5" s="12" t="s">
        <v>3525</v>
      </c>
      <c r="BOC5" s="12" t="s">
        <v>3526</v>
      </c>
      <c r="BOD5" s="12" t="s">
        <v>3527</v>
      </c>
      <c r="BOE5" s="12" t="s">
        <v>3528</v>
      </c>
      <c r="BOF5" s="12" t="s">
        <v>3529</v>
      </c>
      <c r="BOG5" s="12" t="s">
        <v>3530</v>
      </c>
      <c r="BOH5" s="12" t="s">
        <v>3531</v>
      </c>
      <c r="BOI5" s="12" t="s">
        <v>3532</v>
      </c>
      <c r="BOJ5" s="12" t="s">
        <v>3533</v>
      </c>
      <c r="BOK5" s="12" t="s">
        <v>3534</v>
      </c>
      <c r="BOL5" s="12" t="s">
        <v>3535</v>
      </c>
      <c r="BOM5" s="12" t="s">
        <v>3536</v>
      </c>
      <c r="BON5" s="12" t="s">
        <v>3537</v>
      </c>
      <c r="BOO5" s="12" t="s">
        <v>3538</v>
      </c>
      <c r="BOP5" s="12" t="s">
        <v>3539</v>
      </c>
      <c r="BOQ5" s="12" t="s">
        <v>3540</v>
      </c>
      <c r="BOR5" s="12" t="s">
        <v>3541</v>
      </c>
      <c r="BOS5" s="12" t="s">
        <v>3542</v>
      </c>
      <c r="BOT5" s="12" t="s">
        <v>3543</v>
      </c>
      <c r="BOU5" s="12" t="s">
        <v>3544</v>
      </c>
      <c r="BOV5" s="12" t="s">
        <v>3545</v>
      </c>
      <c r="BOW5" s="12" t="s">
        <v>3546</v>
      </c>
      <c r="BOX5" s="12" t="s">
        <v>3547</v>
      </c>
      <c r="BOY5" s="12" t="s">
        <v>3548</v>
      </c>
      <c r="BOZ5" s="12" t="s">
        <v>3549</v>
      </c>
      <c r="BPA5" s="12" t="s">
        <v>3550</v>
      </c>
      <c r="BPB5" s="12" t="s">
        <v>3551</v>
      </c>
      <c r="BPC5" s="12" t="s">
        <v>3552</v>
      </c>
      <c r="BPD5" s="12" t="s">
        <v>3553</v>
      </c>
      <c r="BPE5" s="12" t="s">
        <v>3554</v>
      </c>
      <c r="BPF5" s="12" t="s">
        <v>3555</v>
      </c>
      <c r="BPG5" s="12" t="s">
        <v>3556</v>
      </c>
      <c r="BPH5" s="12" t="s">
        <v>3557</v>
      </c>
      <c r="BPI5" s="12" t="s">
        <v>3558</v>
      </c>
      <c r="BPJ5" s="12" t="s">
        <v>3559</v>
      </c>
      <c r="BPK5" s="12" t="s">
        <v>3560</v>
      </c>
      <c r="BPL5" s="12" t="s">
        <v>3561</v>
      </c>
      <c r="BPM5" s="12" t="s">
        <v>3562</v>
      </c>
      <c r="BPN5" s="12" t="s">
        <v>3563</v>
      </c>
      <c r="BPO5" s="12" t="s">
        <v>3564</v>
      </c>
      <c r="BPP5" s="12" t="s">
        <v>3565</v>
      </c>
      <c r="BPQ5" s="12" t="s">
        <v>3566</v>
      </c>
      <c r="BPR5" s="12" t="s">
        <v>3567</v>
      </c>
      <c r="BPS5" s="12" t="s">
        <v>3568</v>
      </c>
      <c r="BPT5" s="12" t="s">
        <v>3569</v>
      </c>
      <c r="BPU5" s="12" t="s">
        <v>3570</v>
      </c>
      <c r="BPV5" s="12" t="s">
        <v>3571</v>
      </c>
      <c r="BPW5" s="12" t="s">
        <v>3572</v>
      </c>
      <c r="BPX5" s="12" t="s">
        <v>3573</v>
      </c>
      <c r="BPY5" s="12" t="s">
        <v>3574</v>
      </c>
      <c r="BPZ5" s="12" t="s">
        <v>3575</v>
      </c>
      <c r="BQA5" s="12" t="s">
        <v>3576</v>
      </c>
      <c r="BQB5" s="12" t="s">
        <v>3577</v>
      </c>
      <c r="BQC5" s="12" t="s">
        <v>3578</v>
      </c>
      <c r="BQD5" s="12" t="s">
        <v>3579</v>
      </c>
      <c r="BQE5" s="12" t="s">
        <v>3580</v>
      </c>
      <c r="BQF5" s="12" t="s">
        <v>3581</v>
      </c>
      <c r="BQG5" s="12" t="s">
        <v>3582</v>
      </c>
      <c r="BQH5" s="12" t="s">
        <v>3583</v>
      </c>
      <c r="BQI5" s="12" t="s">
        <v>3584</v>
      </c>
      <c r="BQJ5" s="12" t="s">
        <v>3585</v>
      </c>
      <c r="BQK5" s="12" t="s">
        <v>3586</v>
      </c>
      <c r="BQL5" s="12" t="s">
        <v>3587</v>
      </c>
      <c r="BQM5" s="12" t="s">
        <v>3588</v>
      </c>
      <c r="BQN5" s="12" t="s">
        <v>3589</v>
      </c>
      <c r="BQO5" s="12" t="s">
        <v>3590</v>
      </c>
      <c r="BQP5" s="12" t="s">
        <v>3591</v>
      </c>
      <c r="BQQ5" s="12" t="s">
        <v>3592</v>
      </c>
      <c r="BQR5" s="12" t="s">
        <v>3593</v>
      </c>
      <c r="BQS5" s="12" t="s">
        <v>3594</v>
      </c>
      <c r="BQT5" s="12" t="s">
        <v>3595</v>
      </c>
      <c r="BQU5" s="12" t="s">
        <v>3596</v>
      </c>
      <c r="BQV5" s="12" t="s">
        <v>3597</v>
      </c>
      <c r="BQW5" s="12" t="s">
        <v>3598</v>
      </c>
      <c r="BQX5" s="12" t="s">
        <v>3599</v>
      </c>
      <c r="BQY5" s="12" t="s">
        <v>3600</v>
      </c>
      <c r="BQZ5" s="12" t="s">
        <v>3601</v>
      </c>
      <c r="BRA5" s="12" t="s">
        <v>3602</v>
      </c>
      <c r="BRB5" s="12" t="s">
        <v>3603</v>
      </c>
      <c r="BRC5" s="12" t="s">
        <v>3604</v>
      </c>
      <c r="BRD5" s="12" t="s">
        <v>3605</v>
      </c>
      <c r="BRE5" s="12" t="s">
        <v>3606</v>
      </c>
      <c r="BRF5" s="12" t="s">
        <v>3607</v>
      </c>
      <c r="BRG5" s="12" t="s">
        <v>3608</v>
      </c>
      <c r="BRH5" s="12" t="s">
        <v>3609</v>
      </c>
      <c r="BRI5" s="12" t="s">
        <v>3610</v>
      </c>
      <c r="BRJ5" s="12" t="s">
        <v>3611</v>
      </c>
      <c r="BRK5" s="12" t="s">
        <v>3612</v>
      </c>
      <c r="BRL5" s="12" t="s">
        <v>3613</v>
      </c>
      <c r="BRM5" s="12" t="s">
        <v>3614</v>
      </c>
      <c r="BRN5" s="12" t="s">
        <v>3615</v>
      </c>
      <c r="BRO5" s="12" t="s">
        <v>3616</v>
      </c>
      <c r="BRP5" s="12" t="s">
        <v>3617</v>
      </c>
      <c r="BRQ5" s="12" t="s">
        <v>3618</v>
      </c>
      <c r="BRR5" s="12" t="s">
        <v>3619</v>
      </c>
      <c r="BRS5" s="12" t="s">
        <v>3620</v>
      </c>
      <c r="BRT5" s="12" t="s">
        <v>3621</v>
      </c>
      <c r="BRU5" s="12" t="s">
        <v>3622</v>
      </c>
      <c r="BRV5" s="12" t="s">
        <v>3623</v>
      </c>
      <c r="BRW5" s="12" t="s">
        <v>3624</v>
      </c>
      <c r="BRX5" s="12" t="s">
        <v>3625</v>
      </c>
      <c r="BRY5" s="12" t="s">
        <v>3626</v>
      </c>
      <c r="BRZ5" s="12" t="s">
        <v>3627</v>
      </c>
      <c r="BSA5" s="12" t="s">
        <v>3628</v>
      </c>
      <c r="BSB5" s="12" t="s">
        <v>3629</v>
      </c>
      <c r="BSC5" s="12" t="s">
        <v>3630</v>
      </c>
      <c r="BSD5" s="12" t="s">
        <v>3631</v>
      </c>
      <c r="BSE5" s="12" t="s">
        <v>3632</v>
      </c>
      <c r="BSF5" s="12" t="s">
        <v>3633</v>
      </c>
      <c r="BSG5" s="12" t="s">
        <v>3634</v>
      </c>
      <c r="BSH5" s="12" t="s">
        <v>3635</v>
      </c>
      <c r="BSI5" s="12" t="s">
        <v>3636</v>
      </c>
      <c r="BSJ5" s="12" t="s">
        <v>3637</v>
      </c>
      <c r="BSK5" s="12" t="s">
        <v>3638</v>
      </c>
      <c r="BSL5" s="12" t="s">
        <v>3639</v>
      </c>
      <c r="BSM5" s="12" t="s">
        <v>3640</v>
      </c>
      <c r="BSN5" s="12" t="s">
        <v>3641</v>
      </c>
      <c r="BSO5" s="12" t="s">
        <v>3642</v>
      </c>
      <c r="BSP5" s="12" t="s">
        <v>3643</v>
      </c>
      <c r="BSQ5" s="12" t="s">
        <v>3644</v>
      </c>
      <c r="BSR5" s="12" t="s">
        <v>3645</v>
      </c>
      <c r="BSS5" s="12" t="s">
        <v>3646</v>
      </c>
      <c r="BST5" s="12" t="s">
        <v>3647</v>
      </c>
      <c r="BSU5" s="12" t="s">
        <v>3648</v>
      </c>
      <c r="BSV5" s="12" t="s">
        <v>3649</v>
      </c>
      <c r="BSW5" s="12" t="s">
        <v>3650</v>
      </c>
      <c r="BSX5" s="12" t="s">
        <v>3651</v>
      </c>
      <c r="BSY5" s="12" t="s">
        <v>3652</v>
      </c>
      <c r="BSZ5" s="12" t="s">
        <v>3653</v>
      </c>
      <c r="BTA5" s="12" t="s">
        <v>3654</v>
      </c>
      <c r="BTB5" s="12" t="s">
        <v>3655</v>
      </c>
      <c r="BTC5" s="12" t="s">
        <v>3656</v>
      </c>
      <c r="BTD5" s="12" t="s">
        <v>3657</v>
      </c>
      <c r="BTE5" s="12" t="s">
        <v>3658</v>
      </c>
      <c r="BTF5" s="12" t="s">
        <v>3659</v>
      </c>
      <c r="BTG5" s="12" t="s">
        <v>3660</v>
      </c>
      <c r="BTH5" s="12" t="s">
        <v>3661</v>
      </c>
      <c r="BTI5" s="12" t="s">
        <v>3662</v>
      </c>
      <c r="BTJ5" s="12" t="s">
        <v>3663</v>
      </c>
      <c r="BTK5" s="12" t="s">
        <v>3664</v>
      </c>
      <c r="BTL5" s="12" t="s">
        <v>3665</v>
      </c>
      <c r="BTM5" s="12" t="s">
        <v>3666</v>
      </c>
      <c r="BTN5" s="12" t="s">
        <v>3667</v>
      </c>
      <c r="BTO5" s="12" t="s">
        <v>3668</v>
      </c>
      <c r="BTP5" s="12" t="s">
        <v>3669</v>
      </c>
      <c r="BTQ5" s="12" t="s">
        <v>3670</v>
      </c>
      <c r="BTR5" s="12" t="s">
        <v>3671</v>
      </c>
      <c r="BTS5" s="12" t="s">
        <v>3672</v>
      </c>
      <c r="BTT5" s="12" t="s">
        <v>3673</v>
      </c>
      <c r="BTU5" s="12" t="s">
        <v>3674</v>
      </c>
      <c r="BTV5" s="12" t="s">
        <v>3675</v>
      </c>
      <c r="BTW5" s="12" t="s">
        <v>3676</v>
      </c>
      <c r="BTX5" s="12" t="s">
        <v>3677</v>
      </c>
      <c r="BTY5" s="12" t="s">
        <v>3678</v>
      </c>
      <c r="BTZ5" s="12" t="s">
        <v>3679</v>
      </c>
      <c r="BUA5" s="12" t="s">
        <v>3680</v>
      </c>
      <c r="BUB5" s="12" t="s">
        <v>3681</v>
      </c>
      <c r="BUC5" s="12" t="s">
        <v>3682</v>
      </c>
      <c r="BUD5" s="12" t="s">
        <v>3683</v>
      </c>
      <c r="BUE5" s="12" t="s">
        <v>3684</v>
      </c>
      <c r="BUF5" s="12" t="s">
        <v>3685</v>
      </c>
      <c r="BUG5" s="12" t="s">
        <v>3686</v>
      </c>
      <c r="BUH5" s="12" t="s">
        <v>3687</v>
      </c>
      <c r="BUI5" s="12" t="s">
        <v>3688</v>
      </c>
      <c r="BUJ5" s="12" t="s">
        <v>3689</v>
      </c>
      <c r="BUK5" s="12" t="s">
        <v>3690</v>
      </c>
      <c r="BUL5" s="12" t="s">
        <v>3691</v>
      </c>
      <c r="BUM5" s="12" t="s">
        <v>3692</v>
      </c>
      <c r="BUN5" s="12" t="s">
        <v>3693</v>
      </c>
      <c r="BUO5" s="12" t="s">
        <v>3694</v>
      </c>
      <c r="BUP5" s="12" t="s">
        <v>3695</v>
      </c>
      <c r="BUQ5" s="12" t="s">
        <v>3696</v>
      </c>
      <c r="BUR5" s="12" t="s">
        <v>3697</v>
      </c>
      <c r="BUS5" s="12" t="s">
        <v>3698</v>
      </c>
      <c r="BUT5" s="12" t="s">
        <v>3699</v>
      </c>
      <c r="BUU5" s="12" t="s">
        <v>3700</v>
      </c>
      <c r="BUV5" s="12" t="s">
        <v>3701</v>
      </c>
      <c r="BUW5" s="12" t="s">
        <v>3702</v>
      </c>
      <c r="BUX5" s="12" t="s">
        <v>3703</v>
      </c>
      <c r="BUY5" s="12" t="s">
        <v>3704</v>
      </c>
      <c r="BUZ5" s="12" t="s">
        <v>3705</v>
      </c>
      <c r="BVA5" s="12" t="s">
        <v>3706</v>
      </c>
      <c r="BVB5" s="12" t="s">
        <v>3707</v>
      </c>
      <c r="BVC5" s="12" t="s">
        <v>3708</v>
      </c>
      <c r="BVD5" s="12" t="s">
        <v>3709</v>
      </c>
      <c r="BVE5" s="12" t="s">
        <v>3710</v>
      </c>
      <c r="BVF5" s="12" t="s">
        <v>3711</v>
      </c>
      <c r="BVG5" s="12" t="s">
        <v>3712</v>
      </c>
      <c r="BVH5" s="12" t="s">
        <v>3713</v>
      </c>
      <c r="BVI5" s="12" t="s">
        <v>3714</v>
      </c>
      <c r="BVJ5" s="12" t="s">
        <v>3715</v>
      </c>
      <c r="BVK5" s="12" t="s">
        <v>3716</v>
      </c>
      <c r="BVL5" s="12" t="s">
        <v>3717</v>
      </c>
      <c r="BVM5" s="12" t="s">
        <v>3718</v>
      </c>
      <c r="BVN5" s="12" t="s">
        <v>3719</v>
      </c>
      <c r="BVO5" s="12" t="s">
        <v>3720</v>
      </c>
      <c r="BVP5" s="12" t="s">
        <v>3721</v>
      </c>
      <c r="BVQ5" s="12" t="s">
        <v>3722</v>
      </c>
      <c r="BVR5" s="12" t="s">
        <v>3723</v>
      </c>
      <c r="BVS5" s="12" t="s">
        <v>3724</v>
      </c>
      <c r="BVT5" s="12" t="s">
        <v>3725</v>
      </c>
      <c r="BVU5" s="12" t="s">
        <v>3726</v>
      </c>
      <c r="BVV5" s="12" t="s">
        <v>3727</v>
      </c>
      <c r="BVW5" s="12" t="s">
        <v>3728</v>
      </c>
      <c r="BVX5" s="12" t="s">
        <v>3729</v>
      </c>
      <c r="BVY5" s="12" t="s">
        <v>3730</v>
      </c>
      <c r="BVZ5" s="12" t="s">
        <v>3731</v>
      </c>
      <c r="BWA5" s="12" t="s">
        <v>3732</v>
      </c>
      <c r="BWB5" s="12" t="s">
        <v>3733</v>
      </c>
      <c r="BWC5" s="12" t="s">
        <v>3734</v>
      </c>
      <c r="BWD5" s="12" t="s">
        <v>3735</v>
      </c>
      <c r="BWE5" s="12" t="s">
        <v>3736</v>
      </c>
      <c r="BWF5" s="12" t="s">
        <v>3737</v>
      </c>
      <c r="BWG5" s="12" t="s">
        <v>3738</v>
      </c>
      <c r="BWH5" s="12" t="s">
        <v>3739</v>
      </c>
      <c r="BWI5" s="12" t="s">
        <v>3740</v>
      </c>
      <c r="BWJ5" s="12" t="s">
        <v>3741</v>
      </c>
      <c r="BWK5" s="12" t="s">
        <v>3742</v>
      </c>
      <c r="BWL5" s="12" t="s">
        <v>3743</v>
      </c>
      <c r="BWM5" s="12" t="s">
        <v>3744</v>
      </c>
      <c r="BWN5" s="12" t="s">
        <v>3745</v>
      </c>
      <c r="BWO5" s="12" t="s">
        <v>3746</v>
      </c>
      <c r="BWP5" s="12" t="s">
        <v>3747</v>
      </c>
      <c r="BWQ5" s="12" t="s">
        <v>3748</v>
      </c>
      <c r="BWR5" s="12" t="s">
        <v>3749</v>
      </c>
      <c r="BWS5" s="12" t="s">
        <v>3750</v>
      </c>
      <c r="BWT5" s="12" t="s">
        <v>3751</v>
      </c>
      <c r="BWU5" s="12" t="s">
        <v>3752</v>
      </c>
      <c r="BWV5" s="12" t="s">
        <v>3753</v>
      </c>
      <c r="BWW5" s="12" t="s">
        <v>3754</v>
      </c>
      <c r="BWX5" s="12" t="s">
        <v>3755</v>
      </c>
      <c r="BWY5" s="12" t="s">
        <v>3756</v>
      </c>
      <c r="BWZ5" s="12" t="s">
        <v>3757</v>
      </c>
      <c r="BXA5" s="12" t="s">
        <v>3758</v>
      </c>
      <c r="BXB5" s="12" t="s">
        <v>3759</v>
      </c>
      <c r="BXC5" s="12" t="s">
        <v>3760</v>
      </c>
      <c r="BXD5" s="12" t="s">
        <v>3761</v>
      </c>
      <c r="BXE5" s="12" t="s">
        <v>3762</v>
      </c>
      <c r="BXF5" s="12" t="s">
        <v>3763</v>
      </c>
      <c r="BXG5" s="12" t="s">
        <v>3764</v>
      </c>
      <c r="BXH5" s="12" t="s">
        <v>3765</v>
      </c>
      <c r="BXI5" s="12" t="s">
        <v>3766</v>
      </c>
      <c r="BXJ5" s="12" t="s">
        <v>3767</v>
      </c>
      <c r="BXK5" s="12" t="s">
        <v>3768</v>
      </c>
      <c r="BXL5" s="12" t="s">
        <v>3769</v>
      </c>
      <c r="BXM5" s="12" t="s">
        <v>3770</v>
      </c>
      <c r="BXN5" s="12" t="s">
        <v>3771</v>
      </c>
      <c r="BXO5" s="12" t="s">
        <v>3772</v>
      </c>
      <c r="BXP5" s="12" t="s">
        <v>3773</v>
      </c>
      <c r="BXQ5" s="12" t="s">
        <v>3774</v>
      </c>
      <c r="BXR5" s="12" t="s">
        <v>3775</v>
      </c>
      <c r="BXS5" s="12" t="s">
        <v>3776</v>
      </c>
      <c r="BXT5" s="12" t="s">
        <v>3777</v>
      </c>
      <c r="BXU5" s="12" t="s">
        <v>3778</v>
      </c>
      <c r="BXV5" s="12" t="s">
        <v>3779</v>
      </c>
      <c r="BXW5" s="12" t="s">
        <v>3780</v>
      </c>
      <c r="BXX5" s="12" t="s">
        <v>3781</v>
      </c>
      <c r="BXY5" s="12" t="s">
        <v>3782</v>
      </c>
      <c r="BXZ5" s="12" t="s">
        <v>3783</v>
      </c>
      <c r="BYA5" s="12" t="s">
        <v>3784</v>
      </c>
      <c r="BYB5" s="12" t="s">
        <v>3785</v>
      </c>
      <c r="BYC5" s="12" t="s">
        <v>3786</v>
      </c>
      <c r="BYD5" s="12" t="s">
        <v>3787</v>
      </c>
      <c r="BYE5" s="12" t="s">
        <v>3788</v>
      </c>
      <c r="BYF5" s="12" t="s">
        <v>3789</v>
      </c>
      <c r="BYG5" s="12" t="s">
        <v>3790</v>
      </c>
      <c r="BYH5" s="12" t="s">
        <v>3791</v>
      </c>
      <c r="BYI5" s="12" t="s">
        <v>3792</v>
      </c>
      <c r="BYJ5" s="12" t="s">
        <v>3793</v>
      </c>
      <c r="BYK5" s="12" t="s">
        <v>3794</v>
      </c>
      <c r="BYL5" s="12" t="s">
        <v>3795</v>
      </c>
      <c r="BYM5" s="12" t="s">
        <v>3796</v>
      </c>
      <c r="BYN5" s="12" t="s">
        <v>3797</v>
      </c>
      <c r="BYO5" s="12" t="s">
        <v>3798</v>
      </c>
      <c r="BYP5" s="12" t="s">
        <v>3799</v>
      </c>
      <c r="BYQ5" s="12" t="s">
        <v>3800</v>
      </c>
      <c r="BYR5" s="12" t="s">
        <v>3801</v>
      </c>
      <c r="BYS5" s="12" t="s">
        <v>3802</v>
      </c>
      <c r="BYT5" s="12" t="s">
        <v>3803</v>
      </c>
      <c r="BYU5" s="12" t="s">
        <v>3804</v>
      </c>
      <c r="BYV5" s="12" t="s">
        <v>3805</v>
      </c>
      <c r="BYW5" s="12" t="s">
        <v>3806</v>
      </c>
      <c r="BYX5" s="12" t="s">
        <v>3807</v>
      </c>
      <c r="BYY5" s="12" t="s">
        <v>3808</v>
      </c>
      <c r="BYZ5" s="12" t="s">
        <v>3809</v>
      </c>
      <c r="BZA5" s="12" t="s">
        <v>3810</v>
      </c>
      <c r="BZB5" s="12" t="s">
        <v>3811</v>
      </c>
      <c r="BZC5" s="12" t="s">
        <v>3812</v>
      </c>
      <c r="BZD5" s="12" t="s">
        <v>3813</v>
      </c>
      <c r="BZE5" s="12" t="s">
        <v>3814</v>
      </c>
      <c r="BZF5" s="12" t="s">
        <v>3815</v>
      </c>
      <c r="BZG5" s="12" t="s">
        <v>3816</v>
      </c>
      <c r="BZH5" s="12" t="s">
        <v>3817</v>
      </c>
      <c r="BZI5" s="12" t="s">
        <v>3818</v>
      </c>
      <c r="BZJ5" s="12" t="s">
        <v>3819</v>
      </c>
      <c r="BZK5" s="12" t="s">
        <v>3820</v>
      </c>
      <c r="BZL5" s="12" t="s">
        <v>3821</v>
      </c>
      <c r="BZM5" s="12" t="s">
        <v>3822</v>
      </c>
      <c r="BZN5" s="12" t="s">
        <v>3823</v>
      </c>
      <c r="BZO5" s="12" t="s">
        <v>3824</v>
      </c>
      <c r="BZP5" s="12" t="s">
        <v>3825</v>
      </c>
      <c r="BZQ5" s="12" t="s">
        <v>3826</v>
      </c>
      <c r="BZR5" s="12" t="s">
        <v>3827</v>
      </c>
      <c r="BZS5" s="12" t="s">
        <v>3828</v>
      </c>
      <c r="BZT5" s="12" t="s">
        <v>3829</v>
      </c>
      <c r="BZU5" s="12" t="s">
        <v>3830</v>
      </c>
      <c r="BZV5" s="12" t="s">
        <v>3831</v>
      </c>
      <c r="BZW5" s="12" t="s">
        <v>3832</v>
      </c>
      <c r="BZX5" s="12" t="s">
        <v>3833</v>
      </c>
      <c r="BZY5" s="12" t="s">
        <v>3834</v>
      </c>
      <c r="BZZ5" s="12" t="s">
        <v>3835</v>
      </c>
      <c r="CAA5" s="12" t="s">
        <v>3836</v>
      </c>
      <c r="CAB5" s="12" t="s">
        <v>3837</v>
      </c>
      <c r="CAC5" s="12" t="s">
        <v>3838</v>
      </c>
      <c r="CAD5" s="12" t="s">
        <v>3839</v>
      </c>
      <c r="CAE5" s="12" t="s">
        <v>3840</v>
      </c>
      <c r="CAF5" s="12" t="s">
        <v>3841</v>
      </c>
      <c r="CAG5" s="12" t="s">
        <v>3842</v>
      </c>
      <c r="CAH5" s="12" t="s">
        <v>3843</v>
      </c>
      <c r="CAI5" s="12" t="s">
        <v>3844</v>
      </c>
      <c r="CAJ5" s="12" t="s">
        <v>3845</v>
      </c>
      <c r="CAK5" s="12" t="s">
        <v>3846</v>
      </c>
      <c r="CAL5" s="12" t="s">
        <v>3847</v>
      </c>
      <c r="CAM5" s="12" t="s">
        <v>3848</v>
      </c>
      <c r="CAN5" s="12" t="s">
        <v>3849</v>
      </c>
      <c r="CAO5" s="12" t="s">
        <v>3850</v>
      </c>
      <c r="CAP5" s="12" t="s">
        <v>3851</v>
      </c>
      <c r="CAQ5" s="12" t="s">
        <v>3852</v>
      </c>
      <c r="CAR5" s="12" t="s">
        <v>3853</v>
      </c>
      <c r="CAS5" s="12" t="s">
        <v>3854</v>
      </c>
      <c r="CAT5" s="12" t="s">
        <v>3855</v>
      </c>
      <c r="CAU5" s="12" t="s">
        <v>3856</v>
      </c>
      <c r="CAV5" s="12" t="s">
        <v>3857</v>
      </c>
      <c r="CAW5" s="12" t="s">
        <v>3858</v>
      </c>
      <c r="CAX5" s="12" t="s">
        <v>3859</v>
      </c>
      <c r="CAY5" s="12" t="s">
        <v>3860</v>
      </c>
      <c r="CAZ5" s="12" t="s">
        <v>3861</v>
      </c>
      <c r="CBA5" s="12" t="s">
        <v>3862</v>
      </c>
      <c r="CBB5" s="12" t="s">
        <v>3863</v>
      </c>
      <c r="CBC5" s="12" t="s">
        <v>3864</v>
      </c>
      <c r="CBD5" s="12" t="s">
        <v>3865</v>
      </c>
      <c r="CBE5" s="12" t="s">
        <v>3866</v>
      </c>
      <c r="CBF5" s="12" t="s">
        <v>3867</v>
      </c>
      <c r="CBG5" s="12" t="s">
        <v>3868</v>
      </c>
      <c r="CBH5" s="12" t="s">
        <v>3869</v>
      </c>
      <c r="CBI5" s="12" t="s">
        <v>3870</v>
      </c>
      <c r="CBJ5" s="12" t="s">
        <v>3871</v>
      </c>
      <c r="CBK5" s="12" t="s">
        <v>3872</v>
      </c>
      <c r="CBL5" s="12" t="s">
        <v>3873</v>
      </c>
      <c r="CBM5" s="12" t="s">
        <v>3874</v>
      </c>
      <c r="CBN5" s="12" t="s">
        <v>3875</v>
      </c>
      <c r="CBO5" s="12" t="s">
        <v>3876</v>
      </c>
      <c r="CBP5" s="12" t="s">
        <v>3877</v>
      </c>
      <c r="CBQ5" s="12" t="s">
        <v>3878</v>
      </c>
      <c r="CBR5" s="12" t="s">
        <v>3879</v>
      </c>
      <c r="CBS5" s="12" t="s">
        <v>3880</v>
      </c>
      <c r="CBT5" s="12" t="s">
        <v>3881</v>
      </c>
      <c r="CBU5" s="12" t="s">
        <v>3882</v>
      </c>
      <c r="CBV5" s="12" t="s">
        <v>3883</v>
      </c>
      <c r="CBW5" s="12" t="s">
        <v>3884</v>
      </c>
      <c r="CBX5" s="12" t="s">
        <v>3885</v>
      </c>
      <c r="CBY5" s="12" t="s">
        <v>3886</v>
      </c>
      <c r="CBZ5" s="12" t="s">
        <v>3887</v>
      </c>
      <c r="CCA5" s="12" t="s">
        <v>3888</v>
      </c>
      <c r="CCB5" s="12" t="s">
        <v>3889</v>
      </c>
      <c r="CCC5" s="12" t="s">
        <v>3890</v>
      </c>
      <c r="CCD5" s="12" t="s">
        <v>3891</v>
      </c>
      <c r="CCE5" s="12" t="s">
        <v>3892</v>
      </c>
      <c r="CCF5" s="12" t="s">
        <v>3893</v>
      </c>
      <c r="CCG5" s="12" t="s">
        <v>3894</v>
      </c>
      <c r="CCH5" s="12" t="s">
        <v>3895</v>
      </c>
      <c r="CCI5" s="12" t="s">
        <v>3896</v>
      </c>
      <c r="CCJ5" s="12" t="s">
        <v>3897</v>
      </c>
      <c r="CCK5" s="12" t="s">
        <v>3898</v>
      </c>
      <c r="CCL5" s="12" t="s">
        <v>3899</v>
      </c>
      <c r="CCM5" s="12" t="s">
        <v>3900</v>
      </c>
      <c r="CCN5" s="12" t="s">
        <v>3901</v>
      </c>
      <c r="CCO5" s="12" t="s">
        <v>3902</v>
      </c>
      <c r="CCP5" s="12" t="s">
        <v>3903</v>
      </c>
      <c r="CCQ5" s="12" t="s">
        <v>3904</v>
      </c>
      <c r="CCR5" s="12" t="s">
        <v>3905</v>
      </c>
      <c r="CCS5" s="12" t="s">
        <v>3906</v>
      </c>
      <c r="CCT5" s="12" t="s">
        <v>3907</v>
      </c>
      <c r="CCU5" s="12" t="s">
        <v>3908</v>
      </c>
      <c r="CCV5" s="12" t="s">
        <v>3909</v>
      </c>
      <c r="CCW5" s="12" t="s">
        <v>3910</v>
      </c>
      <c r="CCX5" s="12" t="s">
        <v>3911</v>
      </c>
      <c r="CCY5" s="12" t="s">
        <v>3912</v>
      </c>
      <c r="CCZ5" s="12" t="s">
        <v>3913</v>
      </c>
      <c r="CDA5" s="12" t="s">
        <v>3914</v>
      </c>
      <c r="CDB5" s="12" t="s">
        <v>3915</v>
      </c>
      <c r="CDC5" s="12" t="s">
        <v>3916</v>
      </c>
      <c r="CDD5" s="12" t="s">
        <v>3917</v>
      </c>
      <c r="CDE5" s="12" t="s">
        <v>3918</v>
      </c>
      <c r="CDF5" s="12" t="s">
        <v>3919</v>
      </c>
      <c r="CDG5" s="12" t="s">
        <v>3920</v>
      </c>
      <c r="CDH5" s="12" t="s">
        <v>3921</v>
      </c>
      <c r="CDI5" s="12" t="s">
        <v>3922</v>
      </c>
      <c r="CDJ5" s="12" t="s">
        <v>3923</v>
      </c>
      <c r="CDK5" s="12" t="s">
        <v>3924</v>
      </c>
      <c r="CDL5" s="12" t="s">
        <v>3925</v>
      </c>
      <c r="CDM5" s="12" t="s">
        <v>3926</v>
      </c>
      <c r="CDN5" s="12" t="s">
        <v>3927</v>
      </c>
      <c r="CDO5" s="12" t="s">
        <v>3928</v>
      </c>
      <c r="CDP5" s="12" t="s">
        <v>3929</v>
      </c>
      <c r="CDQ5" s="12" t="s">
        <v>3930</v>
      </c>
      <c r="CDR5" s="12" t="s">
        <v>3931</v>
      </c>
      <c r="CDS5" s="12" t="s">
        <v>3932</v>
      </c>
      <c r="CDT5" s="12" t="s">
        <v>3933</v>
      </c>
      <c r="CDU5" s="12" t="s">
        <v>3934</v>
      </c>
      <c r="CDV5" s="12" t="s">
        <v>3935</v>
      </c>
      <c r="CDW5" s="12" t="s">
        <v>3936</v>
      </c>
      <c r="CDX5" s="12" t="s">
        <v>3937</v>
      </c>
      <c r="CDY5" s="12" t="s">
        <v>3938</v>
      </c>
      <c r="CDZ5" s="12" t="s">
        <v>3939</v>
      </c>
      <c r="CEA5" s="12" t="s">
        <v>3940</v>
      </c>
      <c r="CEB5" s="12" t="s">
        <v>3941</v>
      </c>
      <c r="CEC5" s="12" t="s">
        <v>3942</v>
      </c>
      <c r="CED5" s="12" t="s">
        <v>3943</v>
      </c>
      <c r="CEE5" s="12" t="s">
        <v>3944</v>
      </c>
      <c r="CEF5" s="12" t="s">
        <v>3945</v>
      </c>
      <c r="CEG5" s="12" t="s">
        <v>3946</v>
      </c>
      <c r="CEH5" s="12" t="s">
        <v>3947</v>
      </c>
      <c r="CEI5" s="12" t="s">
        <v>3948</v>
      </c>
      <c r="CEJ5" s="12" t="s">
        <v>3949</v>
      </c>
      <c r="CEK5" s="12" t="s">
        <v>3950</v>
      </c>
      <c r="CEL5" s="12" t="s">
        <v>3951</v>
      </c>
      <c r="CEM5" s="12" t="s">
        <v>3952</v>
      </c>
      <c r="CEN5" s="12" t="s">
        <v>3953</v>
      </c>
      <c r="CEO5" s="12" t="s">
        <v>3954</v>
      </c>
      <c r="CEP5" s="12" t="s">
        <v>3955</v>
      </c>
      <c r="CEQ5" s="12" t="s">
        <v>3956</v>
      </c>
      <c r="CER5" s="12" t="s">
        <v>3957</v>
      </c>
      <c r="CES5" s="12" t="s">
        <v>3958</v>
      </c>
      <c r="CET5" s="12" t="s">
        <v>3959</v>
      </c>
      <c r="CEU5" s="12" t="s">
        <v>3960</v>
      </c>
      <c r="CEV5" s="12" t="s">
        <v>3961</v>
      </c>
      <c r="CEW5" s="12" t="s">
        <v>3962</v>
      </c>
      <c r="CEX5" s="12" t="s">
        <v>3963</v>
      </c>
      <c r="CEY5" s="12" t="s">
        <v>3964</v>
      </c>
      <c r="CEZ5" s="12" t="s">
        <v>3965</v>
      </c>
      <c r="CFA5" s="12" t="s">
        <v>3966</v>
      </c>
      <c r="CFB5" s="12" t="s">
        <v>3967</v>
      </c>
      <c r="CFC5" s="12" t="s">
        <v>3968</v>
      </c>
      <c r="CFD5" s="12" t="s">
        <v>3969</v>
      </c>
      <c r="CFE5" s="12" t="s">
        <v>3970</v>
      </c>
      <c r="CFF5" s="12" t="s">
        <v>3971</v>
      </c>
      <c r="CFG5" s="12" t="s">
        <v>3972</v>
      </c>
      <c r="CFH5" s="12" t="s">
        <v>3973</v>
      </c>
      <c r="CFI5" s="12" t="s">
        <v>3974</v>
      </c>
      <c r="CFJ5" s="12" t="s">
        <v>3975</v>
      </c>
      <c r="CFK5" s="12" t="s">
        <v>3976</v>
      </c>
      <c r="CFL5" s="12" t="s">
        <v>3977</v>
      </c>
      <c r="CFM5" s="12" t="s">
        <v>3978</v>
      </c>
      <c r="CFN5" s="12" t="s">
        <v>3979</v>
      </c>
      <c r="CFO5" s="12" t="s">
        <v>3980</v>
      </c>
      <c r="CFP5" s="12" t="s">
        <v>3981</v>
      </c>
      <c r="CFQ5" s="12" t="s">
        <v>3982</v>
      </c>
      <c r="CFR5" s="12" t="s">
        <v>3983</v>
      </c>
      <c r="CFS5" s="12" t="s">
        <v>3984</v>
      </c>
      <c r="CFT5" s="12" t="s">
        <v>3985</v>
      </c>
      <c r="CFU5" s="12" t="s">
        <v>3986</v>
      </c>
      <c r="CFV5" s="12" t="s">
        <v>3987</v>
      </c>
      <c r="CFW5" s="12" t="s">
        <v>3988</v>
      </c>
      <c r="CFX5" s="12" t="s">
        <v>3989</v>
      </c>
      <c r="CFY5" s="12" t="s">
        <v>3990</v>
      </c>
      <c r="CFZ5" s="12" t="s">
        <v>3991</v>
      </c>
      <c r="CGA5" s="12" t="s">
        <v>3992</v>
      </c>
      <c r="CGB5" s="12" t="s">
        <v>3993</v>
      </c>
      <c r="CGC5" s="12" t="s">
        <v>3994</v>
      </c>
      <c r="CGD5" s="12" t="s">
        <v>3995</v>
      </c>
      <c r="CGE5" s="12" t="s">
        <v>3996</v>
      </c>
      <c r="CGF5" s="12" t="s">
        <v>3997</v>
      </c>
      <c r="CGG5" s="12" t="s">
        <v>3998</v>
      </c>
      <c r="CGH5" s="12" t="s">
        <v>3999</v>
      </c>
      <c r="CGI5" s="12" t="s">
        <v>4000</v>
      </c>
      <c r="CGJ5" s="12" t="s">
        <v>4001</v>
      </c>
      <c r="CGK5" s="12" t="s">
        <v>4002</v>
      </c>
      <c r="CGL5" s="12" t="s">
        <v>4003</v>
      </c>
      <c r="CGM5" s="12" t="s">
        <v>4004</v>
      </c>
      <c r="CGN5" s="12" t="s">
        <v>4005</v>
      </c>
      <c r="CGO5" s="12" t="s">
        <v>4006</v>
      </c>
      <c r="CGP5" s="12" t="s">
        <v>4007</v>
      </c>
      <c r="CGQ5" s="12" t="s">
        <v>4008</v>
      </c>
      <c r="CGR5" s="12" t="s">
        <v>4009</v>
      </c>
      <c r="CGS5" s="12" t="s">
        <v>4010</v>
      </c>
      <c r="CGT5" s="12" t="s">
        <v>4011</v>
      </c>
      <c r="CGU5" s="12" t="s">
        <v>4012</v>
      </c>
      <c r="CGV5" s="12" t="s">
        <v>4013</v>
      </c>
      <c r="CGW5" s="12" t="s">
        <v>4014</v>
      </c>
      <c r="CGX5" s="12" t="s">
        <v>4015</v>
      </c>
      <c r="CGY5" s="12" t="s">
        <v>4016</v>
      </c>
      <c r="CGZ5" s="12" t="s">
        <v>4017</v>
      </c>
      <c r="CHA5" s="12" t="s">
        <v>4018</v>
      </c>
      <c r="CHB5" s="12" t="s">
        <v>4019</v>
      </c>
      <c r="CHC5" s="12" t="s">
        <v>4020</v>
      </c>
      <c r="CHD5" s="12" t="s">
        <v>4021</v>
      </c>
      <c r="CHE5" s="12" t="s">
        <v>4022</v>
      </c>
      <c r="CHF5" s="12" t="s">
        <v>4023</v>
      </c>
      <c r="CHG5" s="12" t="s">
        <v>4024</v>
      </c>
      <c r="CHH5" s="12" t="s">
        <v>4025</v>
      </c>
      <c r="CHI5" s="12" t="s">
        <v>4026</v>
      </c>
      <c r="CHJ5" s="12" t="s">
        <v>4027</v>
      </c>
      <c r="CHK5" s="12" t="s">
        <v>4028</v>
      </c>
      <c r="CHL5" s="12" t="s">
        <v>4029</v>
      </c>
      <c r="CHM5" s="12" t="s">
        <v>4030</v>
      </c>
      <c r="CHN5" s="12" t="s">
        <v>4031</v>
      </c>
      <c r="CHO5" s="12" t="s">
        <v>4032</v>
      </c>
      <c r="CHP5" s="12" t="s">
        <v>4033</v>
      </c>
      <c r="CHQ5" s="12" t="s">
        <v>4034</v>
      </c>
      <c r="CHR5" s="12" t="s">
        <v>4035</v>
      </c>
      <c r="CHS5" s="12" t="s">
        <v>4036</v>
      </c>
      <c r="CHT5" s="12" t="s">
        <v>4037</v>
      </c>
      <c r="CHU5" s="12" t="s">
        <v>4038</v>
      </c>
      <c r="CHV5" s="12" t="s">
        <v>4039</v>
      </c>
      <c r="CHW5" s="12" t="s">
        <v>4040</v>
      </c>
      <c r="CHX5" s="12" t="s">
        <v>4041</v>
      </c>
      <c r="CHY5" s="12" t="s">
        <v>4042</v>
      </c>
      <c r="CHZ5" s="12" t="s">
        <v>4043</v>
      </c>
      <c r="CIA5" s="12" t="s">
        <v>4044</v>
      </c>
      <c r="CIB5" s="12" t="s">
        <v>4045</v>
      </c>
      <c r="CIC5" s="12" t="s">
        <v>4046</v>
      </c>
      <c r="CID5" s="12" t="s">
        <v>4047</v>
      </c>
      <c r="CIE5" s="12" t="s">
        <v>4048</v>
      </c>
      <c r="CIF5" s="12" t="s">
        <v>4049</v>
      </c>
      <c r="CIG5" s="12" t="s">
        <v>4050</v>
      </c>
      <c r="CIH5" s="12" t="s">
        <v>4051</v>
      </c>
      <c r="CII5" s="12" t="s">
        <v>4052</v>
      </c>
      <c r="CIJ5" s="12" t="s">
        <v>4053</v>
      </c>
      <c r="CIK5" s="12" t="s">
        <v>4054</v>
      </c>
      <c r="CIL5" s="12" t="s">
        <v>4055</v>
      </c>
      <c r="CIM5" s="12" t="s">
        <v>4056</v>
      </c>
      <c r="CIN5" s="12" t="s">
        <v>4057</v>
      </c>
      <c r="CIO5" s="12" t="s">
        <v>4058</v>
      </c>
      <c r="CIP5" s="12" t="s">
        <v>4059</v>
      </c>
      <c r="CIQ5" s="12" t="s">
        <v>4060</v>
      </c>
      <c r="CIR5" s="12" t="s">
        <v>4061</v>
      </c>
      <c r="CIS5" s="12" t="s">
        <v>4062</v>
      </c>
      <c r="CIT5" s="12" t="s">
        <v>4063</v>
      </c>
      <c r="CIU5" s="12" t="s">
        <v>4064</v>
      </c>
      <c r="CIV5" s="12" t="s">
        <v>4065</v>
      </c>
      <c r="CIW5" s="12" t="s">
        <v>4066</v>
      </c>
      <c r="CIX5" s="12" t="s">
        <v>4067</v>
      </c>
      <c r="CIY5" s="12" t="s">
        <v>4068</v>
      </c>
      <c r="CIZ5" s="12" t="s">
        <v>4069</v>
      </c>
      <c r="CJA5" s="12" t="s">
        <v>4070</v>
      </c>
      <c r="CJB5" s="12" t="s">
        <v>4071</v>
      </c>
      <c r="CJC5" s="12" t="s">
        <v>4072</v>
      </c>
      <c r="CJD5" s="12" t="s">
        <v>4073</v>
      </c>
      <c r="CJE5" s="12" t="s">
        <v>4074</v>
      </c>
      <c r="CJF5" s="12" t="s">
        <v>4075</v>
      </c>
      <c r="CJG5" s="12" t="s">
        <v>4076</v>
      </c>
      <c r="CJH5" s="12" t="s">
        <v>4077</v>
      </c>
      <c r="CJI5" s="12" t="s">
        <v>4078</v>
      </c>
      <c r="CJJ5" s="12" t="s">
        <v>4079</v>
      </c>
      <c r="CJK5" s="12" t="s">
        <v>4080</v>
      </c>
      <c r="CJL5" s="12" t="s">
        <v>4081</v>
      </c>
      <c r="CJM5" s="12" t="s">
        <v>4082</v>
      </c>
      <c r="CJN5" s="12" t="s">
        <v>4083</v>
      </c>
      <c r="CJO5" s="12" t="s">
        <v>4084</v>
      </c>
      <c r="CJP5" s="12" t="s">
        <v>4085</v>
      </c>
      <c r="CJQ5" s="12" t="s">
        <v>4086</v>
      </c>
      <c r="CJR5" s="12" t="s">
        <v>4087</v>
      </c>
      <c r="CJS5" s="12" t="s">
        <v>4088</v>
      </c>
      <c r="CJT5" s="12" t="s">
        <v>4089</v>
      </c>
      <c r="CJU5" s="12" t="s">
        <v>4090</v>
      </c>
      <c r="CJV5" s="12" t="s">
        <v>4091</v>
      </c>
      <c r="CJW5" s="12" t="s">
        <v>4092</v>
      </c>
      <c r="CJX5" s="12" t="s">
        <v>4093</v>
      </c>
      <c r="CJY5" s="12" t="s">
        <v>4094</v>
      </c>
      <c r="CJZ5" s="12" t="s">
        <v>4095</v>
      </c>
      <c r="CKA5" s="12" t="s">
        <v>4096</v>
      </c>
      <c r="CKB5" s="12" t="s">
        <v>4097</v>
      </c>
      <c r="CKC5" s="12" t="s">
        <v>4098</v>
      </c>
      <c r="CKD5" s="12" t="s">
        <v>4099</v>
      </c>
      <c r="CKE5" s="12" t="s">
        <v>4100</v>
      </c>
      <c r="CKF5" s="12" t="s">
        <v>4101</v>
      </c>
      <c r="CKG5" s="12" t="s">
        <v>4102</v>
      </c>
      <c r="CKH5" s="12" t="s">
        <v>4103</v>
      </c>
      <c r="CKI5" s="12" t="s">
        <v>4104</v>
      </c>
      <c r="CKJ5" s="12" t="s">
        <v>4105</v>
      </c>
      <c r="CKK5" s="12" t="s">
        <v>4106</v>
      </c>
      <c r="CKL5" s="12" t="s">
        <v>4107</v>
      </c>
      <c r="CKM5" s="12" t="s">
        <v>4108</v>
      </c>
      <c r="CKN5" s="12" t="s">
        <v>4109</v>
      </c>
      <c r="CKO5" s="12" t="s">
        <v>4110</v>
      </c>
      <c r="CKP5" s="12" t="s">
        <v>4111</v>
      </c>
      <c r="CKQ5" s="12" t="s">
        <v>4112</v>
      </c>
      <c r="CKR5" s="12" t="s">
        <v>4113</v>
      </c>
      <c r="CKS5" s="12" t="s">
        <v>4114</v>
      </c>
      <c r="CKT5" s="12" t="s">
        <v>4115</v>
      </c>
      <c r="CKU5" s="12" t="s">
        <v>4116</v>
      </c>
      <c r="CKV5" s="12" t="s">
        <v>4117</v>
      </c>
      <c r="CKW5" s="12" t="s">
        <v>4118</v>
      </c>
      <c r="CKX5" s="12" t="s">
        <v>4119</v>
      </c>
      <c r="CKY5" s="12" t="s">
        <v>4120</v>
      </c>
      <c r="CKZ5" s="12" t="s">
        <v>4121</v>
      </c>
      <c r="CLA5" s="12" t="s">
        <v>4122</v>
      </c>
      <c r="CLB5" s="12" t="s">
        <v>4123</v>
      </c>
      <c r="CLC5" s="12" t="s">
        <v>4124</v>
      </c>
      <c r="CLD5" s="12" t="s">
        <v>4125</v>
      </c>
      <c r="CLE5" s="12" t="s">
        <v>4126</v>
      </c>
      <c r="CLF5" s="12" t="s">
        <v>4127</v>
      </c>
      <c r="CLG5" s="12" t="s">
        <v>4128</v>
      </c>
      <c r="CLH5" s="12" t="s">
        <v>4129</v>
      </c>
      <c r="CLI5" s="12" t="s">
        <v>4130</v>
      </c>
      <c r="CLJ5" s="12" t="s">
        <v>4131</v>
      </c>
      <c r="CLK5" s="12" t="s">
        <v>4132</v>
      </c>
      <c r="CLL5" s="12" t="s">
        <v>4133</v>
      </c>
      <c r="CLM5" s="12" t="s">
        <v>4134</v>
      </c>
      <c r="CLN5" s="12" t="s">
        <v>4135</v>
      </c>
      <c r="CLO5" s="12" t="s">
        <v>4136</v>
      </c>
      <c r="CLP5" s="12" t="s">
        <v>4137</v>
      </c>
      <c r="CLQ5" s="12" t="s">
        <v>4138</v>
      </c>
      <c r="CLR5" s="12" t="s">
        <v>4139</v>
      </c>
      <c r="CLS5" s="12" t="s">
        <v>4140</v>
      </c>
      <c r="CLT5" s="12" t="s">
        <v>4141</v>
      </c>
      <c r="CLU5" s="12" t="s">
        <v>4142</v>
      </c>
      <c r="CLV5" s="12" t="s">
        <v>4143</v>
      </c>
      <c r="CLW5" s="12" t="s">
        <v>4144</v>
      </c>
      <c r="CLX5" s="12" t="s">
        <v>4145</v>
      </c>
      <c r="CLY5" s="12" t="s">
        <v>4146</v>
      </c>
      <c r="CLZ5" s="12" t="s">
        <v>4147</v>
      </c>
      <c r="CMA5" s="12" t="s">
        <v>4148</v>
      </c>
      <c r="CMB5" s="12" t="s">
        <v>4149</v>
      </c>
      <c r="CMC5" s="12" t="s">
        <v>4150</v>
      </c>
      <c r="CMD5" s="12" t="s">
        <v>4151</v>
      </c>
      <c r="CME5" s="12" t="s">
        <v>4152</v>
      </c>
      <c r="CMF5" s="12" t="s">
        <v>4153</v>
      </c>
      <c r="CMG5" s="12" t="s">
        <v>4154</v>
      </c>
      <c r="CMH5" s="12" t="s">
        <v>4155</v>
      </c>
      <c r="CMI5" s="12" t="s">
        <v>4156</v>
      </c>
      <c r="CMJ5" s="12" t="s">
        <v>4157</v>
      </c>
      <c r="CMK5" s="12" t="s">
        <v>4158</v>
      </c>
      <c r="CML5" s="12" t="s">
        <v>4159</v>
      </c>
      <c r="CMM5" s="12" t="s">
        <v>4160</v>
      </c>
      <c r="CMN5" s="12" t="s">
        <v>4161</v>
      </c>
      <c r="CMO5" s="12" t="s">
        <v>4162</v>
      </c>
      <c r="CMP5" s="12" t="s">
        <v>4163</v>
      </c>
      <c r="CMQ5" s="12" t="s">
        <v>4164</v>
      </c>
      <c r="CMR5" s="12" t="s">
        <v>4165</v>
      </c>
      <c r="CMS5" s="12" t="s">
        <v>4166</v>
      </c>
      <c r="CMT5" s="12" t="s">
        <v>4167</v>
      </c>
      <c r="CMU5" s="12" t="s">
        <v>4168</v>
      </c>
      <c r="CMV5" s="12" t="s">
        <v>4169</v>
      </c>
      <c r="CMW5" s="12" t="s">
        <v>4170</v>
      </c>
      <c r="CMX5" s="12" t="s">
        <v>4171</v>
      </c>
      <c r="CMY5" s="12" t="s">
        <v>4172</v>
      </c>
      <c r="CMZ5" s="12" t="s">
        <v>4173</v>
      </c>
      <c r="CNA5" s="12" t="s">
        <v>4174</v>
      </c>
      <c r="CNB5" s="12" t="s">
        <v>4175</v>
      </c>
      <c r="CNC5" s="12" t="s">
        <v>4176</v>
      </c>
      <c r="CND5" s="12" t="s">
        <v>4177</v>
      </c>
      <c r="CNE5" s="12" t="s">
        <v>4178</v>
      </c>
      <c r="CNF5" s="12" t="s">
        <v>4179</v>
      </c>
      <c r="CNG5" s="12" t="s">
        <v>4180</v>
      </c>
      <c r="CNH5" s="12" t="s">
        <v>4181</v>
      </c>
      <c r="CNI5" s="12" t="s">
        <v>4182</v>
      </c>
      <c r="CNJ5" s="12" t="s">
        <v>4183</v>
      </c>
      <c r="CNK5" s="12" t="s">
        <v>4184</v>
      </c>
      <c r="CNL5" s="12" t="s">
        <v>4185</v>
      </c>
      <c r="CNM5" s="12" t="s">
        <v>4186</v>
      </c>
      <c r="CNN5" s="12" t="s">
        <v>4187</v>
      </c>
      <c r="CNO5" s="12" t="s">
        <v>4188</v>
      </c>
      <c r="CNP5" s="12" t="s">
        <v>4189</v>
      </c>
      <c r="CNQ5" s="12" t="s">
        <v>4190</v>
      </c>
      <c r="CNR5" s="12" t="s">
        <v>4191</v>
      </c>
      <c r="CNS5" s="12" t="s">
        <v>4192</v>
      </c>
      <c r="CNT5" s="12" t="s">
        <v>4193</v>
      </c>
      <c r="CNU5" s="12" t="s">
        <v>4194</v>
      </c>
      <c r="CNV5" s="12" t="s">
        <v>4195</v>
      </c>
      <c r="CNW5" s="12" t="s">
        <v>4196</v>
      </c>
      <c r="CNX5" s="12" t="s">
        <v>4197</v>
      </c>
      <c r="CNY5" s="12" t="s">
        <v>4198</v>
      </c>
      <c r="CNZ5" s="12" t="s">
        <v>4199</v>
      </c>
      <c r="COA5" s="12" t="s">
        <v>4200</v>
      </c>
      <c r="COB5" s="12" t="s">
        <v>4201</v>
      </c>
      <c r="COC5" s="12" t="s">
        <v>4202</v>
      </c>
      <c r="COD5" s="12" t="s">
        <v>4203</v>
      </c>
      <c r="COE5" s="12" t="s">
        <v>4204</v>
      </c>
      <c r="COF5" s="12" t="s">
        <v>4205</v>
      </c>
      <c r="COG5" s="12" t="s">
        <v>4206</v>
      </c>
      <c r="COH5" s="12" t="s">
        <v>4207</v>
      </c>
      <c r="COI5" s="12" t="s">
        <v>4208</v>
      </c>
      <c r="COJ5" s="12" t="s">
        <v>4209</v>
      </c>
      <c r="COK5" s="12" t="s">
        <v>4210</v>
      </c>
      <c r="COL5" s="12" t="s">
        <v>4211</v>
      </c>
      <c r="COM5" s="12" t="s">
        <v>4212</v>
      </c>
      <c r="CON5" s="12" t="s">
        <v>4213</v>
      </c>
      <c r="COO5" s="12" t="s">
        <v>4214</v>
      </c>
      <c r="COP5" s="12" t="s">
        <v>4215</v>
      </c>
      <c r="COQ5" s="12" t="s">
        <v>4216</v>
      </c>
      <c r="COR5" s="12" t="s">
        <v>4217</v>
      </c>
      <c r="COS5" s="12" t="s">
        <v>4218</v>
      </c>
      <c r="COT5" s="12" t="s">
        <v>4219</v>
      </c>
      <c r="COU5" s="12" t="s">
        <v>4220</v>
      </c>
      <c r="COV5" s="12" t="s">
        <v>4221</v>
      </c>
      <c r="COW5" s="12" t="s">
        <v>4222</v>
      </c>
      <c r="COX5" s="12" t="s">
        <v>4223</v>
      </c>
      <c r="COY5" s="12" t="s">
        <v>4224</v>
      </c>
      <c r="COZ5" s="12" t="s">
        <v>4225</v>
      </c>
      <c r="CPA5" s="12" t="s">
        <v>4226</v>
      </c>
      <c r="CPB5" s="12" t="s">
        <v>4227</v>
      </c>
      <c r="CPC5" s="12" t="s">
        <v>4228</v>
      </c>
      <c r="CPD5" s="12" t="s">
        <v>4229</v>
      </c>
      <c r="CPE5" s="12" t="s">
        <v>4230</v>
      </c>
      <c r="CPF5" s="12" t="s">
        <v>4231</v>
      </c>
      <c r="CPG5" s="12" t="s">
        <v>4232</v>
      </c>
      <c r="CPH5" s="12" t="s">
        <v>4233</v>
      </c>
      <c r="CPI5" s="12" t="s">
        <v>4234</v>
      </c>
      <c r="CPJ5" s="12" t="s">
        <v>4235</v>
      </c>
      <c r="CPK5" s="12" t="s">
        <v>4236</v>
      </c>
      <c r="CPL5" s="12" t="s">
        <v>4237</v>
      </c>
      <c r="CPM5" s="12" t="s">
        <v>4238</v>
      </c>
      <c r="CPN5" s="12" t="s">
        <v>4239</v>
      </c>
      <c r="CPO5" s="12" t="s">
        <v>4240</v>
      </c>
      <c r="CPP5" s="12" t="s">
        <v>4241</v>
      </c>
      <c r="CPQ5" s="12" t="s">
        <v>4242</v>
      </c>
      <c r="CPR5" s="12" t="s">
        <v>4243</v>
      </c>
      <c r="CPS5" s="12" t="s">
        <v>4244</v>
      </c>
      <c r="CPT5" s="12" t="s">
        <v>4245</v>
      </c>
      <c r="CPU5" s="12" t="s">
        <v>4246</v>
      </c>
      <c r="CPV5" s="12" t="s">
        <v>4247</v>
      </c>
      <c r="CPW5" s="12" t="s">
        <v>4248</v>
      </c>
      <c r="CPX5" s="12" t="s">
        <v>4249</v>
      </c>
      <c r="CPY5" s="12" t="s">
        <v>4250</v>
      </c>
      <c r="CPZ5" s="12" t="s">
        <v>4251</v>
      </c>
      <c r="CQA5" s="12" t="s">
        <v>4252</v>
      </c>
      <c r="CQB5" s="12" t="s">
        <v>4253</v>
      </c>
      <c r="CQC5" s="12" t="s">
        <v>4254</v>
      </c>
      <c r="CQD5" s="12" t="s">
        <v>4255</v>
      </c>
      <c r="CQE5" s="12" t="s">
        <v>4256</v>
      </c>
      <c r="CQF5" s="12" t="s">
        <v>4257</v>
      </c>
      <c r="CQG5" s="12" t="s">
        <v>4258</v>
      </c>
      <c r="CQH5" s="12" t="s">
        <v>4259</v>
      </c>
      <c r="CQI5" s="12" t="s">
        <v>4260</v>
      </c>
      <c r="CQJ5" s="12" t="s">
        <v>4261</v>
      </c>
      <c r="CQK5" s="12" t="s">
        <v>4262</v>
      </c>
      <c r="CQL5" s="12" t="s">
        <v>4263</v>
      </c>
      <c r="CQM5" s="12" t="s">
        <v>4264</v>
      </c>
      <c r="CQN5" s="12" t="s">
        <v>4265</v>
      </c>
      <c r="CQO5" s="12" t="s">
        <v>4266</v>
      </c>
      <c r="CQP5" s="12" t="s">
        <v>4267</v>
      </c>
      <c r="CQQ5" s="12" t="s">
        <v>4268</v>
      </c>
      <c r="CQR5" s="12" t="s">
        <v>4269</v>
      </c>
      <c r="CQS5" s="12" t="s">
        <v>4270</v>
      </c>
      <c r="CQT5" s="12" t="s">
        <v>4271</v>
      </c>
      <c r="CQU5" s="12" t="s">
        <v>4272</v>
      </c>
      <c r="CQV5" s="12" t="s">
        <v>4273</v>
      </c>
      <c r="CQW5" s="12" t="s">
        <v>4274</v>
      </c>
      <c r="CQX5" s="12" t="s">
        <v>4275</v>
      </c>
      <c r="CQY5" s="12" t="s">
        <v>4276</v>
      </c>
      <c r="CQZ5" s="12" t="s">
        <v>4277</v>
      </c>
      <c r="CRA5" s="12" t="s">
        <v>4278</v>
      </c>
      <c r="CRB5" s="12" t="s">
        <v>4279</v>
      </c>
      <c r="CRC5" s="12" t="s">
        <v>4280</v>
      </c>
      <c r="CRD5" s="12" t="s">
        <v>4281</v>
      </c>
      <c r="CRE5" s="12" t="s">
        <v>4282</v>
      </c>
      <c r="CRF5" s="12" t="s">
        <v>4283</v>
      </c>
      <c r="CRG5" s="12" t="s">
        <v>4284</v>
      </c>
      <c r="CRH5" s="12" t="s">
        <v>4285</v>
      </c>
      <c r="CRI5" s="12" t="s">
        <v>4286</v>
      </c>
      <c r="CRJ5" s="12" t="s">
        <v>4287</v>
      </c>
      <c r="CRK5" s="12" t="s">
        <v>4288</v>
      </c>
      <c r="CRL5" s="12" t="s">
        <v>4289</v>
      </c>
      <c r="CRM5" s="12" t="s">
        <v>4290</v>
      </c>
      <c r="CRN5" s="12" t="s">
        <v>4291</v>
      </c>
      <c r="CRO5" s="12" t="s">
        <v>4292</v>
      </c>
      <c r="CRP5" s="12" t="s">
        <v>4293</v>
      </c>
      <c r="CRQ5" s="12" t="s">
        <v>4294</v>
      </c>
      <c r="CRR5" s="12" t="s">
        <v>4295</v>
      </c>
      <c r="CRS5" s="12" t="s">
        <v>4296</v>
      </c>
      <c r="CRT5" s="12" t="s">
        <v>4297</v>
      </c>
      <c r="CRU5" s="12" t="s">
        <v>4298</v>
      </c>
      <c r="CRV5" s="12" t="s">
        <v>4299</v>
      </c>
      <c r="CRW5" s="12" t="s">
        <v>4300</v>
      </c>
      <c r="CRX5" s="12" t="s">
        <v>4301</v>
      </c>
      <c r="CRY5" s="12" t="s">
        <v>4302</v>
      </c>
      <c r="CRZ5" s="12" t="s">
        <v>4303</v>
      </c>
      <c r="CSA5" s="12" t="s">
        <v>4304</v>
      </c>
      <c r="CSB5" s="12" t="s">
        <v>4305</v>
      </c>
      <c r="CSC5" s="12" t="s">
        <v>4306</v>
      </c>
      <c r="CSD5" s="12" t="s">
        <v>4307</v>
      </c>
      <c r="CSE5" s="12" t="s">
        <v>4308</v>
      </c>
      <c r="CSF5" s="12" t="s">
        <v>4309</v>
      </c>
      <c r="CSG5" s="12" t="s">
        <v>4310</v>
      </c>
      <c r="CSH5" s="12" t="s">
        <v>4311</v>
      </c>
      <c r="CSI5" s="12" t="s">
        <v>4312</v>
      </c>
      <c r="CSJ5" s="12" t="s">
        <v>4313</v>
      </c>
      <c r="CSK5" s="12" t="s">
        <v>4314</v>
      </c>
      <c r="CSL5" s="12" t="s">
        <v>4315</v>
      </c>
      <c r="CSM5" s="12" t="s">
        <v>4316</v>
      </c>
      <c r="CSN5" s="12" t="s">
        <v>4317</v>
      </c>
      <c r="CSO5" s="12" t="s">
        <v>4318</v>
      </c>
      <c r="CSP5" s="12" t="s">
        <v>4319</v>
      </c>
      <c r="CSQ5" s="12" t="s">
        <v>4320</v>
      </c>
      <c r="CSR5" s="12" t="s">
        <v>4321</v>
      </c>
      <c r="CSS5" s="12" t="s">
        <v>4322</v>
      </c>
      <c r="CST5" s="12" t="s">
        <v>4323</v>
      </c>
      <c r="CSU5" s="12" t="s">
        <v>4324</v>
      </c>
      <c r="CSV5" s="12" t="s">
        <v>4325</v>
      </c>
      <c r="CSW5" s="12" t="s">
        <v>4326</v>
      </c>
      <c r="CSX5" s="12" t="s">
        <v>4327</v>
      </c>
      <c r="CSY5" s="12" t="s">
        <v>4328</v>
      </c>
      <c r="CSZ5" s="12" t="s">
        <v>4329</v>
      </c>
      <c r="CTA5" s="12" t="s">
        <v>4330</v>
      </c>
      <c r="CTB5" s="12" t="s">
        <v>4331</v>
      </c>
      <c r="CTC5" s="12" t="s">
        <v>4332</v>
      </c>
      <c r="CTD5" s="12" t="s">
        <v>4333</v>
      </c>
      <c r="CTE5" s="12" t="s">
        <v>4334</v>
      </c>
      <c r="CTF5" s="12" t="s">
        <v>4335</v>
      </c>
      <c r="CTG5" s="12" t="s">
        <v>4336</v>
      </c>
      <c r="CTH5" s="12" t="s">
        <v>4337</v>
      </c>
      <c r="CTI5" s="12" t="s">
        <v>4338</v>
      </c>
      <c r="CTJ5" s="12" t="s">
        <v>4339</v>
      </c>
      <c r="CTK5" s="12" t="s">
        <v>4340</v>
      </c>
      <c r="CTL5" s="12" t="s">
        <v>4341</v>
      </c>
      <c r="CTM5" s="12" t="s">
        <v>4342</v>
      </c>
      <c r="CTN5" s="12" t="s">
        <v>4343</v>
      </c>
      <c r="CTO5" s="12" t="s">
        <v>4344</v>
      </c>
      <c r="CTP5" s="12" t="s">
        <v>4345</v>
      </c>
      <c r="CTQ5" s="12" t="s">
        <v>4346</v>
      </c>
      <c r="CTR5" s="12" t="s">
        <v>4347</v>
      </c>
      <c r="CTS5" s="12" t="s">
        <v>4348</v>
      </c>
      <c r="CTT5" s="12" t="s">
        <v>4349</v>
      </c>
      <c r="CTU5" s="12" t="s">
        <v>4350</v>
      </c>
      <c r="CTV5" s="12" t="s">
        <v>4351</v>
      </c>
      <c r="CTW5" s="12" t="s">
        <v>4352</v>
      </c>
      <c r="CTX5" s="12" t="s">
        <v>4353</v>
      </c>
      <c r="CTY5" s="12" t="s">
        <v>4354</v>
      </c>
      <c r="CTZ5" s="12" t="s">
        <v>4355</v>
      </c>
      <c r="CUA5" s="12" t="s">
        <v>4356</v>
      </c>
      <c r="CUB5" s="12" t="s">
        <v>4357</v>
      </c>
      <c r="CUC5" s="12" t="s">
        <v>4358</v>
      </c>
      <c r="CUD5" s="12" t="s">
        <v>4359</v>
      </c>
      <c r="CUE5" s="12" t="s">
        <v>4360</v>
      </c>
      <c r="CUF5" s="12" t="s">
        <v>4361</v>
      </c>
      <c r="CUG5" s="12" t="s">
        <v>4362</v>
      </c>
      <c r="CUH5" s="12" t="s">
        <v>4363</v>
      </c>
      <c r="CUI5" s="12" t="s">
        <v>4364</v>
      </c>
      <c r="CUJ5" s="12" t="s">
        <v>4365</v>
      </c>
      <c r="CUK5" s="12" t="s">
        <v>4366</v>
      </c>
      <c r="CUL5" s="12" t="s">
        <v>4367</v>
      </c>
      <c r="CUM5" s="12" t="s">
        <v>4368</v>
      </c>
      <c r="CUN5" s="12" t="s">
        <v>4369</v>
      </c>
      <c r="CUO5" s="12" t="s">
        <v>4370</v>
      </c>
      <c r="CUP5" s="12" t="s">
        <v>4371</v>
      </c>
      <c r="CUQ5" s="12" t="s">
        <v>4372</v>
      </c>
      <c r="CUR5" s="12" t="s">
        <v>4373</v>
      </c>
      <c r="CUS5" s="12" t="s">
        <v>4374</v>
      </c>
      <c r="CUT5" s="12" t="s">
        <v>4375</v>
      </c>
      <c r="CUU5" s="12" t="s">
        <v>4376</v>
      </c>
      <c r="CUV5" s="12" t="s">
        <v>4377</v>
      </c>
      <c r="CUW5" s="12" t="s">
        <v>4378</v>
      </c>
      <c r="CUX5" s="12" t="s">
        <v>4379</v>
      </c>
      <c r="CUY5" s="12" t="s">
        <v>4380</v>
      </c>
      <c r="CUZ5" s="12" t="s">
        <v>4381</v>
      </c>
      <c r="CVA5" s="12" t="s">
        <v>4382</v>
      </c>
      <c r="CVB5" s="12" t="s">
        <v>4383</v>
      </c>
      <c r="CVC5" s="12" t="s">
        <v>4384</v>
      </c>
      <c r="CVD5" s="12" t="s">
        <v>4385</v>
      </c>
      <c r="CVE5" s="12" t="s">
        <v>4386</v>
      </c>
      <c r="CVF5" s="12" t="s">
        <v>4387</v>
      </c>
      <c r="CVG5" s="12" t="s">
        <v>4388</v>
      </c>
      <c r="CVH5" s="12" t="s">
        <v>4389</v>
      </c>
      <c r="CVI5" s="12" t="s">
        <v>4390</v>
      </c>
      <c r="CVJ5" s="12" t="s">
        <v>4391</v>
      </c>
      <c r="CVK5" s="12" t="s">
        <v>4392</v>
      </c>
      <c r="CVL5" s="12" t="s">
        <v>4393</v>
      </c>
      <c r="CVM5" s="12" t="s">
        <v>4394</v>
      </c>
      <c r="CVN5" s="12" t="s">
        <v>4395</v>
      </c>
      <c r="CVO5" s="12" t="s">
        <v>4396</v>
      </c>
      <c r="CVP5" s="12" t="s">
        <v>4397</v>
      </c>
      <c r="CVQ5" s="12" t="s">
        <v>4398</v>
      </c>
      <c r="CVR5" s="12" t="s">
        <v>4399</v>
      </c>
      <c r="CVS5" s="12" t="s">
        <v>4400</v>
      </c>
      <c r="CVT5" s="12" t="s">
        <v>4401</v>
      </c>
      <c r="CVU5" s="12" t="s">
        <v>4402</v>
      </c>
      <c r="CVV5" s="12" t="s">
        <v>4403</v>
      </c>
      <c r="CVW5" s="12" t="s">
        <v>4404</v>
      </c>
      <c r="CVX5" s="12" t="s">
        <v>4405</v>
      </c>
      <c r="CVY5" s="12" t="s">
        <v>4406</v>
      </c>
      <c r="CVZ5" s="12" t="s">
        <v>4407</v>
      </c>
      <c r="CWA5" s="12" t="s">
        <v>4408</v>
      </c>
      <c r="CWB5" s="12" t="s">
        <v>4409</v>
      </c>
      <c r="CWC5" s="12" t="s">
        <v>4410</v>
      </c>
      <c r="CWD5" s="12" t="s">
        <v>4411</v>
      </c>
      <c r="CWE5" s="12" t="s">
        <v>4412</v>
      </c>
      <c r="CWF5" s="12" t="s">
        <v>4413</v>
      </c>
      <c r="CWG5" s="12" t="s">
        <v>4414</v>
      </c>
      <c r="CWH5" s="12" t="s">
        <v>4415</v>
      </c>
      <c r="CWI5" s="12" t="s">
        <v>4416</v>
      </c>
      <c r="CWJ5" s="12" t="s">
        <v>4417</v>
      </c>
      <c r="CWK5" s="12" t="s">
        <v>4418</v>
      </c>
      <c r="CWL5" s="12" t="s">
        <v>4419</v>
      </c>
      <c r="CWM5" s="12" t="s">
        <v>4420</v>
      </c>
      <c r="CWN5" s="12" t="s">
        <v>4421</v>
      </c>
      <c r="CWO5" s="12" t="s">
        <v>4422</v>
      </c>
      <c r="CWP5" s="12" t="s">
        <v>4423</v>
      </c>
      <c r="CWQ5" s="12" t="s">
        <v>4424</v>
      </c>
      <c r="CWR5" s="12" t="s">
        <v>4425</v>
      </c>
      <c r="CWS5" s="12" t="s">
        <v>4426</v>
      </c>
      <c r="CWT5" s="12" t="s">
        <v>4427</v>
      </c>
      <c r="CWU5" s="12" t="s">
        <v>4428</v>
      </c>
      <c r="CWV5" s="12" t="s">
        <v>4429</v>
      </c>
      <c r="CWW5" s="12" t="s">
        <v>4430</v>
      </c>
      <c r="CWX5" s="12" t="s">
        <v>4431</v>
      </c>
      <c r="CWY5" s="12" t="s">
        <v>4432</v>
      </c>
      <c r="CWZ5" s="12" t="s">
        <v>4433</v>
      </c>
      <c r="CXA5" s="12" t="s">
        <v>4434</v>
      </c>
      <c r="CXB5" s="12" t="s">
        <v>4435</v>
      </c>
      <c r="CXC5" s="12" t="s">
        <v>4436</v>
      </c>
      <c r="CXD5" s="12" t="s">
        <v>4437</v>
      </c>
      <c r="CXE5" s="12" t="s">
        <v>4438</v>
      </c>
      <c r="CXF5" s="12" t="s">
        <v>4439</v>
      </c>
      <c r="CXG5" s="12" t="s">
        <v>4440</v>
      </c>
      <c r="CXH5" s="12" t="s">
        <v>4441</v>
      </c>
      <c r="CXI5" s="12" t="s">
        <v>4442</v>
      </c>
      <c r="CXJ5" s="12" t="s">
        <v>4443</v>
      </c>
      <c r="CXK5" s="12" t="s">
        <v>4444</v>
      </c>
      <c r="CXL5" s="12" t="s">
        <v>4445</v>
      </c>
      <c r="CXM5" s="12" t="s">
        <v>4446</v>
      </c>
      <c r="CXN5" s="12" t="s">
        <v>4447</v>
      </c>
      <c r="CXO5" s="12" t="s">
        <v>4448</v>
      </c>
      <c r="CXP5" s="12" t="s">
        <v>4449</v>
      </c>
      <c r="CXQ5" s="12" t="s">
        <v>4450</v>
      </c>
      <c r="CXR5" s="12" t="s">
        <v>4451</v>
      </c>
      <c r="CXS5" s="12" t="s">
        <v>4452</v>
      </c>
      <c r="CXT5" s="12" t="s">
        <v>4453</v>
      </c>
      <c r="CXU5" s="12" t="s">
        <v>4454</v>
      </c>
      <c r="CXV5" s="12" t="s">
        <v>4455</v>
      </c>
      <c r="CXW5" s="12" t="s">
        <v>4456</v>
      </c>
      <c r="CXX5" s="12" t="s">
        <v>4457</v>
      </c>
      <c r="CXY5" s="12" t="s">
        <v>4458</v>
      </c>
      <c r="CXZ5" s="12" t="s">
        <v>4459</v>
      </c>
      <c r="CYA5" s="12" t="s">
        <v>4460</v>
      </c>
      <c r="CYB5" s="12" t="s">
        <v>4461</v>
      </c>
      <c r="CYC5" s="12" t="s">
        <v>4462</v>
      </c>
      <c r="CYD5" s="12" t="s">
        <v>4463</v>
      </c>
      <c r="CYE5" s="12" t="s">
        <v>4464</v>
      </c>
      <c r="CYF5" s="12" t="s">
        <v>4465</v>
      </c>
      <c r="CYG5" s="12" t="s">
        <v>4466</v>
      </c>
      <c r="CYH5" s="12" t="s">
        <v>4467</v>
      </c>
      <c r="CYI5" s="12" t="s">
        <v>4468</v>
      </c>
      <c r="CYJ5" s="12" t="s">
        <v>4469</v>
      </c>
      <c r="CYK5" s="12" t="s">
        <v>4470</v>
      </c>
      <c r="CYL5" s="12" t="s">
        <v>4471</v>
      </c>
      <c r="CYM5" s="12" t="s">
        <v>4472</v>
      </c>
      <c r="CYN5" s="12" t="s">
        <v>4473</v>
      </c>
      <c r="CYO5" s="12" t="s">
        <v>4474</v>
      </c>
      <c r="CYP5" s="12" t="s">
        <v>4475</v>
      </c>
      <c r="CYQ5" s="12" t="s">
        <v>4476</v>
      </c>
      <c r="CYR5" s="12" t="s">
        <v>4477</v>
      </c>
      <c r="CYS5" s="12" t="s">
        <v>4478</v>
      </c>
      <c r="CYT5" s="12" t="s">
        <v>4479</v>
      </c>
      <c r="CYU5" s="12" t="s">
        <v>4480</v>
      </c>
      <c r="CYV5" s="12" t="s">
        <v>4481</v>
      </c>
      <c r="CYW5" s="12" t="s">
        <v>4482</v>
      </c>
      <c r="CYX5" s="12" t="s">
        <v>4483</v>
      </c>
      <c r="CYY5" s="12" t="s">
        <v>4484</v>
      </c>
      <c r="CYZ5" s="12" t="s">
        <v>4485</v>
      </c>
      <c r="CZA5" s="12" t="s">
        <v>4486</v>
      </c>
      <c r="CZB5" s="12" t="s">
        <v>4487</v>
      </c>
      <c r="CZC5" s="12" t="s">
        <v>4488</v>
      </c>
      <c r="CZD5" s="12" t="s">
        <v>4489</v>
      </c>
      <c r="CZE5" s="12" t="s">
        <v>4490</v>
      </c>
      <c r="CZF5" s="12" t="s">
        <v>4491</v>
      </c>
      <c r="CZG5" s="12" t="s">
        <v>4492</v>
      </c>
      <c r="CZH5" s="12" t="s">
        <v>4493</v>
      </c>
      <c r="CZI5" s="12" t="s">
        <v>4494</v>
      </c>
      <c r="CZJ5" s="12" t="s">
        <v>4495</v>
      </c>
      <c r="CZK5" s="12" t="s">
        <v>4496</v>
      </c>
      <c r="CZL5" s="12" t="s">
        <v>4497</v>
      </c>
      <c r="CZM5" s="12" t="s">
        <v>4498</v>
      </c>
      <c r="CZN5" s="12" t="s">
        <v>4499</v>
      </c>
      <c r="CZO5" s="12" t="s">
        <v>4500</v>
      </c>
      <c r="CZP5" s="12" t="s">
        <v>4501</v>
      </c>
      <c r="CZQ5" s="12" t="s">
        <v>4502</v>
      </c>
      <c r="CZR5" s="12" t="s">
        <v>4503</v>
      </c>
      <c r="CZS5" s="12" t="s">
        <v>4504</v>
      </c>
      <c r="CZT5" s="12" t="s">
        <v>4505</v>
      </c>
      <c r="CZU5" s="12" t="s">
        <v>4506</v>
      </c>
      <c r="CZV5" s="12" t="s">
        <v>4507</v>
      </c>
      <c r="CZW5" s="12" t="s">
        <v>4508</v>
      </c>
      <c r="CZX5" s="12" t="s">
        <v>4509</v>
      </c>
      <c r="CZY5" s="12" t="s">
        <v>4510</v>
      </c>
      <c r="CZZ5" s="12" t="s">
        <v>4511</v>
      </c>
      <c r="DAA5" s="12" t="s">
        <v>4512</v>
      </c>
      <c r="DAB5" s="12" t="s">
        <v>4513</v>
      </c>
      <c r="DAC5" s="12" t="s">
        <v>4514</v>
      </c>
      <c r="DAD5" s="12" t="s">
        <v>4515</v>
      </c>
      <c r="DAE5" s="12" t="s">
        <v>4516</v>
      </c>
      <c r="DAF5" s="12" t="s">
        <v>4517</v>
      </c>
      <c r="DAG5" s="12" t="s">
        <v>4518</v>
      </c>
      <c r="DAH5" s="12" t="s">
        <v>4519</v>
      </c>
      <c r="DAI5" s="12" t="s">
        <v>4520</v>
      </c>
      <c r="DAJ5" s="12" t="s">
        <v>4521</v>
      </c>
      <c r="DAK5" s="12" t="s">
        <v>4522</v>
      </c>
      <c r="DAL5" s="12" t="s">
        <v>4523</v>
      </c>
      <c r="DAM5" s="12" t="s">
        <v>4524</v>
      </c>
      <c r="DAN5" s="12" t="s">
        <v>4525</v>
      </c>
      <c r="DAO5" s="12" t="s">
        <v>4526</v>
      </c>
      <c r="DAP5" s="12" t="s">
        <v>4527</v>
      </c>
      <c r="DAQ5" s="12" t="s">
        <v>4528</v>
      </c>
      <c r="DAR5" s="12" t="s">
        <v>4529</v>
      </c>
      <c r="DAS5" s="12" t="s">
        <v>4530</v>
      </c>
      <c r="DAT5" s="12" t="s">
        <v>4531</v>
      </c>
      <c r="DAU5" s="12" t="s">
        <v>4532</v>
      </c>
      <c r="DAV5" s="12" t="s">
        <v>4533</v>
      </c>
      <c r="DAW5" s="12" t="s">
        <v>4534</v>
      </c>
      <c r="DAX5" s="12" t="s">
        <v>4535</v>
      </c>
      <c r="DAY5" s="12" t="s">
        <v>4536</v>
      </c>
      <c r="DAZ5" s="12" t="s">
        <v>4537</v>
      </c>
      <c r="DBA5" s="12" t="s">
        <v>4538</v>
      </c>
      <c r="DBB5" s="12" t="s">
        <v>4539</v>
      </c>
      <c r="DBC5" s="12" t="s">
        <v>4540</v>
      </c>
      <c r="DBD5" s="12" t="s">
        <v>4541</v>
      </c>
      <c r="DBE5" s="12" t="s">
        <v>4542</v>
      </c>
      <c r="DBF5" s="12" t="s">
        <v>4543</v>
      </c>
      <c r="DBG5" s="12" t="s">
        <v>4544</v>
      </c>
      <c r="DBH5" s="12" t="s">
        <v>4545</v>
      </c>
      <c r="DBI5" s="12" t="s">
        <v>4546</v>
      </c>
      <c r="DBJ5" s="12" t="s">
        <v>4547</v>
      </c>
      <c r="DBK5" s="12" t="s">
        <v>4548</v>
      </c>
      <c r="DBL5" s="12" t="s">
        <v>4549</v>
      </c>
      <c r="DBM5" s="12" t="s">
        <v>4550</v>
      </c>
      <c r="DBN5" s="12" t="s">
        <v>4551</v>
      </c>
      <c r="DBO5" s="12" t="s">
        <v>4552</v>
      </c>
      <c r="DBP5" s="12" t="s">
        <v>4553</v>
      </c>
      <c r="DBQ5" s="12" t="s">
        <v>4554</v>
      </c>
      <c r="DBR5" s="12" t="s">
        <v>4555</v>
      </c>
      <c r="DBS5" s="12" t="s">
        <v>4556</v>
      </c>
      <c r="DBT5" s="12" t="s">
        <v>4557</v>
      </c>
      <c r="DBU5" s="12" t="s">
        <v>4558</v>
      </c>
      <c r="DBV5" s="12" t="s">
        <v>4559</v>
      </c>
      <c r="DBW5" s="12" t="s">
        <v>4560</v>
      </c>
      <c r="DBX5" s="12" t="s">
        <v>4561</v>
      </c>
      <c r="DBY5" s="12" t="s">
        <v>4562</v>
      </c>
      <c r="DBZ5" s="12" t="s">
        <v>4563</v>
      </c>
      <c r="DCA5" s="12" t="s">
        <v>4564</v>
      </c>
      <c r="DCB5" s="12" t="s">
        <v>4565</v>
      </c>
      <c r="DCC5" s="12" t="s">
        <v>4566</v>
      </c>
      <c r="DCD5" s="12" t="s">
        <v>4567</v>
      </c>
      <c r="DCE5" s="12" t="s">
        <v>4568</v>
      </c>
      <c r="DCF5" s="12" t="s">
        <v>4569</v>
      </c>
      <c r="DCG5" s="12" t="s">
        <v>4570</v>
      </c>
      <c r="DCH5" s="12" t="s">
        <v>4571</v>
      </c>
      <c r="DCI5" s="12" t="s">
        <v>4572</v>
      </c>
      <c r="DCJ5" s="12" t="s">
        <v>4573</v>
      </c>
      <c r="DCK5" s="12" t="s">
        <v>4574</v>
      </c>
      <c r="DCL5" s="12" t="s">
        <v>4575</v>
      </c>
      <c r="DCM5" s="12" t="s">
        <v>4576</v>
      </c>
      <c r="DCN5" s="12" t="s">
        <v>4577</v>
      </c>
      <c r="DCO5" s="12" t="s">
        <v>4578</v>
      </c>
      <c r="DCP5" s="12" t="s">
        <v>4579</v>
      </c>
      <c r="DCQ5" s="12" t="s">
        <v>4580</v>
      </c>
      <c r="DCR5" s="12" t="s">
        <v>4581</v>
      </c>
      <c r="DCS5" s="12" t="s">
        <v>4582</v>
      </c>
      <c r="DCT5" s="12" t="s">
        <v>4583</v>
      </c>
      <c r="DCU5" s="12" t="s">
        <v>4584</v>
      </c>
      <c r="DCV5" s="12" t="s">
        <v>4585</v>
      </c>
      <c r="DCW5" s="12" t="s">
        <v>4586</v>
      </c>
      <c r="DCX5" s="12" t="s">
        <v>4587</v>
      </c>
      <c r="DCY5" s="12" t="s">
        <v>4588</v>
      </c>
      <c r="DCZ5" s="12" t="s">
        <v>4589</v>
      </c>
      <c r="DDA5" s="12" t="s">
        <v>4590</v>
      </c>
      <c r="DDB5" s="12" t="s">
        <v>4591</v>
      </c>
      <c r="DDC5" s="12" t="s">
        <v>4592</v>
      </c>
      <c r="DDD5" s="12" t="s">
        <v>4593</v>
      </c>
      <c r="DDE5" s="12" t="s">
        <v>4594</v>
      </c>
      <c r="DDF5" s="12" t="s">
        <v>4595</v>
      </c>
      <c r="DDG5" s="12" t="s">
        <v>4596</v>
      </c>
      <c r="DDH5" s="12" t="s">
        <v>4597</v>
      </c>
      <c r="DDI5" s="12" t="s">
        <v>4598</v>
      </c>
      <c r="DDJ5" s="12" t="s">
        <v>4599</v>
      </c>
      <c r="DDK5" s="12" t="s">
        <v>4600</v>
      </c>
      <c r="DDL5" s="12" t="s">
        <v>4601</v>
      </c>
      <c r="DDM5" s="12" t="s">
        <v>4602</v>
      </c>
      <c r="DDN5" s="12" t="s">
        <v>4603</v>
      </c>
      <c r="DDO5" s="12" t="s">
        <v>4604</v>
      </c>
      <c r="DDP5" s="12" t="s">
        <v>4605</v>
      </c>
      <c r="DDQ5" s="12" t="s">
        <v>4606</v>
      </c>
      <c r="DDR5" s="12" t="s">
        <v>4607</v>
      </c>
      <c r="DDS5" s="12" t="s">
        <v>4608</v>
      </c>
      <c r="DDT5" s="12" t="s">
        <v>4609</v>
      </c>
      <c r="DDU5" s="12" t="s">
        <v>4610</v>
      </c>
      <c r="DDV5" s="12" t="s">
        <v>4611</v>
      </c>
      <c r="DDW5" s="12" t="s">
        <v>4612</v>
      </c>
      <c r="DDX5" s="12" t="s">
        <v>4613</v>
      </c>
      <c r="DDY5" s="12" t="s">
        <v>4614</v>
      </c>
      <c r="DDZ5" s="12" t="s">
        <v>4615</v>
      </c>
      <c r="DEA5" s="12" t="s">
        <v>4616</v>
      </c>
      <c r="DEB5" s="12" t="s">
        <v>4617</v>
      </c>
      <c r="DEC5" s="12" t="s">
        <v>4618</v>
      </c>
      <c r="DED5" s="12" t="s">
        <v>4619</v>
      </c>
      <c r="DEE5" s="12" t="s">
        <v>4620</v>
      </c>
      <c r="DEF5" s="12" t="s">
        <v>4621</v>
      </c>
      <c r="DEG5" s="12" t="s">
        <v>4622</v>
      </c>
      <c r="DEH5" s="12" t="s">
        <v>4623</v>
      </c>
      <c r="DEI5" s="12" t="s">
        <v>4624</v>
      </c>
      <c r="DEJ5" s="12" t="s">
        <v>4625</v>
      </c>
      <c r="DEK5" s="12" t="s">
        <v>4626</v>
      </c>
      <c r="DEL5" s="12" t="s">
        <v>4627</v>
      </c>
      <c r="DEM5" s="12" t="s">
        <v>4628</v>
      </c>
      <c r="DEN5" s="12" t="s">
        <v>4629</v>
      </c>
      <c r="DEO5" s="12" t="s">
        <v>4630</v>
      </c>
      <c r="DEP5" s="12" t="s">
        <v>4631</v>
      </c>
      <c r="DEQ5" s="12" t="s">
        <v>4632</v>
      </c>
      <c r="DER5" s="12" t="s">
        <v>4633</v>
      </c>
      <c r="DES5" s="12" t="s">
        <v>4634</v>
      </c>
      <c r="DET5" s="12" t="s">
        <v>4635</v>
      </c>
      <c r="DEU5" s="12" t="s">
        <v>4636</v>
      </c>
      <c r="DEV5" s="12" t="s">
        <v>4637</v>
      </c>
      <c r="DEW5" s="12" t="s">
        <v>4638</v>
      </c>
      <c r="DEX5" s="12" t="s">
        <v>4639</v>
      </c>
      <c r="DEY5" s="12" t="s">
        <v>4640</v>
      </c>
      <c r="DEZ5" s="12" t="s">
        <v>4641</v>
      </c>
      <c r="DFA5" s="12" t="s">
        <v>4642</v>
      </c>
      <c r="DFB5" s="12" t="s">
        <v>4643</v>
      </c>
      <c r="DFC5" s="12" t="s">
        <v>4644</v>
      </c>
      <c r="DFD5" s="12" t="s">
        <v>4645</v>
      </c>
      <c r="DFE5" s="12" t="s">
        <v>4646</v>
      </c>
      <c r="DFF5" s="12" t="s">
        <v>4647</v>
      </c>
      <c r="DFG5" s="12" t="s">
        <v>4648</v>
      </c>
      <c r="DFH5" s="12" t="s">
        <v>4649</v>
      </c>
      <c r="DFI5" s="12" t="s">
        <v>4650</v>
      </c>
      <c r="DFJ5" s="12" t="s">
        <v>4651</v>
      </c>
      <c r="DFK5" s="12" t="s">
        <v>4652</v>
      </c>
      <c r="DFL5" s="12" t="s">
        <v>4653</v>
      </c>
      <c r="DFM5" s="12" t="s">
        <v>4654</v>
      </c>
      <c r="DFN5" s="12" t="s">
        <v>4655</v>
      </c>
      <c r="DFO5" s="12" t="s">
        <v>4656</v>
      </c>
      <c r="DFP5" s="12" t="s">
        <v>4657</v>
      </c>
      <c r="DFQ5" s="12" t="s">
        <v>4658</v>
      </c>
      <c r="DFR5" s="12" t="s">
        <v>4659</v>
      </c>
      <c r="DFS5" s="12" t="s">
        <v>4660</v>
      </c>
      <c r="DFT5" s="12" t="s">
        <v>4661</v>
      </c>
      <c r="DFU5" s="12" t="s">
        <v>4662</v>
      </c>
      <c r="DFV5" s="12" t="s">
        <v>4663</v>
      </c>
      <c r="DFW5" s="12" t="s">
        <v>4664</v>
      </c>
      <c r="DFX5" s="12" t="s">
        <v>4665</v>
      </c>
      <c r="DFY5" s="12" t="s">
        <v>4666</v>
      </c>
      <c r="DFZ5" s="12" t="s">
        <v>4667</v>
      </c>
      <c r="DGA5" s="12" t="s">
        <v>4668</v>
      </c>
      <c r="DGB5" s="12" t="s">
        <v>4669</v>
      </c>
      <c r="DGC5" s="12" t="s">
        <v>4670</v>
      </c>
      <c r="DGD5" s="12" t="s">
        <v>4671</v>
      </c>
      <c r="DGE5" s="12" t="s">
        <v>4672</v>
      </c>
      <c r="DGF5" s="12" t="s">
        <v>4673</v>
      </c>
      <c r="DGG5" s="12" t="s">
        <v>4674</v>
      </c>
      <c r="DGH5" s="12" t="s">
        <v>4675</v>
      </c>
      <c r="DGI5" s="12" t="s">
        <v>4676</v>
      </c>
      <c r="DGJ5" s="12" t="s">
        <v>4677</v>
      </c>
      <c r="DGK5" s="12" t="s">
        <v>4678</v>
      </c>
      <c r="DGL5" s="12" t="s">
        <v>4679</v>
      </c>
      <c r="DGM5" s="12" t="s">
        <v>4680</v>
      </c>
      <c r="DGN5" s="12" t="s">
        <v>4681</v>
      </c>
      <c r="DGO5" s="12" t="s">
        <v>4682</v>
      </c>
      <c r="DGP5" s="12" t="s">
        <v>4683</v>
      </c>
      <c r="DGQ5" s="12" t="s">
        <v>4684</v>
      </c>
      <c r="DGR5" s="12" t="s">
        <v>4685</v>
      </c>
      <c r="DGS5" s="12" t="s">
        <v>4686</v>
      </c>
      <c r="DGT5" s="12" t="s">
        <v>4687</v>
      </c>
      <c r="DGU5" s="12" t="s">
        <v>4688</v>
      </c>
      <c r="DGV5" s="12" t="s">
        <v>4689</v>
      </c>
      <c r="DGW5" s="12" t="s">
        <v>4690</v>
      </c>
      <c r="DGX5" s="12" t="s">
        <v>4691</v>
      </c>
      <c r="DGY5" s="12" t="s">
        <v>4692</v>
      </c>
      <c r="DGZ5" s="12" t="s">
        <v>4693</v>
      </c>
      <c r="DHA5" s="12" t="s">
        <v>4694</v>
      </c>
      <c r="DHB5" s="12" t="s">
        <v>4695</v>
      </c>
      <c r="DHC5" s="12" t="s">
        <v>4696</v>
      </c>
      <c r="DHD5" s="12" t="s">
        <v>4697</v>
      </c>
      <c r="DHE5" s="12" t="s">
        <v>4698</v>
      </c>
      <c r="DHF5" s="12" t="s">
        <v>4699</v>
      </c>
      <c r="DHG5" s="12" t="s">
        <v>4700</v>
      </c>
      <c r="DHH5" s="12" t="s">
        <v>4701</v>
      </c>
      <c r="DHI5" s="12" t="s">
        <v>4702</v>
      </c>
      <c r="DHJ5" s="12" t="s">
        <v>4703</v>
      </c>
      <c r="DHK5" s="12" t="s">
        <v>4704</v>
      </c>
      <c r="DHL5" s="12" t="s">
        <v>4705</v>
      </c>
      <c r="DHM5" s="12" t="s">
        <v>4706</v>
      </c>
      <c r="DHN5" s="12" t="s">
        <v>4707</v>
      </c>
      <c r="DHO5" s="12" t="s">
        <v>4708</v>
      </c>
      <c r="DHP5" s="12" t="s">
        <v>4709</v>
      </c>
      <c r="DHQ5" s="12" t="s">
        <v>4710</v>
      </c>
      <c r="DHR5" s="12" t="s">
        <v>4711</v>
      </c>
      <c r="DHS5" s="12" t="s">
        <v>4712</v>
      </c>
      <c r="DHT5" s="12" t="s">
        <v>4713</v>
      </c>
      <c r="DHU5" s="12" t="s">
        <v>4714</v>
      </c>
      <c r="DHV5" s="12" t="s">
        <v>4715</v>
      </c>
      <c r="DHW5" s="12" t="s">
        <v>4716</v>
      </c>
      <c r="DHX5" s="12" t="s">
        <v>4717</v>
      </c>
      <c r="DHY5" s="12" t="s">
        <v>4718</v>
      </c>
      <c r="DHZ5" s="12" t="s">
        <v>4719</v>
      </c>
      <c r="DIA5" s="12" t="s">
        <v>4720</v>
      </c>
      <c r="DIB5" s="12" t="s">
        <v>4721</v>
      </c>
      <c r="DIC5" s="12" t="s">
        <v>4722</v>
      </c>
      <c r="DID5" s="12" t="s">
        <v>4723</v>
      </c>
      <c r="DIE5" s="12" t="s">
        <v>4724</v>
      </c>
      <c r="DIF5" s="12" t="s">
        <v>4725</v>
      </c>
      <c r="DIG5" s="12" t="s">
        <v>4726</v>
      </c>
      <c r="DIH5" s="12" t="s">
        <v>4727</v>
      </c>
      <c r="DII5" s="12" t="s">
        <v>4728</v>
      </c>
      <c r="DIJ5" s="12" t="s">
        <v>4729</v>
      </c>
      <c r="DIK5" s="12" t="s">
        <v>4730</v>
      </c>
      <c r="DIL5" s="12" t="s">
        <v>4731</v>
      </c>
      <c r="DIM5" s="12" t="s">
        <v>4732</v>
      </c>
      <c r="DIN5" s="12" t="s">
        <v>4733</v>
      </c>
      <c r="DIO5" s="12" t="s">
        <v>4734</v>
      </c>
      <c r="DIP5" s="12" t="s">
        <v>4735</v>
      </c>
      <c r="DIQ5" s="12" t="s">
        <v>4736</v>
      </c>
      <c r="DIR5" s="12" t="s">
        <v>4737</v>
      </c>
      <c r="DIS5" s="12" t="s">
        <v>4738</v>
      </c>
      <c r="DIT5" s="12" t="s">
        <v>4739</v>
      </c>
      <c r="DIU5" s="12" t="s">
        <v>4740</v>
      </c>
      <c r="DIV5" s="12" t="s">
        <v>4741</v>
      </c>
      <c r="DIW5" s="12" t="s">
        <v>4742</v>
      </c>
      <c r="DIX5" s="12" t="s">
        <v>4743</v>
      </c>
      <c r="DIY5" s="12" t="s">
        <v>4744</v>
      </c>
      <c r="DIZ5" s="12" t="s">
        <v>4745</v>
      </c>
      <c r="DJA5" s="12" t="s">
        <v>4746</v>
      </c>
      <c r="DJB5" s="12" t="s">
        <v>4747</v>
      </c>
      <c r="DJC5" s="12" t="s">
        <v>4748</v>
      </c>
      <c r="DJD5" s="12" t="s">
        <v>4749</v>
      </c>
      <c r="DJE5" s="12" t="s">
        <v>4750</v>
      </c>
      <c r="DJF5" s="12" t="s">
        <v>4751</v>
      </c>
      <c r="DJG5" s="12" t="s">
        <v>4752</v>
      </c>
      <c r="DJH5" s="12" t="s">
        <v>4753</v>
      </c>
      <c r="DJI5" s="12" t="s">
        <v>4754</v>
      </c>
      <c r="DJJ5" s="12" t="s">
        <v>4755</v>
      </c>
      <c r="DJK5" s="12" t="s">
        <v>4756</v>
      </c>
      <c r="DJL5" s="12" t="s">
        <v>4757</v>
      </c>
      <c r="DJM5" s="12" t="s">
        <v>4758</v>
      </c>
      <c r="DJN5" s="12" t="s">
        <v>4759</v>
      </c>
      <c r="DJO5" s="12" t="s">
        <v>4760</v>
      </c>
      <c r="DJP5" s="12" t="s">
        <v>4761</v>
      </c>
      <c r="DJQ5" s="12" t="s">
        <v>4762</v>
      </c>
      <c r="DJR5" s="12" t="s">
        <v>4763</v>
      </c>
      <c r="DJS5" s="12" t="s">
        <v>4764</v>
      </c>
      <c r="DJT5" s="12" t="s">
        <v>4765</v>
      </c>
      <c r="DJU5" s="12" t="s">
        <v>4766</v>
      </c>
      <c r="DJV5" s="12" t="s">
        <v>4767</v>
      </c>
      <c r="DJW5" s="12" t="s">
        <v>4768</v>
      </c>
      <c r="DJX5" s="12" t="s">
        <v>4769</v>
      </c>
      <c r="DJY5" s="12" t="s">
        <v>4770</v>
      </c>
      <c r="DJZ5" s="12" t="s">
        <v>4771</v>
      </c>
      <c r="DKA5" s="12" t="s">
        <v>4772</v>
      </c>
      <c r="DKB5" s="12" t="s">
        <v>4773</v>
      </c>
      <c r="DKC5" s="12" t="s">
        <v>4774</v>
      </c>
      <c r="DKD5" s="12" t="s">
        <v>4775</v>
      </c>
      <c r="DKE5" s="12" t="s">
        <v>4776</v>
      </c>
      <c r="DKF5" s="12" t="s">
        <v>4777</v>
      </c>
      <c r="DKG5" s="12" t="s">
        <v>4778</v>
      </c>
      <c r="DKH5" s="12" t="s">
        <v>4779</v>
      </c>
      <c r="DKI5" s="12" t="s">
        <v>4780</v>
      </c>
      <c r="DKJ5" s="12" t="s">
        <v>4781</v>
      </c>
      <c r="DKK5" s="12" t="s">
        <v>4782</v>
      </c>
      <c r="DKL5" s="12" t="s">
        <v>4783</v>
      </c>
      <c r="DKM5" s="12" t="s">
        <v>4784</v>
      </c>
      <c r="DKN5" s="12" t="s">
        <v>4785</v>
      </c>
      <c r="DKO5" s="12" t="s">
        <v>4786</v>
      </c>
      <c r="DKP5" s="12" t="s">
        <v>4787</v>
      </c>
      <c r="DKQ5" s="12" t="s">
        <v>4788</v>
      </c>
      <c r="DKR5" s="12" t="s">
        <v>4789</v>
      </c>
      <c r="DKS5" s="12" t="s">
        <v>4790</v>
      </c>
      <c r="DKT5" s="12" t="s">
        <v>4791</v>
      </c>
      <c r="DKU5" s="12" t="s">
        <v>4792</v>
      </c>
      <c r="DKV5" s="12" t="s">
        <v>4793</v>
      </c>
      <c r="DKW5" s="12" t="s">
        <v>4794</v>
      </c>
      <c r="DKX5" s="12" t="s">
        <v>4795</v>
      </c>
      <c r="DKY5" s="12" t="s">
        <v>4796</v>
      </c>
      <c r="DKZ5" s="12" t="s">
        <v>4797</v>
      </c>
      <c r="DLA5" s="12" t="s">
        <v>4798</v>
      </c>
      <c r="DLB5" s="12" t="s">
        <v>4799</v>
      </c>
      <c r="DLC5" s="12" t="s">
        <v>4800</v>
      </c>
      <c r="DLD5" s="12" t="s">
        <v>4801</v>
      </c>
      <c r="DLE5" s="12" t="s">
        <v>4802</v>
      </c>
      <c r="DLF5" s="12" t="s">
        <v>4803</v>
      </c>
      <c r="DLG5" s="12" t="s">
        <v>4804</v>
      </c>
      <c r="DLH5" s="12" t="s">
        <v>4805</v>
      </c>
      <c r="DLI5" s="12" t="s">
        <v>4806</v>
      </c>
      <c r="DLJ5" s="12" t="s">
        <v>4807</v>
      </c>
      <c r="DLK5" s="12" t="s">
        <v>4808</v>
      </c>
      <c r="DLL5" s="12" t="s">
        <v>4809</v>
      </c>
      <c r="DLM5" s="12" t="s">
        <v>4810</v>
      </c>
      <c r="DLN5" s="12" t="s">
        <v>4811</v>
      </c>
      <c r="DLO5" s="12" t="s">
        <v>4812</v>
      </c>
      <c r="DLP5" s="12" t="s">
        <v>4813</v>
      </c>
      <c r="DLQ5" s="12" t="s">
        <v>4814</v>
      </c>
      <c r="DLR5" s="12" t="s">
        <v>4815</v>
      </c>
      <c r="DLS5" s="12" t="s">
        <v>4816</v>
      </c>
      <c r="DLT5" s="12" t="s">
        <v>4817</v>
      </c>
      <c r="DLU5" s="12" t="s">
        <v>4818</v>
      </c>
      <c r="DLV5" s="12" t="s">
        <v>4819</v>
      </c>
      <c r="DLW5" s="12" t="s">
        <v>4820</v>
      </c>
      <c r="DLX5" s="12" t="s">
        <v>4821</v>
      </c>
      <c r="DLY5" s="12" t="s">
        <v>4822</v>
      </c>
      <c r="DLZ5" s="12" t="s">
        <v>4823</v>
      </c>
      <c r="DMA5" s="12" t="s">
        <v>4824</v>
      </c>
      <c r="DMB5" s="12" t="s">
        <v>4825</v>
      </c>
      <c r="DMC5" s="12" t="s">
        <v>4826</v>
      </c>
      <c r="DMD5" s="12" t="s">
        <v>4827</v>
      </c>
      <c r="DME5" s="12" t="s">
        <v>4828</v>
      </c>
      <c r="DMF5" s="12" t="s">
        <v>4829</v>
      </c>
      <c r="DMG5" s="12" t="s">
        <v>4830</v>
      </c>
      <c r="DMH5" s="12" t="s">
        <v>4831</v>
      </c>
      <c r="DMI5" s="12" t="s">
        <v>4832</v>
      </c>
      <c r="DMJ5" s="12" t="s">
        <v>4833</v>
      </c>
      <c r="DMK5" s="12" t="s">
        <v>4834</v>
      </c>
      <c r="DML5" s="12" t="s">
        <v>4835</v>
      </c>
      <c r="DMM5" s="12" t="s">
        <v>4836</v>
      </c>
      <c r="DMN5" s="12" t="s">
        <v>4837</v>
      </c>
      <c r="DMO5" s="12" t="s">
        <v>4838</v>
      </c>
      <c r="DMP5" s="12" t="s">
        <v>4839</v>
      </c>
      <c r="DMQ5" s="12" t="s">
        <v>4840</v>
      </c>
      <c r="DMR5" s="12" t="s">
        <v>4841</v>
      </c>
      <c r="DMS5" s="12" t="s">
        <v>4842</v>
      </c>
      <c r="DMT5" s="12" t="s">
        <v>4843</v>
      </c>
      <c r="DMU5" s="12" t="s">
        <v>4844</v>
      </c>
      <c r="DMV5" s="12" t="s">
        <v>4845</v>
      </c>
      <c r="DMW5" s="12" t="s">
        <v>4846</v>
      </c>
      <c r="DMX5" s="12" t="s">
        <v>4847</v>
      </c>
      <c r="DMY5" s="12" t="s">
        <v>4848</v>
      </c>
      <c r="DMZ5" s="12" t="s">
        <v>4849</v>
      </c>
      <c r="DNA5" s="12" t="s">
        <v>4850</v>
      </c>
      <c r="DNB5" s="12" t="s">
        <v>4851</v>
      </c>
      <c r="DNC5" s="12" t="s">
        <v>4852</v>
      </c>
      <c r="DND5" s="12" t="s">
        <v>4853</v>
      </c>
      <c r="DNE5" s="12" t="s">
        <v>4854</v>
      </c>
      <c r="DNF5" s="12" t="s">
        <v>4855</v>
      </c>
      <c r="DNG5" s="12" t="s">
        <v>4856</v>
      </c>
      <c r="DNH5" s="12" t="s">
        <v>4857</v>
      </c>
      <c r="DNI5" s="12" t="s">
        <v>4858</v>
      </c>
      <c r="DNJ5" s="12" t="s">
        <v>4859</v>
      </c>
      <c r="DNK5" s="12" t="s">
        <v>4860</v>
      </c>
      <c r="DNL5" s="12" t="s">
        <v>4861</v>
      </c>
      <c r="DNM5" s="12" t="s">
        <v>4862</v>
      </c>
      <c r="DNN5" s="12" t="s">
        <v>4863</v>
      </c>
      <c r="DNO5" s="12" t="s">
        <v>4864</v>
      </c>
      <c r="DNP5" s="12" t="s">
        <v>4865</v>
      </c>
      <c r="DNQ5" s="12" t="s">
        <v>4866</v>
      </c>
      <c r="DNR5" s="12" t="s">
        <v>4867</v>
      </c>
      <c r="DNS5" s="12" t="s">
        <v>4868</v>
      </c>
      <c r="DNT5" s="12" t="s">
        <v>4869</v>
      </c>
      <c r="DNU5" s="12" t="s">
        <v>4870</v>
      </c>
      <c r="DNV5" s="12" t="s">
        <v>4871</v>
      </c>
      <c r="DNW5" s="12" t="s">
        <v>4872</v>
      </c>
      <c r="DNX5" s="12" t="s">
        <v>4873</v>
      </c>
      <c r="DNY5" s="12" t="s">
        <v>4874</v>
      </c>
      <c r="DNZ5" s="12" t="s">
        <v>4875</v>
      </c>
      <c r="DOA5" s="12" t="s">
        <v>4876</v>
      </c>
      <c r="DOB5" s="12" t="s">
        <v>4877</v>
      </c>
      <c r="DOC5" s="12" t="s">
        <v>4878</v>
      </c>
      <c r="DOD5" s="12" t="s">
        <v>4879</v>
      </c>
      <c r="DOE5" s="12" t="s">
        <v>4880</v>
      </c>
      <c r="DOF5" s="12" t="s">
        <v>4881</v>
      </c>
      <c r="DOG5" s="12" t="s">
        <v>4882</v>
      </c>
      <c r="DOH5" s="12" t="s">
        <v>4883</v>
      </c>
      <c r="DOI5" s="12" t="s">
        <v>4884</v>
      </c>
      <c r="DOJ5" s="12" t="s">
        <v>4885</v>
      </c>
      <c r="DOK5" s="12" t="s">
        <v>4886</v>
      </c>
      <c r="DOL5" s="12" t="s">
        <v>4887</v>
      </c>
      <c r="DOM5" s="12" t="s">
        <v>4888</v>
      </c>
      <c r="DON5" s="12" t="s">
        <v>4889</v>
      </c>
      <c r="DOO5" s="12" t="s">
        <v>4890</v>
      </c>
      <c r="DOP5" s="12" t="s">
        <v>4891</v>
      </c>
      <c r="DOQ5" s="12" t="s">
        <v>4892</v>
      </c>
      <c r="DOR5" s="12" t="s">
        <v>4893</v>
      </c>
      <c r="DOS5" s="12" t="s">
        <v>4894</v>
      </c>
      <c r="DOT5" s="12" t="s">
        <v>4895</v>
      </c>
      <c r="DOU5" s="12" t="s">
        <v>4896</v>
      </c>
      <c r="DOV5" s="12" t="s">
        <v>4897</v>
      </c>
      <c r="DOW5" s="12" t="s">
        <v>4898</v>
      </c>
      <c r="DOX5" s="12" t="s">
        <v>4899</v>
      </c>
      <c r="DOY5" s="12" t="s">
        <v>4900</v>
      </c>
      <c r="DOZ5" s="12" t="s">
        <v>4901</v>
      </c>
      <c r="DPA5" s="12" t="s">
        <v>4902</v>
      </c>
      <c r="DPB5" s="12" t="s">
        <v>4903</v>
      </c>
      <c r="DPC5" s="12" t="s">
        <v>4904</v>
      </c>
      <c r="DPD5" s="12" t="s">
        <v>4905</v>
      </c>
      <c r="DPE5" s="12" t="s">
        <v>4906</v>
      </c>
      <c r="DPF5" s="12" t="s">
        <v>4907</v>
      </c>
      <c r="DPG5" s="12" t="s">
        <v>4908</v>
      </c>
      <c r="DPH5" s="12" t="s">
        <v>4909</v>
      </c>
      <c r="DPI5" s="12" t="s">
        <v>4910</v>
      </c>
      <c r="DPJ5" s="12" t="s">
        <v>4911</v>
      </c>
      <c r="DPK5" s="12" t="s">
        <v>4912</v>
      </c>
      <c r="DPL5" s="12" t="s">
        <v>4913</v>
      </c>
      <c r="DPM5" s="12" t="s">
        <v>4914</v>
      </c>
      <c r="DPN5" s="12" t="s">
        <v>4915</v>
      </c>
      <c r="DPO5" s="12" t="s">
        <v>4916</v>
      </c>
      <c r="DPP5" s="12" t="s">
        <v>4917</v>
      </c>
      <c r="DPQ5" s="12" t="s">
        <v>4918</v>
      </c>
      <c r="DPR5" s="12" t="s">
        <v>4919</v>
      </c>
      <c r="DPS5" s="12" t="s">
        <v>4920</v>
      </c>
      <c r="DPT5" s="12" t="s">
        <v>4921</v>
      </c>
      <c r="DPU5" s="12" t="s">
        <v>4922</v>
      </c>
      <c r="DPV5" s="12" t="s">
        <v>4923</v>
      </c>
      <c r="DPW5" s="12" t="s">
        <v>4924</v>
      </c>
      <c r="DPX5" s="12" t="s">
        <v>4925</v>
      </c>
      <c r="DPY5" s="12" t="s">
        <v>4926</v>
      </c>
      <c r="DPZ5" s="12" t="s">
        <v>4927</v>
      </c>
      <c r="DQA5" s="12" t="s">
        <v>4928</v>
      </c>
      <c r="DQB5" s="12" t="s">
        <v>4929</v>
      </c>
      <c r="DQC5" s="12" t="s">
        <v>4930</v>
      </c>
      <c r="DQD5" s="12" t="s">
        <v>4931</v>
      </c>
      <c r="DQE5" s="12" t="s">
        <v>4932</v>
      </c>
      <c r="DQF5" s="12" t="s">
        <v>4933</v>
      </c>
      <c r="DQG5" s="12" t="s">
        <v>4934</v>
      </c>
      <c r="DQH5" s="12" t="s">
        <v>4935</v>
      </c>
      <c r="DQI5" s="12" t="s">
        <v>4936</v>
      </c>
      <c r="DQJ5" s="12" t="s">
        <v>4937</v>
      </c>
      <c r="DQK5" s="12" t="s">
        <v>4938</v>
      </c>
      <c r="DQL5" s="12" t="s">
        <v>4939</v>
      </c>
      <c r="DQM5" s="12" t="s">
        <v>4940</v>
      </c>
      <c r="DQN5" s="12" t="s">
        <v>4941</v>
      </c>
      <c r="DQO5" s="12" t="s">
        <v>4942</v>
      </c>
      <c r="DQP5" s="12" t="s">
        <v>4943</v>
      </c>
      <c r="DQQ5" s="12" t="s">
        <v>4944</v>
      </c>
      <c r="DQR5" s="12" t="s">
        <v>4945</v>
      </c>
      <c r="DQS5" s="12" t="s">
        <v>4946</v>
      </c>
      <c r="DQT5" s="12" t="s">
        <v>4947</v>
      </c>
      <c r="DQU5" s="12" t="s">
        <v>4948</v>
      </c>
      <c r="DQV5" s="12" t="s">
        <v>4949</v>
      </c>
      <c r="DQW5" s="12" t="s">
        <v>4950</v>
      </c>
      <c r="DQX5" s="12" t="s">
        <v>4951</v>
      </c>
      <c r="DQY5" s="12" t="s">
        <v>4952</v>
      </c>
      <c r="DQZ5" s="12" t="s">
        <v>4953</v>
      </c>
      <c r="DRA5" s="12" t="s">
        <v>4954</v>
      </c>
      <c r="DRB5" s="12" t="s">
        <v>4955</v>
      </c>
      <c r="DRC5" s="12" t="s">
        <v>4956</v>
      </c>
      <c r="DRD5" s="12" t="s">
        <v>4957</v>
      </c>
      <c r="DRE5" s="12" t="s">
        <v>4958</v>
      </c>
      <c r="DRF5" s="12" t="s">
        <v>4959</v>
      </c>
      <c r="DRG5" s="12" t="s">
        <v>4960</v>
      </c>
      <c r="DRH5" s="12" t="s">
        <v>4961</v>
      </c>
      <c r="DRI5" s="12" t="s">
        <v>4962</v>
      </c>
      <c r="DRJ5" s="12" t="s">
        <v>4963</v>
      </c>
      <c r="DRK5" s="12" t="s">
        <v>4964</v>
      </c>
      <c r="DRL5" s="12" t="s">
        <v>4965</v>
      </c>
      <c r="DRM5" s="12" t="s">
        <v>4966</v>
      </c>
      <c r="DRN5" s="12" t="s">
        <v>4967</v>
      </c>
      <c r="DRO5" s="12" t="s">
        <v>4968</v>
      </c>
      <c r="DRP5" s="12" t="s">
        <v>4969</v>
      </c>
      <c r="DRQ5" s="12" t="s">
        <v>4970</v>
      </c>
      <c r="DRR5" s="12" t="s">
        <v>4971</v>
      </c>
      <c r="DRS5" s="12" t="s">
        <v>4972</v>
      </c>
      <c r="DRT5" s="12" t="s">
        <v>4973</v>
      </c>
      <c r="DRU5" s="12" t="s">
        <v>4974</v>
      </c>
      <c r="DRV5" s="12" t="s">
        <v>4975</v>
      </c>
      <c r="DRW5" s="12" t="s">
        <v>4976</v>
      </c>
      <c r="DRX5" s="12" t="s">
        <v>4977</v>
      </c>
      <c r="DRY5" s="12" t="s">
        <v>4978</v>
      </c>
      <c r="DRZ5" s="12" t="s">
        <v>4979</v>
      </c>
      <c r="DSA5" s="12" t="s">
        <v>4980</v>
      </c>
      <c r="DSB5" s="12" t="s">
        <v>4981</v>
      </c>
      <c r="DSC5" s="12" t="s">
        <v>4982</v>
      </c>
      <c r="DSD5" s="12" t="s">
        <v>4983</v>
      </c>
      <c r="DSE5" s="12" t="s">
        <v>4984</v>
      </c>
      <c r="DSF5" s="12" t="s">
        <v>4985</v>
      </c>
      <c r="DSG5" s="12" t="s">
        <v>4986</v>
      </c>
      <c r="DSH5" s="12" t="s">
        <v>4987</v>
      </c>
      <c r="DSI5" s="12" t="s">
        <v>4988</v>
      </c>
      <c r="DSJ5" s="12" t="s">
        <v>4989</v>
      </c>
      <c r="DSK5" s="12" t="s">
        <v>4990</v>
      </c>
      <c r="DSL5" s="12" t="s">
        <v>4991</v>
      </c>
      <c r="DSM5" s="12" t="s">
        <v>4992</v>
      </c>
      <c r="DSN5" s="12" t="s">
        <v>4993</v>
      </c>
      <c r="DSO5" s="12" t="s">
        <v>4994</v>
      </c>
      <c r="DSP5" s="12" t="s">
        <v>4995</v>
      </c>
      <c r="DSQ5" s="12" t="s">
        <v>4996</v>
      </c>
      <c r="DSR5" s="12" t="s">
        <v>4997</v>
      </c>
      <c r="DSS5" s="12" t="s">
        <v>4998</v>
      </c>
      <c r="DST5" s="12" t="s">
        <v>4999</v>
      </c>
      <c r="DSU5" s="12" t="s">
        <v>5000</v>
      </c>
      <c r="DSV5" s="12" t="s">
        <v>5001</v>
      </c>
      <c r="DSW5" s="12" t="s">
        <v>5002</v>
      </c>
      <c r="DSX5" s="12" t="s">
        <v>5003</v>
      </c>
      <c r="DSY5" s="12" t="s">
        <v>5004</v>
      </c>
      <c r="DSZ5" s="12" t="s">
        <v>5005</v>
      </c>
      <c r="DTA5" s="12" t="s">
        <v>5006</v>
      </c>
      <c r="DTB5" s="12" t="s">
        <v>5007</v>
      </c>
      <c r="DTC5" s="12" t="s">
        <v>5008</v>
      </c>
      <c r="DTD5" s="12" t="s">
        <v>5009</v>
      </c>
      <c r="DTE5" s="12" t="s">
        <v>5010</v>
      </c>
      <c r="DTF5" s="12" t="s">
        <v>5011</v>
      </c>
      <c r="DTG5" s="12" t="s">
        <v>5012</v>
      </c>
      <c r="DTH5" s="12" t="s">
        <v>5013</v>
      </c>
      <c r="DTI5" s="12" t="s">
        <v>5014</v>
      </c>
      <c r="DTJ5" s="12" t="s">
        <v>5015</v>
      </c>
      <c r="DTK5" s="12" t="s">
        <v>5016</v>
      </c>
      <c r="DTL5" s="12" t="s">
        <v>5017</v>
      </c>
      <c r="DTM5" s="12" t="s">
        <v>5018</v>
      </c>
      <c r="DTN5" s="12" t="s">
        <v>5019</v>
      </c>
      <c r="DTO5" s="12" t="s">
        <v>5020</v>
      </c>
      <c r="DTP5" s="12" t="s">
        <v>5021</v>
      </c>
      <c r="DTQ5" s="12" t="s">
        <v>5022</v>
      </c>
      <c r="DTR5" s="12" t="s">
        <v>5023</v>
      </c>
      <c r="DTS5" s="12" t="s">
        <v>5024</v>
      </c>
      <c r="DTT5" s="12" t="s">
        <v>5025</v>
      </c>
      <c r="DTU5" s="12" t="s">
        <v>5026</v>
      </c>
      <c r="DTV5" s="12" t="s">
        <v>5027</v>
      </c>
      <c r="DTW5" s="12" t="s">
        <v>5028</v>
      </c>
      <c r="DTX5" s="12" t="s">
        <v>5029</v>
      </c>
      <c r="DTY5" s="12" t="s">
        <v>5030</v>
      </c>
      <c r="DTZ5" s="12" t="s">
        <v>5031</v>
      </c>
      <c r="DUA5" s="12" t="s">
        <v>5032</v>
      </c>
      <c r="DUB5" s="12" t="s">
        <v>5033</v>
      </c>
      <c r="DUC5" s="12" t="s">
        <v>5034</v>
      </c>
      <c r="DUD5" s="12" t="s">
        <v>5035</v>
      </c>
      <c r="DUE5" s="12" t="s">
        <v>5036</v>
      </c>
      <c r="DUF5" s="12" t="s">
        <v>5037</v>
      </c>
      <c r="DUG5" s="12" t="s">
        <v>5038</v>
      </c>
      <c r="DUH5" s="12" t="s">
        <v>5039</v>
      </c>
      <c r="DUI5" s="12" t="s">
        <v>5040</v>
      </c>
      <c r="DUJ5" s="12" t="s">
        <v>5041</v>
      </c>
      <c r="DUK5" s="12" t="s">
        <v>5042</v>
      </c>
      <c r="DUL5" s="12" t="s">
        <v>5043</v>
      </c>
      <c r="DUM5" s="12" t="s">
        <v>5044</v>
      </c>
      <c r="DUN5" s="12" t="s">
        <v>5045</v>
      </c>
      <c r="DUO5" s="12" t="s">
        <v>5046</v>
      </c>
      <c r="DUP5" s="12" t="s">
        <v>5047</v>
      </c>
      <c r="DUQ5" s="12" t="s">
        <v>5048</v>
      </c>
      <c r="DUR5" s="12" t="s">
        <v>5049</v>
      </c>
      <c r="DUS5" s="12" t="s">
        <v>5050</v>
      </c>
      <c r="DUT5" s="12" t="s">
        <v>5051</v>
      </c>
      <c r="DUU5" s="12" t="s">
        <v>5052</v>
      </c>
      <c r="DUV5" s="12" t="s">
        <v>5053</v>
      </c>
      <c r="DUW5" s="12" t="s">
        <v>5054</v>
      </c>
      <c r="DUX5" s="12" t="s">
        <v>5055</v>
      </c>
      <c r="DUY5" s="12" t="s">
        <v>5056</v>
      </c>
      <c r="DUZ5" s="12" t="s">
        <v>5057</v>
      </c>
      <c r="DVA5" s="12" t="s">
        <v>5058</v>
      </c>
      <c r="DVB5" s="12" t="s">
        <v>5059</v>
      </c>
      <c r="DVC5" s="12" t="s">
        <v>5060</v>
      </c>
      <c r="DVD5" s="12" t="s">
        <v>5061</v>
      </c>
      <c r="DVE5" s="12" t="s">
        <v>5062</v>
      </c>
      <c r="DVF5" s="12" t="s">
        <v>5063</v>
      </c>
      <c r="DVG5" s="12" t="s">
        <v>5064</v>
      </c>
      <c r="DVH5" s="12" t="s">
        <v>5065</v>
      </c>
      <c r="DVI5" s="12" t="s">
        <v>5066</v>
      </c>
      <c r="DVJ5" s="12" t="s">
        <v>5067</v>
      </c>
      <c r="DVK5" s="12" t="s">
        <v>5068</v>
      </c>
      <c r="DVL5" s="12" t="s">
        <v>5069</v>
      </c>
      <c r="DVM5" s="12" t="s">
        <v>5070</v>
      </c>
      <c r="DVN5" s="12" t="s">
        <v>5071</v>
      </c>
      <c r="DVO5" s="12" t="s">
        <v>5072</v>
      </c>
      <c r="DVP5" s="12" t="s">
        <v>5073</v>
      </c>
      <c r="DVQ5" s="12" t="s">
        <v>5074</v>
      </c>
      <c r="DVR5" s="12" t="s">
        <v>5075</v>
      </c>
      <c r="DVS5" s="12" t="s">
        <v>5076</v>
      </c>
      <c r="DVT5" s="12" t="s">
        <v>5077</v>
      </c>
      <c r="DVU5" s="12" t="s">
        <v>5078</v>
      </c>
      <c r="DVV5" s="12" t="s">
        <v>5079</v>
      </c>
      <c r="DVW5" s="12" t="s">
        <v>5080</v>
      </c>
      <c r="DVX5" s="12" t="s">
        <v>5081</v>
      </c>
      <c r="DVY5" s="12" t="s">
        <v>5082</v>
      </c>
      <c r="DVZ5" s="12" t="s">
        <v>5083</v>
      </c>
      <c r="DWA5" s="12" t="s">
        <v>5084</v>
      </c>
      <c r="DWB5" s="12" t="s">
        <v>5085</v>
      </c>
      <c r="DWC5" s="12" t="s">
        <v>5086</v>
      </c>
      <c r="DWD5" s="12" t="s">
        <v>5087</v>
      </c>
      <c r="DWE5" s="12" t="s">
        <v>5088</v>
      </c>
      <c r="DWF5" s="12" t="s">
        <v>5089</v>
      </c>
      <c r="DWG5" s="12" t="s">
        <v>5090</v>
      </c>
      <c r="DWH5" s="12" t="s">
        <v>5091</v>
      </c>
      <c r="DWI5" s="12" t="s">
        <v>5092</v>
      </c>
      <c r="DWJ5" s="12" t="s">
        <v>5093</v>
      </c>
      <c r="DWK5" s="12" t="s">
        <v>5094</v>
      </c>
      <c r="DWL5" s="12" t="s">
        <v>5095</v>
      </c>
      <c r="DWM5" s="12" t="s">
        <v>5096</v>
      </c>
      <c r="DWN5" s="12" t="s">
        <v>5097</v>
      </c>
      <c r="DWO5" s="12" t="s">
        <v>5098</v>
      </c>
      <c r="DWP5" s="12" t="s">
        <v>5099</v>
      </c>
      <c r="DWQ5" s="12" t="s">
        <v>5100</v>
      </c>
      <c r="DWR5" s="12" t="s">
        <v>5101</v>
      </c>
      <c r="DWS5" s="12" t="s">
        <v>5102</v>
      </c>
      <c r="DWT5" s="12" t="s">
        <v>5103</v>
      </c>
      <c r="DWU5" s="12" t="s">
        <v>5104</v>
      </c>
      <c r="DWV5" s="12" t="s">
        <v>5105</v>
      </c>
      <c r="DWW5" s="12" t="s">
        <v>5106</v>
      </c>
      <c r="DWX5" s="12" t="s">
        <v>5107</v>
      </c>
      <c r="DWY5" s="12" t="s">
        <v>5108</v>
      </c>
      <c r="DWZ5" s="12" t="s">
        <v>5109</v>
      </c>
      <c r="DXA5" s="12" t="s">
        <v>5110</v>
      </c>
      <c r="DXB5" s="12" t="s">
        <v>5111</v>
      </c>
      <c r="DXC5" s="12" t="s">
        <v>5112</v>
      </c>
      <c r="DXD5" s="12" t="s">
        <v>5113</v>
      </c>
      <c r="DXE5" s="12" t="s">
        <v>5114</v>
      </c>
      <c r="DXF5" s="12" t="s">
        <v>5115</v>
      </c>
      <c r="DXG5" s="12" t="s">
        <v>5116</v>
      </c>
      <c r="DXH5" s="12" t="s">
        <v>5117</v>
      </c>
      <c r="DXI5" s="12" t="s">
        <v>5118</v>
      </c>
      <c r="DXJ5" s="12" t="s">
        <v>5119</v>
      </c>
      <c r="DXK5" s="12" t="s">
        <v>5120</v>
      </c>
      <c r="DXL5" s="12" t="s">
        <v>5121</v>
      </c>
      <c r="DXM5" s="12" t="s">
        <v>5122</v>
      </c>
      <c r="DXN5" s="12" t="s">
        <v>5123</v>
      </c>
      <c r="DXO5" s="12" t="s">
        <v>5124</v>
      </c>
      <c r="DXP5" s="12" t="s">
        <v>5125</v>
      </c>
      <c r="DXQ5" s="12" t="s">
        <v>5126</v>
      </c>
      <c r="DXR5" s="12" t="s">
        <v>5127</v>
      </c>
      <c r="DXS5" s="12" t="s">
        <v>5128</v>
      </c>
      <c r="DXT5" s="12" t="s">
        <v>5129</v>
      </c>
      <c r="DXU5" s="12" t="s">
        <v>5130</v>
      </c>
      <c r="DXV5" s="12" t="s">
        <v>5131</v>
      </c>
      <c r="DXW5" s="12" t="s">
        <v>5132</v>
      </c>
      <c r="DXX5" s="12" t="s">
        <v>5133</v>
      </c>
      <c r="DXY5" s="12" t="s">
        <v>5134</v>
      </c>
      <c r="DXZ5" s="12" t="s">
        <v>5135</v>
      </c>
      <c r="DYA5" s="12" t="s">
        <v>5136</v>
      </c>
      <c r="DYB5" s="12" t="s">
        <v>5137</v>
      </c>
      <c r="DYC5" s="12" t="s">
        <v>5138</v>
      </c>
      <c r="DYD5" s="12" t="s">
        <v>5139</v>
      </c>
      <c r="DYE5" s="12" t="s">
        <v>5140</v>
      </c>
      <c r="DYF5" s="12" t="s">
        <v>5141</v>
      </c>
      <c r="DYG5" s="12" t="s">
        <v>5142</v>
      </c>
      <c r="DYH5" s="12" t="s">
        <v>5143</v>
      </c>
      <c r="DYI5" s="12" t="s">
        <v>5144</v>
      </c>
      <c r="DYJ5" s="12" t="s">
        <v>5145</v>
      </c>
      <c r="DYK5" s="12" t="s">
        <v>5146</v>
      </c>
      <c r="DYL5" s="12" t="s">
        <v>5147</v>
      </c>
      <c r="DYM5" s="12" t="s">
        <v>5148</v>
      </c>
      <c r="DYN5" s="12" t="s">
        <v>5149</v>
      </c>
      <c r="DYO5" s="12" t="s">
        <v>5150</v>
      </c>
      <c r="DYP5" s="12" t="s">
        <v>5151</v>
      </c>
      <c r="DYQ5" s="12" t="s">
        <v>5152</v>
      </c>
      <c r="DYR5" s="12" t="s">
        <v>5153</v>
      </c>
      <c r="DYS5" s="12" t="s">
        <v>5154</v>
      </c>
      <c r="DYT5" s="12" t="s">
        <v>5155</v>
      </c>
      <c r="DYU5" s="12" t="s">
        <v>5156</v>
      </c>
      <c r="DYV5" s="12" t="s">
        <v>5157</v>
      </c>
      <c r="DYW5" s="12" t="s">
        <v>5158</v>
      </c>
      <c r="DYX5" s="12" t="s">
        <v>5159</v>
      </c>
      <c r="DYY5" s="12" t="s">
        <v>5160</v>
      </c>
      <c r="DYZ5" s="12" t="s">
        <v>5161</v>
      </c>
      <c r="DZA5" s="12" t="s">
        <v>5162</v>
      </c>
      <c r="DZB5" s="12" t="s">
        <v>5163</v>
      </c>
      <c r="DZC5" s="12" t="s">
        <v>5164</v>
      </c>
      <c r="DZD5" s="12" t="s">
        <v>5165</v>
      </c>
      <c r="DZE5" s="12" t="s">
        <v>5166</v>
      </c>
      <c r="DZF5" s="12" t="s">
        <v>5167</v>
      </c>
      <c r="DZG5" s="12" t="s">
        <v>5168</v>
      </c>
      <c r="DZH5" s="12" t="s">
        <v>5169</v>
      </c>
      <c r="DZI5" s="12" t="s">
        <v>5170</v>
      </c>
      <c r="DZJ5" s="12" t="s">
        <v>5171</v>
      </c>
      <c r="DZK5" s="12" t="s">
        <v>5172</v>
      </c>
      <c r="DZL5" s="12" t="s">
        <v>5173</v>
      </c>
      <c r="DZM5" s="12" t="s">
        <v>5174</v>
      </c>
      <c r="DZN5" s="12" t="s">
        <v>5175</v>
      </c>
      <c r="DZO5" s="12" t="s">
        <v>5176</v>
      </c>
      <c r="DZP5" s="12" t="s">
        <v>5177</v>
      </c>
      <c r="DZQ5" s="12" t="s">
        <v>5178</v>
      </c>
      <c r="DZR5" s="12" t="s">
        <v>5179</v>
      </c>
      <c r="DZS5" s="12" t="s">
        <v>5180</v>
      </c>
      <c r="DZT5" s="12" t="s">
        <v>5181</v>
      </c>
      <c r="DZU5" s="12" t="s">
        <v>5182</v>
      </c>
      <c r="DZV5" s="12" t="s">
        <v>5183</v>
      </c>
      <c r="DZW5" s="12" t="s">
        <v>5184</v>
      </c>
      <c r="DZX5" s="12" t="s">
        <v>5185</v>
      </c>
      <c r="DZY5" s="12" t="s">
        <v>5186</v>
      </c>
      <c r="DZZ5" s="12" t="s">
        <v>5187</v>
      </c>
      <c r="EAA5" s="12" t="s">
        <v>5188</v>
      </c>
      <c r="EAB5" s="12" t="s">
        <v>5189</v>
      </c>
      <c r="EAC5" s="12" t="s">
        <v>5190</v>
      </c>
      <c r="EAD5" s="12" t="s">
        <v>5191</v>
      </c>
      <c r="EAE5" s="12" t="s">
        <v>5192</v>
      </c>
      <c r="EAF5" s="12" t="s">
        <v>5193</v>
      </c>
      <c r="EAG5" s="12" t="s">
        <v>5194</v>
      </c>
      <c r="EAH5" s="12" t="s">
        <v>5195</v>
      </c>
      <c r="EAI5" s="12" t="s">
        <v>5196</v>
      </c>
      <c r="EAJ5" s="12" t="s">
        <v>5197</v>
      </c>
      <c r="EAK5" s="12" t="s">
        <v>5198</v>
      </c>
      <c r="EAL5" s="12" t="s">
        <v>5199</v>
      </c>
      <c r="EAM5" s="12" t="s">
        <v>5200</v>
      </c>
      <c r="EAN5" s="12" t="s">
        <v>5201</v>
      </c>
      <c r="EAO5" s="12" t="s">
        <v>5202</v>
      </c>
      <c r="EAP5" s="12" t="s">
        <v>5203</v>
      </c>
      <c r="EAQ5" s="12" t="s">
        <v>5204</v>
      </c>
      <c r="EAR5" s="12" t="s">
        <v>5205</v>
      </c>
      <c r="EAS5" s="12" t="s">
        <v>5206</v>
      </c>
      <c r="EAT5" s="12" t="s">
        <v>5207</v>
      </c>
      <c r="EAU5" s="12" t="s">
        <v>5208</v>
      </c>
      <c r="EAV5" s="12" t="s">
        <v>5209</v>
      </c>
      <c r="EAW5" s="12" t="s">
        <v>5210</v>
      </c>
      <c r="EAX5" s="12" t="s">
        <v>5211</v>
      </c>
      <c r="EAY5" s="12" t="s">
        <v>5212</v>
      </c>
      <c r="EAZ5" s="12" t="s">
        <v>5213</v>
      </c>
      <c r="EBA5" s="12" t="s">
        <v>5214</v>
      </c>
      <c r="EBB5" s="12" t="s">
        <v>5215</v>
      </c>
      <c r="EBC5" s="12" t="s">
        <v>5216</v>
      </c>
      <c r="EBD5" s="12" t="s">
        <v>5217</v>
      </c>
      <c r="EBE5" s="12" t="s">
        <v>5218</v>
      </c>
      <c r="EBF5" s="12" t="s">
        <v>5219</v>
      </c>
      <c r="EBG5" s="12" t="s">
        <v>5220</v>
      </c>
      <c r="EBH5" s="12" t="s">
        <v>5221</v>
      </c>
      <c r="EBI5" s="12" t="s">
        <v>5222</v>
      </c>
      <c r="EBJ5" s="12" t="s">
        <v>5223</v>
      </c>
      <c r="EBK5" s="12" t="s">
        <v>5224</v>
      </c>
      <c r="EBL5" s="12" t="s">
        <v>5225</v>
      </c>
      <c r="EBM5" s="12" t="s">
        <v>5226</v>
      </c>
      <c r="EBN5" s="12" t="s">
        <v>5227</v>
      </c>
      <c r="EBO5" s="12" t="s">
        <v>5228</v>
      </c>
      <c r="EBP5" s="12" t="s">
        <v>5229</v>
      </c>
      <c r="EBQ5" s="12" t="s">
        <v>5230</v>
      </c>
      <c r="EBR5" s="12" t="s">
        <v>5231</v>
      </c>
      <c r="EBS5" s="12" t="s">
        <v>5232</v>
      </c>
      <c r="EBT5" s="12" t="s">
        <v>5233</v>
      </c>
      <c r="EBU5" s="12" t="s">
        <v>5234</v>
      </c>
      <c r="EBV5" s="12" t="s">
        <v>5235</v>
      </c>
      <c r="EBW5" s="12" t="s">
        <v>5236</v>
      </c>
      <c r="EBX5" s="12" t="s">
        <v>5237</v>
      </c>
      <c r="EBY5" s="12" t="s">
        <v>5238</v>
      </c>
      <c r="EBZ5" s="12" t="s">
        <v>5239</v>
      </c>
      <c r="ECA5" s="12" t="s">
        <v>5240</v>
      </c>
      <c r="ECB5" s="12" t="s">
        <v>5241</v>
      </c>
      <c r="ECC5" s="12" t="s">
        <v>5242</v>
      </c>
      <c r="ECD5" s="12" t="s">
        <v>5243</v>
      </c>
      <c r="ECE5" s="12" t="s">
        <v>5244</v>
      </c>
      <c r="ECF5" s="12" t="s">
        <v>5245</v>
      </c>
      <c r="ECG5" s="12" t="s">
        <v>5246</v>
      </c>
      <c r="ECH5" s="12" t="s">
        <v>5247</v>
      </c>
      <c r="ECI5" s="12" t="s">
        <v>5248</v>
      </c>
      <c r="ECJ5" s="12" t="s">
        <v>5249</v>
      </c>
      <c r="ECK5" s="12" t="s">
        <v>5250</v>
      </c>
      <c r="ECL5" s="12" t="s">
        <v>5251</v>
      </c>
      <c r="ECM5" s="12" t="s">
        <v>5252</v>
      </c>
      <c r="ECN5" s="12" t="s">
        <v>5253</v>
      </c>
      <c r="ECO5" s="12" t="s">
        <v>5254</v>
      </c>
      <c r="ECP5" s="12" t="s">
        <v>5255</v>
      </c>
      <c r="ECQ5" s="12" t="s">
        <v>5256</v>
      </c>
      <c r="ECR5" s="12" t="s">
        <v>5257</v>
      </c>
      <c r="ECS5" s="12" t="s">
        <v>5258</v>
      </c>
      <c r="ECT5" s="12" t="s">
        <v>5259</v>
      </c>
      <c r="ECU5" s="12" t="s">
        <v>5260</v>
      </c>
      <c r="ECV5" s="12" t="s">
        <v>5261</v>
      </c>
      <c r="ECW5" s="12" t="s">
        <v>5262</v>
      </c>
      <c r="ECX5" s="12" t="s">
        <v>5263</v>
      </c>
      <c r="ECY5" s="12" t="s">
        <v>5264</v>
      </c>
      <c r="ECZ5" s="12" t="s">
        <v>5265</v>
      </c>
      <c r="EDA5" s="12" t="s">
        <v>5266</v>
      </c>
      <c r="EDB5" s="12" t="s">
        <v>5267</v>
      </c>
      <c r="EDC5" s="12" t="s">
        <v>5268</v>
      </c>
      <c r="EDD5" s="12" t="s">
        <v>5269</v>
      </c>
      <c r="EDE5" s="12" t="s">
        <v>5270</v>
      </c>
      <c r="EDF5" s="12" t="s">
        <v>5271</v>
      </c>
      <c r="EDG5" s="12" t="s">
        <v>5272</v>
      </c>
      <c r="EDH5" s="12" t="s">
        <v>5273</v>
      </c>
      <c r="EDI5" s="12" t="s">
        <v>5274</v>
      </c>
      <c r="EDJ5" s="12" t="s">
        <v>5275</v>
      </c>
      <c r="EDK5" s="12" t="s">
        <v>5276</v>
      </c>
      <c r="EDL5" s="12" t="s">
        <v>5277</v>
      </c>
      <c r="EDM5" s="12" t="s">
        <v>5278</v>
      </c>
      <c r="EDN5" s="12" t="s">
        <v>5279</v>
      </c>
      <c r="EDO5" s="12" t="s">
        <v>5280</v>
      </c>
      <c r="EDP5" s="12" t="s">
        <v>5281</v>
      </c>
      <c r="EDQ5" s="12" t="s">
        <v>5282</v>
      </c>
      <c r="EDR5" s="12" t="s">
        <v>5283</v>
      </c>
      <c r="EDS5" s="12" t="s">
        <v>5284</v>
      </c>
      <c r="EDT5" s="12" t="s">
        <v>5285</v>
      </c>
      <c r="EDU5" s="12" t="s">
        <v>5286</v>
      </c>
      <c r="EDV5" s="12" t="s">
        <v>5287</v>
      </c>
      <c r="EDW5" s="12" t="s">
        <v>5288</v>
      </c>
      <c r="EDX5" s="12" t="s">
        <v>5289</v>
      </c>
      <c r="EDY5" s="12" t="s">
        <v>5290</v>
      </c>
      <c r="EDZ5" s="12" t="s">
        <v>5291</v>
      </c>
      <c r="EEA5" s="12" t="s">
        <v>5292</v>
      </c>
      <c r="EEB5" s="12" t="s">
        <v>5293</v>
      </c>
      <c r="EEC5" s="12" t="s">
        <v>5294</v>
      </c>
      <c r="EED5" s="12" t="s">
        <v>5295</v>
      </c>
      <c r="EEE5" s="12" t="s">
        <v>5296</v>
      </c>
      <c r="EEF5" s="12" t="s">
        <v>5297</v>
      </c>
      <c r="EEG5" s="12" t="s">
        <v>5298</v>
      </c>
      <c r="EEH5" s="12" t="s">
        <v>5299</v>
      </c>
      <c r="EEI5" s="12" t="s">
        <v>5300</v>
      </c>
      <c r="EEJ5" s="12" t="s">
        <v>5301</v>
      </c>
      <c r="EEK5" s="12" t="s">
        <v>5302</v>
      </c>
      <c r="EEL5" s="12" t="s">
        <v>5303</v>
      </c>
      <c r="EEM5" s="12" t="s">
        <v>5304</v>
      </c>
      <c r="EEN5" s="12" t="s">
        <v>5305</v>
      </c>
      <c r="EEO5" s="12" t="s">
        <v>5306</v>
      </c>
      <c r="EEP5" s="12" t="s">
        <v>5307</v>
      </c>
      <c r="EEQ5" s="12" t="s">
        <v>5308</v>
      </c>
      <c r="EER5" s="12" t="s">
        <v>5309</v>
      </c>
      <c r="EES5" s="12" t="s">
        <v>5310</v>
      </c>
      <c r="EET5" s="12" t="s">
        <v>5311</v>
      </c>
      <c r="EEU5" s="12" t="s">
        <v>5312</v>
      </c>
      <c r="EEV5" s="12" t="s">
        <v>5313</v>
      </c>
      <c r="EEW5" s="12" t="s">
        <v>5314</v>
      </c>
      <c r="EEX5" s="12" t="s">
        <v>5315</v>
      </c>
      <c r="EEY5" s="12" t="s">
        <v>5316</v>
      </c>
      <c r="EEZ5" s="12" t="s">
        <v>5317</v>
      </c>
      <c r="EFA5" s="12" t="s">
        <v>5318</v>
      </c>
      <c r="EFB5" s="12" t="s">
        <v>5319</v>
      </c>
      <c r="EFC5" s="12" t="s">
        <v>5320</v>
      </c>
      <c r="EFD5" s="12" t="s">
        <v>5321</v>
      </c>
      <c r="EFE5" s="12" t="s">
        <v>5322</v>
      </c>
      <c r="EFF5" s="12" t="s">
        <v>5323</v>
      </c>
      <c r="EFG5" s="12" t="s">
        <v>5324</v>
      </c>
      <c r="EFH5" s="12" t="s">
        <v>5325</v>
      </c>
      <c r="EFI5" s="12" t="s">
        <v>5326</v>
      </c>
      <c r="EFJ5" s="12" t="s">
        <v>5327</v>
      </c>
      <c r="EFK5" s="12" t="s">
        <v>5328</v>
      </c>
      <c r="EFL5" s="12" t="s">
        <v>5329</v>
      </c>
      <c r="EFM5" s="12" t="s">
        <v>5330</v>
      </c>
      <c r="EFN5" s="12" t="s">
        <v>5331</v>
      </c>
      <c r="EFO5" s="12" t="s">
        <v>5332</v>
      </c>
      <c r="EFP5" s="12" t="s">
        <v>5333</v>
      </c>
      <c r="EFQ5" s="12" t="s">
        <v>5334</v>
      </c>
      <c r="EFR5" s="12" t="s">
        <v>5335</v>
      </c>
      <c r="EFS5" s="12" t="s">
        <v>5336</v>
      </c>
      <c r="EFT5" s="12" t="s">
        <v>5337</v>
      </c>
      <c r="EFU5" s="12" t="s">
        <v>5338</v>
      </c>
      <c r="EFV5" s="12" t="s">
        <v>5339</v>
      </c>
      <c r="EFW5" s="12" t="s">
        <v>5340</v>
      </c>
      <c r="EFX5" s="12" t="s">
        <v>5341</v>
      </c>
      <c r="EFY5" s="12" t="s">
        <v>5342</v>
      </c>
      <c r="EFZ5" s="12" t="s">
        <v>5343</v>
      </c>
      <c r="EGA5" s="12" t="s">
        <v>5344</v>
      </c>
      <c r="EGB5" s="12" t="s">
        <v>5345</v>
      </c>
      <c r="EGC5" s="12" t="s">
        <v>5346</v>
      </c>
      <c r="EGD5" s="12" t="s">
        <v>5347</v>
      </c>
      <c r="EGE5" s="12" t="s">
        <v>5348</v>
      </c>
      <c r="EGF5" s="12" t="s">
        <v>5349</v>
      </c>
      <c r="EGG5" s="12" t="s">
        <v>5350</v>
      </c>
      <c r="EGH5" s="12" t="s">
        <v>5351</v>
      </c>
      <c r="EGI5" s="12" t="s">
        <v>5352</v>
      </c>
      <c r="EGJ5" s="12" t="s">
        <v>5353</v>
      </c>
      <c r="EGK5" s="12" t="s">
        <v>5354</v>
      </c>
      <c r="EGL5" s="12" t="s">
        <v>5355</v>
      </c>
      <c r="EGM5" s="12" t="s">
        <v>5356</v>
      </c>
      <c r="EGN5" s="12" t="s">
        <v>5357</v>
      </c>
      <c r="EGO5" s="12" t="s">
        <v>5358</v>
      </c>
      <c r="EGP5" s="12" t="s">
        <v>5359</v>
      </c>
      <c r="EGQ5" s="12" t="s">
        <v>5360</v>
      </c>
      <c r="EGR5" s="12" t="s">
        <v>5361</v>
      </c>
      <c r="EGS5" s="12" t="s">
        <v>5362</v>
      </c>
      <c r="EGT5" s="12" t="s">
        <v>5363</v>
      </c>
      <c r="EGU5" s="12" t="s">
        <v>5364</v>
      </c>
      <c r="EGV5" s="12" t="s">
        <v>5365</v>
      </c>
      <c r="EGW5" s="12" t="s">
        <v>5366</v>
      </c>
      <c r="EGX5" s="12" t="s">
        <v>5367</v>
      </c>
      <c r="EGY5" s="12" t="s">
        <v>5368</v>
      </c>
      <c r="EGZ5" s="12" t="s">
        <v>5369</v>
      </c>
      <c r="EHA5" s="12" t="s">
        <v>5370</v>
      </c>
      <c r="EHB5" s="12" t="s">
        <v>5371</v>
      </c>
      <c r="EHC5" s="12" t="s">
        <v>5372</v>
      </c>
      <c r="EHD5" s="12" t="s">
        <v>5373</v>
      </c>
      <c r="EHE5" s="12" t="s">
        <v>5374</v>
      </c>
      <c r="EHF5" s="12" t="s">
        <v>5375</v>
      </c>
      <c r="EHG5" s="12" t="s">
        <v>5376</v>
      </c>
      <c r="EHH5" s="12" t="s">
        <v>5377</v>
      </c>
      <c r="EHI5" s="12" t="s">
        <v>5378</v>
      </c>
      <c r="EHJ5" s="12" t="s">
        <v>5379</v>
      </c>
      <c r="EHK5" s="12" t="s">
        <v>5380</v>
      </c>
      <c r="EHL5" s="12" t="s">
        <v>5381</v>
      </c>
      <c r="EHM5" s="12" t="s">
        <v>5382</v>
      </c>
      <c r="EHN5" s="12" t="s">
        <v>5383</v>
      </c>
      <c r="EHO5" s="12" t="s">
        <v>5384</v>
      </c>
      <c r="EHP5" s="12" t="s">
        <v>5385</v>
      </c>
      <c r="EHQ5" s="12" t="s">
        <v>5386</v>
      </c>
      <c r="EHR5" s="12" t="s">
        <v>5387</v>
      </c>
      <c r="EHS5" s="12" t="s">
        <v>5388</v>
      </c>
      <c r="EHT5" s="12" t="s">
        <v>5389</v>
      </c>
      <c r="EHU5" s="12" t="s">
        <v>5390</v>
      </c>
      <c r="EHV5" s="12" t="s">
        <v>5391</v>
      </c>
      <c r="EHW5" s="12" t="s">
        <v>5392</v>
      </c>
      <c r="EHX5" s="12" t="s">
        <v>5393</v>
      </c>
      <c r="EHY5" s="12" t="s">
        <v>5394</v>
      </c>
      <c r="EHZ5" s="12" t="s">
        <v>5395</v>
      </c>
      <c r="EIA5" s="12" t="s">
        <v>5396</v>
      </c>
      <c r="EIB5" s="12" t="s">
        <v>5397</v>
      </c>
      <c r="EIC5" s="12" t="s">
        <v>5398</v>
      </c>
      <c r="EID5" s="12" t="s">
        <v>5399</v>
      </c>
      <c r="EIE5" s="12" t="s">
        <v>5400</v>
      </c>
      <c r="EIF5" s="12" t="s">
        <v>5401</v>
      </c>
      <c r="EIG5" s="12" t="s">
        <v>5402</v>
      </c>
      <c r="EIH5" s="12" t="s">
        <v>5403</v>
      </c>
      <c r="EII5" s="12" t="s">
        <v>5404</v>
      </c>
      <c r="EIJ5" s="12" t="s">
        <v>5405</v>
      </c>
      <c r="EIK5" s="12" t="s">
        <v>5406</v>
      </c>
      <c r="EIL5" s="12" t="s">
        <v>5407</v>
      </c>
      <c r="EIM5" s="12" t="s">
        <v>5408</v>
      </c>
      <c r="EIN5" s="12" t="s">
        <v>5409</v>
      </c>
      <c r="EIO5" s="12" t="s">
        <v>5410</v>
      </c>
      <c r="EIP5" s="12" t="s">
        <v>5411</v>
      </c>
      <c r="EIQ5" s="12" t="s">
        <v>5412</v>
      </c>
      <c r="EIR5" s="12" t="s">
        <v>5413</v>
      </c>
      <c r="EIS5" s="12" t="s">
        <v>5414</v>
      </c>
      <c r="EIT5" s="12" t="s">
        <v>5415</v>
      </c>
      <c r="EIU5" s="12" t="s">
        <v>5416</v>
      </c>
      <c r="EIV5" s="12" t="s">
        <v>5417</v>
      </c>
      <c r="EIW5" s="12" t="s">
        <v>5418</v>
      </c>
      <c r="EIX5" s="12" t="s">
        <v>5419</v>
      </c>
      <c r="EIY5" s="12" t="s">
        <v>5420</v>
      </c>
      <c r="EIZ5" s="12" t="s">
        <v>5421</v>
      </c>
      <c r="EJA5" s="12" t="s">
        <v>5422</v>
      </c>
      <c r="EJB5" s="12" t="s">
        <v>5423</v>
      </c>
      <c r="EJC5" s="12" t="s">
        <v>5424</v>
      </c>
      <c r="EJD5" s="12" t="s">
        <v>5425</v>
      </c>
      <c r="EJE5" s="12" t="s">
        <v>5426</v>
      </c>
      <c r="EJF5" s="12" t="s">
        <v>5427</v>
      </c>
      <c r="EJG5" s="12" t="s">
        <v>5428</v>
      </c>
      <c r="EJH5" s="12" t="s">
        <v>5429</v>
      </c>
      <c r="EJI5" s="12" t="s">
        <v>5430</v>
      </c>
      <c r="EJJ5" s="12" t="s">
        <v>5431</v>
      </c>
      <c r="EJK5" s="12" t="s">
        <v>5432</v>
      </c>
      <c r="EJL5" s="12" t="s">
        <v>5433</v>
      </c>
      <c r="EJM5" s="12" t="s">
        <v>5434</v>
      </c>
      <c r="EJN5" s="12" t="s">
        <v>5435</v>
      </c>
      <c r="EJO5" s="12" t="s">
        <v>5436</v>
      </c>
      <c r="EJP5" s="12" t="s">
        <v>5437</v>
      </c>
      <c r="EJQ5" s="12" t="s">
        <v>5438</v>
      </c>
      <c r="EJR5" s="12" t="s">
        <v>5439</v>
      </c>
      <c r="EJS5" s="12" t="s">
        <v>5440</v>
      </c>
      <c r="EJT5" s="12" t="s">
        <v>5441</v>
      </c>
      <c r="EJU5" s="12" t="s">
        <v>5442</v>
      </c>
      <c r="EJV5" s="12" t="s">
        <v>5443</v>
      </c>
      <c r="EJW5" s="12" t="s">
        <v>5444</v>
      </c>
      <c r="EJX5" s="12" t="s">
        <v>5445</v>
      </c>
      <c r="EJY5" s="12" t="s">
        <v>5446</v>
      </c>
      <c r="EJZ5" s="12" t="s">
        <v>5447</v>
      </c>
      <c r="EKA5" s="12" t="s">
        <v>5448</v>
      </c>
      <c r="EKB5" s="12" t="s">
        <v>5449</v>
      </c>
      <c r="EKC5" s="12" t="s">
        <v>5450</v>
      </c>
      <c r="EKD5" s="12" t="s">
        <v>5451</v>
      </c>
      <c r="EKE5" s="12" t="s">
        <v>5452</v>
      </c>
      <c r="EKF5" s="12" t="s">
        <v>5453</v>
      </c>
      <c r="EKG5" s="12" t="s">
        <v>5454</v>
      </c>
      <c r="EKH5" s="12" t="s">
        <v>5455</v>
      </c>
      <c r="EKI5" s="12" t="s">
        <v>5456</v>
      </c>
      <c r="EKJ5" s="12" t="s">
        <v>5457</v>
      </c>
      <c r="EKK5" s="12" t="s">
        <v>5458</v>
      </c>
      <c r="EKL5" s="12" t="s">
        <v>5459</v>
      </c>
      <c r="EKM5" s="12" t="s">
        <v>5460</v>
      </c>
      <c r="EKN5" s="12" t="s">
        <v>5461</v>
      </c>
      <c r="EKO5" s="12" t="s">
        <v>5462</v>
      </c>
      <c r="EKP5" s="12" t="s">
        <v>5463</v>
      </c>
      <c r="EKQ5" s="12" t="s">
        <v>5464</v>
      </c>
      <c r="EKR5" s="12" t="s">
        <v>5465</v>
      </c>
      <c r="EKS5" s="12" t="s">
        <v>5466</v>
      </c>
      <c r="EKT5" s="12" t="s">
        <v>5467</v>
      </c>
      <c r="EKU5" s="12" t="s">
        <v>5468</v>
      </c>
      <c r="EKV5" s="12" t="s">
        <v>5469</v>
      </c>
      <c r="EKW5" s="12" t="s">
        <v>5470</v>
      </c>
      <c r="EKX5" s="12" t="s">
        <v>5471</v>
      </c>
      <c r="EKY5" s="12" t="s">
        <v>5472</v>
      </c>
      <c r="EKZ5" s="12" t="s">
        <v>5473</v>
      </c>
      <c r="ELA5" s="12" t="s">
        <v>5474</v>
      </c>
      <c r="ELB5" s="12" t="s">
        <v>5475</v>
      </c>
      <c r="ELC5" s="12" t="s">
        <v>5476</v>
      </c>
      <c r="ELD5" s="12" t="s">
        <v>5477</v>
      </c>
      <c r="ELE5" s="12" t="s">
        <v>5478</v>
      </c>
      <c r="ELF5" s="12" t="s">
        <v>5479</v>
      </c>
      <c r="ELG5" s="12" t="s">
        <v>5480</v>
      </c>
      <c r="ELH5" s="12" t="s">
        <v>5481</v>
      </c>
      <c r="ELI5" s="12" t="s">
        <v>5482</v>
      </c>
      <c r="ELJ5" s="12" t="s">
        <v>5483</v>
      </c>
      <c r="ELK5" s="12" t="s">
        <v>5484</v>
      </c>
      <c r="ELL5" s="12" t="s">
        <v>5485</v>
      </c>
      <c r="ELM5" s="12" t="s">
        <v>5486</v>
      </c>
      <c r="ELN5" s="12" t="s">
        <v>5487</v>
      </c>
      <c r="ELO5" s="12" t="s">
        <v>5488</v>
      </c>
      <c r="ELP5" s="12" t="s">
        <v>5489</v>
      </c>
      <c r="ELQ5" s="12" t="s">
        <v>5490</v>
      </c>
      <c r="ELR5" s="12" t="s">
        <v>5491</v>
      </c>
      <c r="ELS5" s="12" t="s">
        <v>5492</v>
      </c>
      <c r="ELT5" s="12" t="s">
        <v>5493</v>
      </c>
      <c r="ELU5" s="12" t="s">
        <v>5494</v>
      </c>
      <c r="ELV5" s="12" t="s">
        <v>5495</v>
      </c>
      <c r="ELW5" s="12" t="s">
        <v>5496</v>
      </c>
      <c r="ELX5" s="12" t="s">
        <v>5497</v>
      </c>
      <c r="ELY5" s="12" t="s">
        <v>5498</v>
      </c>
      <c r="ELZ5" s="12" t="s">
        <v>5499</v>
      </c>
      <c r="EMA5" s="12" t="s">
        <v>5500</v>
      </c>
      <c r="EMB5" s="12" t="s">
        <v>5501</v>
      </c>
      <c r="EMC5" s="12" t="s">
        <v>5502</v>
      </c>
      <c r="EMD5" s="12" t="s">
        <v>5503</v>
      </c>
      <c r="EME5" s="12" t="s">
        <v>5504</v>
      </c>
      <c r="EMF5" s="12" t="s">
        <v>5505</v>
      </c>
      <c r="EMG5" s="12" t="s">
        <v>5506</v>
      </c>
      <c r="EMH5" s="12" t="s">
        <v>5507</v>
      </c>
      <c r="EMI5" s="12" t="s">
        <v>5508</v>
      </c>
      <c r="EMJ5" s="12" t="s">
        <v>5509</v>
      </c>
      <c r="EMK5" s="12" t="s">
        <v>5510</v>
      </c>
      <c r="EML5" s="12" t="s">
        <v>5511</v>
      </c>
      <c r="EMM5" s="12" t="s">
        <v>5512</v>
      </c>
      <c r="EMN5" s="12" t="s">
        <v>5513</v>
      </c>
      <c r="EMO5" s="12" t="s">
        <v>5514</v>
      </c>
      <c r="EMP5" s="12" t="s">
        <v>5515</v>
      </c>
      <c r="EMQ5" s="12" t="s">
        <v>5516</v>
      </c>
      <c r="EMR5" s="12" t="s">
        <v>5517</v>
      </c>
      <c r="EMS5" s="12" t="s">
        <v>5518</v>
      </c>
      <c r="EMT5" s="12" t="s">
        <v>5519</v>
      </c>
      <c r="EMU5" s="12" t="s">
        <v>5520</v>
      </c>
      <c r="EMV5" s="12" t="s">
        <v>5521</v>
      </c>
      <c r="EMW5" s="12" t="s">
        <v>5522</v>
      </c>
      <c r="EMX5" s="12" t="s">
        <v>5523</v>
      </c>
      <c r="EMY5" s="12" t="s">
        <v>5524</v>
      </c>
      <c r="EMZ5" s="12" t="s">
        <v>5525</v>
      </c>
      <c r="ENA5" s="12" t="s">
        <v>5526</v>
      </c>
      <c r="ENB5" s="12" t="s">
        <v>5527</v>
      </c>
      <c r="ENC5" s="12" t="s">
        <v>5528</v>
      </c>
      <c r="END5" s="12" t="s">
        <v>5529</v>
      </c>
      <c r="ENE5" s="12" t="s">
        <v>5530</v>
      </c>
      <c r="ENF5" s="12" t="s">
        <v>5531</v>
      </c>
      <c r="ENG5" s="12" t="s">
        <v>5532</v>
      </c>
      <c r="ENH5" s="12" t="s">
        <v>5533</v>
      </c>
      <c r="ENI5" s="12" t="s">
        <v>5534</v>
      </c>
      <c r="ENJ5" s="12" t="s">
        <v>5535</v>
      </c>
      <c r="ENK5" s="12" t="s">
        <v>5536</v>
      </c>
      <c r="ENL5" s="12" t="s">
        <v>5537</v>
      </c>
      <c r="ENM5" s="12" t="s">
        <v>5538</v>
      </c>
      <c r="ENN5" s="12" t="s">
        <v>5539</v>
      </c>
      <c r="ENO5" s="12" t="s">
        <v>5540</v>
      </c>
      <c r="ENP5" s="12" t="s">
        <v>5541</v>
      </c>
      <c r="ENQ5" s="12" t="s">
        <v>5542</v>
      </c>
      <c r="ENR5" s="12" t="s">
        <v>5543</v>
      </c>
      <c r="ENS5" s="12" t="s">
        <v>5544</v>
      </c>
      <c r="ENT5" s="12" t="s">
        <v>5545</v>
      </c>
      <c r="ENU5" s="12" t="s">
        <v>5546</v>
      </c>
      <c r="ENV5" s="12" t="s">
        <v>5547</v>
      </c>
      <c r="ENW5" s="12" t="s">
        <v>5548</v>
      </c>
      <c r="ENX5" s="12" t="s">
        <v>5549</v>
      </c>
      <c r="ENY5" s="12" t="s">
        <v>5550</v>
      </c>
      <c r="ENZ5" s="12" t="s">
        <v>5551</v>
      </c>
      <c r="EOA5" s="12" t="s">
        <v>5552</v>
      </c>
      <c r="EOB5" s="12" t="s">
        <v>5553</v>
      </c>
      <c r="EOC5" s="12" t="s">
        <v>5554</v>
      </c>
      <c r="EOD5" s="12" t="s">
        <v>5555</v>
      </c>
      <c r="EOE5" s="12" t="s">
        <v>5556</v>
      </c>
      <c r="EOF5" s="12" t="s">
        <v>5557</v>
      </c>
      <c r="EOG5" s="12" t="s">
        <v>5558</v>
      </c>
      <c r="EOH5" s="12" t="s">
        <v>5559</v>
      </c>
      <c r="EOI5" s="12" t="s">
        <v>5560</v>
      </c>
      <c r="EOJ5" s="12" t="s">
        <v>5561</v>
      </c>
      <c r="EOK5" s="12" t="s">
        <v>5562</v>
      </c>
      <c r="EOL5" s="12" t="s">
        <v>5563</v>
      </c>
      <c r="EOM5" s="12" t="s">
        <v>5564</v>
      </c>
      <c r="EON5" s="12" t="s">
        <v>5565</v>
      </c>
      <c r="EOO5" s="12" t="s">
        <v>5566</v>
      </c>
      <c r="EOP5" s="12" t="s">
        <v>5567</v>
      </c>
      <c r="EOQ5" s="12" t="s">
        <v>5568</v>
      </c>
      <c r="EOR5" s="12" t="s">
        <v>5569</v>
      </c>
      <c r="EOS5" s="12" t="s">
        <v>5570</v>
      </c>
      <c r="EOT5" s="12" t="s">
        <v>5571</v>
      </c>
      <c r="EOU5" s="12" t="s">
        <v>5572</v>
      </c>
      <c r="EOV5" s="12" t="s">
        <v>5573</v>
      </c>
      <c r="EOW5" s="12" t="s">
        <v>5574</v>
      </c>
      <c r="EOX5" s="12" t="s">
        <v>5575</v>
      </c>
      <c r="EOY5" s="12" t="s">
        <v>5576</v>
      </c>
      <c r="EOZ5" s="12" t="s">
        <v>5577</v>
      </c>
      <c r="EPA5" s="12" t="s">
        <v>5578</v>
      </c>
      <c r="EPB5" s="12" t="s">
        <v>5579</v>
      </c>
      <c r="EPC5" s="12" t="s">
        <v>5580</v>
      </c>
      <c r="EPD5" s="12" t="s">
        <v>5581</v>
      </c>
      <c r="EPE5" s="12" t="s">
        <v>5582</v>
      </c>
      <c r="EPF5" s="12" t="s">
        <v>5583</v>
      </c>
      <c r="EPG5" s="12" t="s">
        <v>5584</v>
      </c>
      <c r="EPH5" s="12" t="s">
        <v>5585</v>
      </c>
      <c r="EPI5" s="12" t="s">
        <v>5586</v>
      </c>
      <c r="EPJ5" s="12" t="s">
        <v>5587</v>
      </c>
      <c r="EPK5" s="12" t="s">
        <v>5588</v>
      </c>
      <c r="EPL5" s="12" t="s">
        <v>5589</v>
      </c>
      <c r="EPM5" s="12" t="s">
        <v>5590</v>
      </c>
      <c r="EPN5" s="12" t="s">
        <v>5591</v>
      </c>
      <c r="EPO5" s="12" t="s">
        <v>5592</v>
      </c>
      <c r="EPP5" s="12" t="s">
        <v>5593</v>
      </c>
      <c r="EPQ5" s="12" t="s">
        <v>5594</v>
      </c>
      <c r="EPR5" s="12" t="s">
        <v>5595</v>
      </c>
      <c r="EPS5" s="12" t="s">
        <v>5596</v>
      </c>
      <c r="EPT5" s="12" t="s">
        <v>5597</v>
      </c>
      <c r="EPU5" s="12" t="s">
        <v>5598</v>
      </c>
      <c r="EPV5" s="12" t="s">
        <v>5599</v>
      </c>
      <c r="EPW5" s="12" t="s">
        <v>5600</v>
      </c>
      <c r="EPX5" s="12" t="s">
        <v>5601</v>
      </c>
      <c r="EPY5" s="12" t="s">
        <v>5602</v>
      </c>
      <c r="EPZ5" s="12" t="s">
        <v>5603</v>
      </c>
      <c r="EQA5" s="12" t="s">
        <v>5604</v>
      </c>
      <c r="EQB5" s="12" t="s">
        <v>5605</v>
      </c>
      <c r="EQC5" s="12" t="s">
        <v>5606</v>
      </c>
      <c r="EQD5" s="12" t="s">
        <v>5607</v>
      </c>
      <c r="EQE5" s="12" t="s">
        <v>5608</v>
      </c>
      <c r="EQF5" s="12" t="s">
        <v>5609</v>
      </c>
      <c r="EQG5" s="12" t="s">
        <v>5610</v>
      </c>
      <c r="EQH5" s="12" t="s">
        <v>5611</v>
      </c>
      <c r="EQI5" s="12" t="s">
        <v>5612</v>
      </c>
      <c r="EQJ5" s="12" t="s">
        <v>5613</v>
      </c>
      <c r="EQK5" s="12" t="s">
        <v>5614</v>
      </c>
      <c r="EQL5" s="12" t="s">
        <v>5615</v>
      </c>
      <c r="EQM5" s="12" t="s">
        <v>5616</v>
      </c>
      <c r="EQN5" s="12" t="s">
        <v>5617</v>
      </c>
      <c r="EQO5" s="12" t="s">
        <v>5618</v>
      </c>
      <c r="EQP5" s="12" t="s">
        <v>5619</v>
      </c>
      <c r="EQQ5" s="12" t="s">
        <v>5620</v>
      </c>
      <c r="EQR5" s="12" t="s">
        <v>5621</v>
      </c>
      <c r="EQS5" s="12" t="s">
        <v>5622</v>
      </c>
      <c r="EQT5" s="12" t="s">
        <v>5623</v>
      </c>
      <c r="EQU5" s="12" t="s">
        <v>5624</v>
      </c>
      <c r="EQV5" s="12" t="s">
        <v>5625</v>
      </c>
      <c r="EQW5" s="12" t="s">
        <v>5626</v>
      </c>
      <c r="EQX5" s="12" t="s">
        <v>5627</v>
      </c>
      <c r="EQY5" s="12" t="s">
        <v>5628</v>
      </c>
      <c r="EQZ5" s="12" t="s">
        <v>5629</v>
      </c>
      <c r="ERA5" s="12" t="s">
        <v>5630</v>
      </c>
      <c r="ERB5" s="12" t="s">
        <v>5631</v>
      </c>
      <c r="ERC5" s="12" t="s">
        <v>5632</v>
      </c>
      <c r="ERD5" s="12" t="s">
        <v>5633</v>
      </c>
      <c r="ERE5" s="12" t="s">
        <v>5634</v>
      </c>
      <c r="ERF5" s="12" t="s">
        <v>5635</v>
      </c>
      <c r="ERG5" s="12" t="s">
        <v>5636</v>
      </c>
      <c r="ERH5" s="12" t="s">
        <v>5637</v>
      </c>
      <c r="ERI5" s="12" t="s">
        <v>5638</v>
      </c>
      <c r="ERJ5" s="12" t="s">
        <v>5639</v>
      </c>
      <c r="ERK5" s="12" t="s">
        <v>5640</v>
      </c>
      <c r="ERL5" s="12" t="s">
        <v>5641</v>
      </c>
      <c r="ERM5" s="12" t="s">
        <v>5642</v>
      </c>
      <c r="ERN5" s="12" t="s">
        <v>5643</v>
      </c>
      <c r="ERO5" s="12" t="s">
        <v>5644</v>
      </c>
      <c r="ERP5" s="12" t="s">
        <v>5645</v>
      </c>
      <c r="ERQ5" s="12" t="s">
        <v>5646</v>
      </c>
      <c r="ERR5" s="12" t="s">
        <v>5647</v>
      </c>
      <c r="ERS5" s="12" t="s">
        <v>5648</v>
      </c>
      <c r="ERT5" s="12" t="s">
        <v>5649</v>
      </c>
      <c r="ERU5" s="12" t="s">
        <v>5650</v>
      </c>
      <c r="ERV5" s="12" t="s">
        <v>5651</v>
      </c>
      <c r="ERW5" s="12" t="s">
        <v>5652</v>
      </c>
      <c r="ERX5" s="12" t="s">
        <v>5653</v>
      </c>
      <c r="ERY5" s="12" t="s">
        <v>5654</v>
      </c>
      <c r="ERZ5" s="12" t="s">
        <v>5655</v>
      </c>
      <c r="ESA5" s="12" t="s">
        <v>5656</v>
      </c>
      <c r="ESB5" s="12" t="s">
        <v>5657</v>
      </c>
      <c r="ESC5" s="12" t="s">
        <v>5658</v>
      </c>
      <c r="ESD5" s="12" t="s">
        <v>5659</v>
      </c>
      <c r="ESE5" s="12" t="s">
        <v>5660</v>
      </c>
      <c r="ESF5" s="12" t="s">
        <v>5661</v>
      </c>
      <c r="ESG5" s="12" t="s">
        <v>5662</v>
      </c>
      <c r="ESH5" s="12" t="s">
        <v>5663</v>
      </c>
      <c r="ESI5" s="12" t="s">
        <v>5664</v>
      </c>
      <c r="ESJ5" s="12" t="s">
        <v>5665</v>
      </c>
      <c r="ESK5" s="12" t="s">
        <v>5666</v>
      </c>
      <c r="ESL5" s="12" t="s">
        <v>5667</v>
      </c>
      <c r="ESM5" s="12" t="s">
        <v>5668</v>
      </c>
      <c r="ESN5" s="12" t="s">
        <v>5669</v>
      </c>
      <c r="ESO5" s="12" t="s">
        <v>5670</v>
      </c>
      <c r="ESP5" s="12" t="s">
        <v>5671</v>
      </c>
      <c r="ESQ5" s="12" t="s">
        <v>5672</v>
      </c>
      <c r="ESR5" s="12" t="s">
        <v>5673</v>
      </c>
      <c r="ESS5" s="12" t="s">
        <v>5674</v>
      </c>
      <c r="EST5" s="12" t="s">
        <v>5675</v>
      </c>
      <c r="ESU5" s="12" t="s">
        <v>5676</v>
      </c>
      <c r="ESV5" s="12" t="s">
        <v>5677</v>
      </c>
      <c r="ESW5" s="12" t="s">
        <v>5678</v>
      </c>
      <c r="ESX5" s="12" t="s">
        <v>5679</v>
      </c>
      <c r="ESY5" s="12" t="s">
        <v>5680</v>
      </c>
      <c r="ESZ5" s="12" t="s">
        <v>5681</v>
      </c>
      <c r="ETA5" s="12" t="s">
        <v>5682</v>
      </c>
      <c r="ETB5" s="12" t="s">
        <v>5683</v>
      </c>
      <c r="ETC5" s="12" t="s">
        <v>5684</v>
      </c>
      <c r="ETD5" s="12" t="s">
        <v>5685</v>
      </c>
      <c r="ETE5" s="12" t="s">
        <v>5686</v>
      </c>
      <c r="ETF5" s="12" t="s">
        <v>5687</v>
      </c>
      <c r="ETG5" s="12" t="s">
        <v>5688</v>
      </c>
      <c r="ETH5" s="12" t="s">
        <v>5689</v>
      </c>
      <c r="ETI5" s="12" t="s">
        <v>5690</v>
      </c>
      <c r="ETJ5" s="12" t="s">
        <v>5691</v>
      </c>
      <c r="ETK5" s="12" t="s">
        <v>5692</v>
      </c>
      <c r="ETL5" s="12" t="s">
        <v>5693</v>
      </c>
      <c r="ETM5" s="12" t="s">
        <v>5694</v>
      </c>
      <c r="ETN5" s="12" t="s">
        <v>5695</v>
      </c>
      <c r="ETO5" s="12" t="s">
        <v>5696</v>
      </c>
      <c r="ETP5" s="12" t="s">
        <v>5697</v>
      </c>
      <c r="ETQ5" s="12" t="s">
        <v>5698</v>
      </c>
      <c r="ETR5" s="12" t="s">
        <v>5699</v>
      </c>
      <c r="ETS5" s="12" t="s">
        <v>5700</v>
      </c>
      <c r="ETT5" s="12" t="s">
        <v>5701</v>
      </c>
      <c r="ETU5" s="12" t="s">
        <v>5702</v>
      </c>
      <c r="ETV5" s="12" t="s">
        <v>5703</v>
      </c>
      <c r="ETW5" s="12" t="s">
        <v>5704</v>
      </c>
      <c r="ETX5" s="12" t="s">
        <v>5705</v>
      </c>
      <c r="ETY5" s="12" t="s">
        <v>5706</v>
      </c>
      <c r="ETZ5" s="12" t="s">
        <v>5707</v>
      </c>
      <c r="EUA5" s="12" t="s">
        <v>5708</v>
      </c>
      <c r="EUB5" s="12" t="s">
        <v>5709</v>
      </c>
      <c r="EUC5" s="12" t="s">
        <v>5710</v>
      </c>
      <c r="EUD5" s="12" t="s">
        <v>5711</v>
      </c>
      <c r="EUE5" s="12" t="s">
        <v>5712</v>
      </c>
      <c r="EUF5" s="12" t="s">
        <v>5713</v>
      </c>
      <c r="EUG5" s="12" t="s">
        <v>5714</v>
      </c>
      <c r="EUH5" s="12" t="s">
        <v>5715</v>
      </c>
      <c r="EUI5" s="12" t="s">
        <v>5716</v>
      </c>
      <c r="EUJ5" s="12" t="s">
        <v>5717</v>
      </c>
      <c r="EUK5" s="12" t="s">
        <v>5718</v>
      </c>
      <c r="EUL5" s="12" t="s">
        <v>5719</v>
      </c>
      <c r="EUM5" s="12" t="s">
        <v>5720</v>
      </c>
      <c r="EUN5" s="12" t="s">
        <v>5721</v>
      </c>
      <c r="EUO5" s="12" t="s">
        <v>5722</v>
      </c>
      <c r="EUP5" s="12" t="s">
        <v>5723</v>
      </c>
      <c r="EUQ5" s="12" t="s">
        <v>5724</v>
      </c>
      <c r="EUR5" s="12" t="s">
        <v>5725</v>
      </c>
      <c r="EUS5" s="12" t="s">
        <v>5726</v>
      </c>
      <c r="EUT5" s="12" t="s">
        <v>5727</v>
      </c>
      <c r="EUU5" s="12" t="s">
        <v>5728</v>
      </c>
      <c r="EUV5" s="12" t="s">
        <v>5729</v>
      </c>
      <c r="EUW5" s="12" t="s">
        <v>5730</v>
      </c>
      <c r="EUX5" s="12" t="s">
        <v>5731</v>
      </c>
      <c r="EUY5" s="12" t="s">
        <v>5732</v>
      </c>
      <c r="EUZ5" s="12" t="s">
        <v>5733</v>
      </c>
      <c r="EVA5" s="12" t="s">
        <v>5734</v>
      </c>
      <c r="EVB5" s="12" t="s">
        <v>5735</v>
      </c>
      <c r="EVC5" s="12" t="s">
        <v>5736</v>
      </c>
      <c r="EVD5" s="12" t="s">
        <v>5737</v>
      </c>
      <c r="EVE5" s="12" t="s">
        <v>5738</v>
      </c>
      <c r="EVF5" s="12" t="s">
        <v>5739</v>
      </c>
      <c r="EVG5" s="12" t="s">
        <v>5740</v>
      </c>
      <c r="EVH5" s="12" t="s">
        <v>5741</v>
      </c>
      <c r="EVI5" s="12" t="s">
        <v>5742</v>
      </c>
      <c r="EVJ5" s="12" t="s">
        <v>5743</v>
      </c>
      <c r="EVK5" s="12" t="s">
        <v>5744</v>
      </c>
      <c r="EVL5" s="12" t="s">
        <v>5745</v>
      </c>
      <c r="EVM5" s="12" t="s">
        <v>5746</v>
      </c>
      <c r="EVN5" s="12" t="s">
        <v>5747</v>
      </c>
      <c r="EVO5" s="12" t="s">
        <v>5748</v>
      </c>
      <c r="EVP5" s="12" t="s">
        <v>5749</v>
      </c>
      <c r="EVQ5" s="12" t="s">
        <v>5750</v>
      </c>
      <c r="EVR5" s="12" t="s">
        <v>5751</v>
      </c>
      <c r="EVS5" s="12" t="s">
        <v>5752</v>
      </c>
      <c r="EVT5" s="12" t="s">
        <v>5753</v>
      </c>
      <c r="EVU5" s="12" t="s">
        <v>5754</v>
      </c>
      <c r="EVV5" s="12" t="s">
        <v>5755</v>
      </c>
      <c r="EVW5" s="12" t="s">
        <v>5756</v>
      </c>
      <c r="EVX5" s="12" t="s">
        <v>5757</v>
      </c>
      <c r="EVY5" s="12" t="s">
        <v>5758</v>
      </c>
      <c r="EVZ5" s="12" t="s">
        <v>5759</v>
      </c>
      <c r="EWA5" s="12" t="s">
        <v>5760</v>
      </c>
      <c r="EWB5" s="12" t="s">
        <v>5761</v>
      </c>
      <c r="EWC5" s="12" t="s">
        <v>5762</v>
      </c>
      <c r="EWD5" s="12" t="s">
        <v>5763</v>
      </c>
      <c r="EWE5" s="12" t="s">
        <v>5764</v>
      </c>
      <c r="EWF5" s="12" t="s">
        <v>5765</v>
      </c>
      <c r="EWG5" s="12" t="s">
        <v>5766</v>
      </c>
      <c r="EWH5" s="12" t="s">
        <v>5767</v>
      </c>
      <c r="EWI5" s="12" t="s">
        <v>5768</v>
      </c>
      <c r="EWJ5" s="12" t="s">
        <v>5769</v>
      </c>
      <c r="EWK5" s="12" t="s">
        <v>5770</v>
      </c>
      <c r="EWL5" s="12" t="s">
        <v>5771</v>
      </c>
      <c r="EWM5" s="12" t="s">
        <v>5772</v>
      </c>
      <c r="EWN5" s="12" t="s">
        <v>5773</v>
      </c>
      <c r="EWO5" s="12" t="s">
        <v>5774</v>
      </c>
      <c r="EWP5" s="12" t="s">
        <v>5775</v>
      </c>
      <c r="EWQ5" s="12" t="s">
        <v>5776</v>
      </c>
      <c r="EWR5" s="12" t="s">
        <v>5777</v>
      </c>
      <c r="EWS5" s="12" t="s">
        <v>5778</v>
      </c>
      <c r="EWT5" s="12" t="s">
        <v>5779</v>
      </c>
      <c r="EWU5" s="12" t="s">
        <v>5780</v>
      </c>
      <c r="EWV5" s="12" t="s">
        <v>5781</v>
      </c>
      <c r="EWW5" s="12" t="s">
        <v>5782</v>
      </c>
      <c r="EWX5" s="12" t="s">
        <v>5783</v>
      </c>
      <c r="EWY5" s="12" t="s">
        <v>5784</v>
      </c>
      <c r="EWZ5" s="12" t="s">
        <v>5785</v>
      </c>
      <c r="EXA5" s="12" t="s">
        <v>5786</v>
      </c>
      <c r="EXB5" s="12" t="s">
        <v>5787</v>
      </c>
      <c r="EXC5" s="12" t="s">
        <v>5788</v>
      </c>
      <c r="EXD5" s="12" t="s">
        <v>5789</v>
      </c>
      <c r="EXE5" s="12" t="s">
        <v>5790</v>
      </c>
      <c r="EXF5" s="12" t="s">
        <v>5791</v>
      </c>
      <c r="EXG5" s="12" t="s">
        <v>5792</v>
      </c>
      <c r="EXH5" s="12" t="s">
        <v>5793</v>
      </c>
      <c r="EXI5" s="12" t="s">
        <v>5794</v>
      </c>
      <c r="EXJ5" s="12" t="s">
        <v>5795</v>
      </c>
      <c r="EXK5" s="12" t="s">
        <v>5796</v>
      </c>
      <c r="EXL5" s="12" t="s">
        <v>5797</v>
      </c>
      <c r="EXM5" s="12" t="s">
        <v>5798</v>
      </c>
      <c r="EXN5" s="12" t="s">
        <v>5799</v>
      </c>
      <c r="EXO5" s="12" t="s">
        <v>5800</v>
      </c>
      <c r="EXP5" s="12" t="s">
        <v>5801</v>
      </c>
      <c r="EXQ5" s="12" t="s">
        <v>5802</v>
      </c>
      <c r="EXR5" s="12" t="s">
        <v>5803</v>
      </c>
      <c r="EXS5" s="12" t="s">
        <v>5804</v>
      </c>
      <c r="EXT5" s="12" t="s">
        <v>5805</v>
      </c>
      <c r="EXU5" s="12" t="s">
        <v>5806</v>
      </c>
      <c r="EXV5" s="12" t="s">
        <v>5807</v>
      </c>
      <c r="EXW5" s="12" t="s">
        <v>5808</v>
      </c>
      <c r="EXX5" s="12" t="s">
        <v>5809</v>
      </c>
      <c r="EXY5" s="12" t="s">
        <v>5810</v>
      </c>
      <c r="EXZ5" s="12" t="s">
        <v>5811</v>
      </c>
      <c r="EYA5" s="12" t="s">
        <v>5812</v>
      </c>
      <c r="EYB5" s="12" t="s">
        <v>5813</v>
      </c>
      <c r="EYC5" s="12" t="s">
        <v>5814</v>
      </c>
      <c r="EYD5" s="12" t="s">
        <v>5815</v>
      </c>
      <c r="EYE5" s="12" t="s">
        <v>5816</v>
      </c>
      <c r="EYF5" s="12" t="s">
        <v>5817</v>
      </c>
      <c r="EYG5" s="12" t="s">
        <v>5818</v>
      </c>
      <c r="EYH5" s="12" t="s">
        <v>5819</v>
      </c>
      <c r="EYI5" s="12" t="s">
        <v>5820</v>
      </c>
      <c r="EYJ5" s="12" t="s">
        <v>5821</v>
      </c>
      <c r="EYK5" s="12" t="s">
        <v>5822</v>
      </c>
      <c r="EYL5" s="12" t="s">
        <v>5823</v>
      </c>
      <c r="EYM5" s="12" t="s">
        <v>5824</v>
      </c>
      <c r="EYN5" s="12" t="s">
        <v>5825</v>
      </c>
      <c r="EYO5" s="12" t="s">
        <v>5826</v>
      </c>
      <c r="EYP5" s="12" t="s">
        <v>5827</v>
      </c>
      <c r="EYQ5" s="12" t="s">
        <v>5828</v>
      </c>
      <c r="EYR5" s="12" t="s">
        <v>5829</v>
      </c>
      <c r="EYS5" s="12" t="s">
        <v>5830</v>
      </c>
      <c r="EYT5" s="12" t="s">
        <v>5831</v>
      </c>
      <c r="EYU5" s="12" t="s">
        <v>5832</v>
      </c>
      <c r="EYV5" s="12" t="s">
        <v>5833</v>
      </c>
      <c r="EYW5" s="12" t="s">
        <v>5834</v>
      </c>
      <c r="EYX5" s="12" t="s">
        <v>5835</v>
      </c>
      <c r="EYY5" s="12" t="s">
        <v>5836</v>
      </c>
      <c r="EYZ5" s="12" t="s">
        <v>5837</v>
      </c>
      <c r="EZA5" s="12" t="s">
        <v>5838</v>
      </c>
      <c r="EZB5" s="12" t="s">
        <v>5839</v>
      </c>
      <c r="EZC5" s="12" t="s">
        <v>5840</v>
      </c>
      <c r="EZD5" s="12" t="s">
        <v>5841</v>
      </c>
      <c r="EZE5" s="12" t="s">
        <v>5842</v>
      </c>
      <c r="EZF5" s="12" t="s">
        <v>5843</v>
      </c>
      <c r="EZG5" s="12" t="s">
        <v>5844</v>
      </c>
      <c r="EZH5" s="12" t="s">
        <v>5845</v>
      </c>
      <c r="EZI5" s="12" t="s">
        <v>5846</v>
      </c>
      <c r="EZJ5" s="12" t="s">
        <v>5847</v>
      </c>
      <c r="EZK5" s="12" t="s">
        <v>5848</v>
      </c>
      <c r="EZL5" s="12" t="s">
        <v>5849</v>
      </c>
      <c r="EZM5" s="12" t="s">
        <v>5850</v>
      </c>
      <c r="EZN5" s="12" t="s">
        <v>5851</v>
      </c>
      <c r="EZO5" s="12" t="s">
        <v>5852</v>
      </c>
      <c r="EZP5" s="12" t="s">
        <v>5853</v>
      </c>
      <c r="EZQ5" s="12" t="s">
        <v>5854</v>
      </c>
      <c r="EZR5" s="12" t="s">
        <v>5855</v>
      </c>
      <c r="EZS5" s="12" t="s">
        <v>5856</v>
      </c>
      <c r="EZT5" s="12" t="s">
        <v>5857</v>
      </c>
      <c r="EZU5" s="12" t="s">
        <v>5858</v>
      </c>
      <c r="EZV5" s="12" t="s">
        <v>5859</v>
      </c>
      <c r="EZW5" s="12" t="s">
        <v>5860</v>
      </c>
      <c r="EZX5" s="12" t="s">
        <v>5861</v>
      </c>
      <c r="EZY5" s="12" t="s">
        <v>5862</v>
      </c>
      <c r="EZZ5" s="12" t="s">
        <v>5863</v>
      </c>
      <c r="FAA5" s="12" t="s">
        <v>5864</v>
      </c>
      <c r="FAB5" s="12" t="s">
        <v>5865</v>
      </c>
      <c r="FAC5" s="12" t="s">
        <v>5866</v>
      </c>
      <c r="FAD5" s="12" t="s">
        <v>5867</v>
      </c>
      <c r="FAE5" s="12" t="s">
        <v>5868</v>
      </c>
      <c r="FAF5" s="12" t="s">
        <v>5869</v>
      </c>
      <c r="FAG5" s="12" t="s">
        <v>5870</v>
      </c>
      <c r="FAH5" s="12" t="s">
        <v>5871</v>
      </c>
      <c r="FAI5" s="12" t="s">
        <v>5872</v>
      </c>
      <c r="FAJ5" s="12" t="s">
        <v>5873</v>
      </c>
      <c r="FAK5" s="12" t="s">
        <v>5874</v>
      </c>
      <c r="FAL5" s="12" t="s">
        <v>5875</v>
      </c>
      <c r="FAM5" s="12" t="s">
        <v>5876</v>
      </c>
      <c r="FAN5" s="12" t="s">
        <v>5877</v>
      </c>
      <c r="FAO5" s="12" t="s">
        <v>5878</v>
      </c>
      <c r="FAP5" s="12" t="s">
        <v>5879</v>
      </c>
      <c r="FAQ5" s="12" t="s">
        <v>5880</v>
      </c>
      <c r="FAR5" s="12" t="s">
        <v>5881</v>
      </c>
      <c r="FAS5" s="12" t="s">
        <v>5882</v>
      </c>
      <c r="FAT5" s="12" t="s">
        <v>5883</v>
      </c>
      <c r="FAU5" s="12" t="s">
        <v>5884</v>
      </c>
      <c r="FAV5" s="12" t="s">
        <v>5885</v>
      </c>
      <c r="FAW5" s="12" t="s">
        <v>5886</v>
      </c>
      <c r="FAX5" s="12" t="s">
        <v>5887</v>
      </c>
      <c r="FAY5" s="12" t="s">
        <v>5888</v>
      </c>
      <c r="FAZ5" s="12" t="s">
        <v>5889</v>
      </c>
      <c r="FBA5" s="12" t="s">
        <v>5890</v>
      </c>
      <c r="FBB5" s="12" t="s">
        <v>5891</v>
      </c>
      <c r="FBC5" s="12" t="s">
        <v>5892</v>
      </c>
      <c r="FBD5" s="12" t="s">
        <v>5893</v>
      </c>
      <c r="FBE5" s="12" t="s">
        <v>5894</v>
      </c>
      <c r="FBF5" s="12" t="s">
        <v>5895</v>
      </c>
      <c r="FBG5" s="12" t="s">
        <v>5896</v>
      </c>
      <c r="FBH5" s="12" t="s">
        <v>5897</v>
      </c>
      <c r="FBI5" s="12" t="s">
        <v>5898</v>
      </c>
      <c r="FBJ5" s="12" t="s">
        <v>5899</v>
      </c>
      <c r="FBK5" s="12" t="s">
        <v>5900</v>
      </c>
      <c r="FBL5" s="12" t="s">
        <v>5901</v>
      </c>
      <c r="FBM5" s="12" t="s">
        <v>5902</v>
      </c>
      <c r="FBN5" s="12" t="s">
        <v>5903</v>
      </c>
      <c r="FBO5" s="12" t="s">
        <v>5904</v>
      </c>
      <c r="FBP5" s="12" t="s">
        <v>5905</v>
      </c>
      <c r="FBQ5" s="12" t="s">
        <v>5906</v>
      </c>
      <c r="FBR5" s="12" t="s">
        <v>5907</v>
      </c>
      <c r="FBS5" s="12" t="s">
        <v>5908</v>
      </c>
      <c r="FBT5" s="12" t="s">
        <v>5909</v>
      </c>
      <c r="FBU5" s="12" t="s">
        <v>5910</v>
      </c>
      <c r="FBV5" s="12" t="s">
        <v>5911</v>
      </c>
      <c r="FBW5" s="12" t="s">
        <v>5912</v>
      </c>
      <c r="FBX5" s="12" t="s">
        <v>5913</v>
      </c>
      <c r="FBY5" s="12" t="s">
        <v>5914</v>
      </c>
      <c r="FBZ5" s="12" t="s">
        <v>5915</v>
      </c>
      <c r="FCA5" s="12" t="s">
        <v>5916</v>
      </c>
      <c r="FCB5" s="12" t="s">
        <v>5917</v>
      </c>
      <c r="FCC5" s="12" t="s">
        <v>5918</v>
      </c>
      <c r="FCD5" s="12" t="s">
        <v>5919</v>
      </c>
      <c r="FCE5" s="12" t="s">
        <v>5920</v>
      </c>
      <c r="FCF5" s="12" t="s">
        <v>5921</v>
      </c>
      <c r="FCG5" s="12" t="s">
        <v>5922</v>
      </c>
      <c r="FCH5" s="12" t="s">
        <v>5923</v>
      </c>
      <c r="FCI5" s="12" t="s">
        <v>5924</v>
      </c>
      <c r="FCJ5" s="12" t="s">
        <v>5925</v>
      </c>
      <c r="FCK5" s="12" t="s">
        <v>5926</v>
      </c>
      <c r="FCL5" s="12" t="s">
        <v>5927</v>
      </c>
      <c r="FCM5" s="12" t="s">
        <v>5928</v>
      </c>
      <c r="FCN5" s="12" t="s">
        <v>5929</v>
      </c>
      <c r="FCO5" s="12" t="s">
        <v>5930</v>
      </c>
      <c r="FCP5" s="12" t="s">
        <v>5931</v>
      </c>
      <c r="FCQ5" s="12" t="s">
        <v>5932</v>
      </c>
      <c r="FCR5" s="12" t="s">
        <v>5933</v>
      </c>
      <c r="FCS5" s="12" t="s">
        <v>5934</v>
      </c>
      <c r="FCT5" s="12" t="s">
        <v>5935</v>
      </c>
      <c r="FCU5" s="12" t="s">
        <v>5936</v>
      </c>
      <c r="FCV5" s="12" t="s">
        <v>5937</v>
      </c>
      <c r="FCW5" s="12" t="s">
        <v>5938</v>
      </c>
      <c r="FCX5" s="12" t="s">
        <v>5939</v>
      </c>
      <c r="FCY5" s="12" t="s">
        <v>5940</v>
      </c>
      <c r="FCZ5" s="12" t="s">
        <v>5941</v>
      </c>
      <c r="FDA5" s="12" t="s">
        <v>5942</v>
      </c>
      <c r="FDB5" s="12" t="s">
        <v>5943</v>
      </c>
      <c r="FDC5" s="12" t="s">
        <v>5944</v>
      </c>
      <c r="FDD5" s="12" t="s">
        <v>5945</v>
      </c>
      <c r="FDE5" s="12" t="s">
        <v>5946</v>
      </c>
      <c r="FDF5" s="12" t="s">
        <v>5947</v>
      </c>
      <c r="FDG5" s="12" t="s">
        <v>5948</v>
      </c>
      <c r="FDH5" s="12" t="s">
        <v>5949</v>
      </c>
      <c r="FDI5" s="12" t="s">
        <v>5950</v>
      </c>
      <c r="FDJ5" s="12" t="s">
        <v>5951</v>
      </c>
      <c r="FDK5" s="12" t="s">
        <v>5952</v>
      </c>
      <c r="FDL5" s="12" t="s">
        <v>5953</v>
      </c>
      <c r="FDM5" s="12" t="s">
        <v>5954</v>
      </c>
      <c r="FDN5" s="12" t="s">
        <v>5955</v>
      </c>
      <c r="FDO5" s="12" t="s">
        <v>5956</v>
      </c>
      <c r="FDP5" s="12" t="s">
        <v>5957</v>
      </c>
      <c r="FDQ5" s="12" t="s">
        <v>5958</v>
      </c>
      <c r="FDR5" s="12" t="s">
        <v>5959</v>
      </c>
      <c r="FDS5" s="12" t="s">
        <v>5960</v>
      </c>
      <c r="FDT5" s="12" t="s">
        <v>5961</v>
      </c>
      <c r="FDU5" s="12" t="s">
        <v>5962</v>
      </c>
      <c r="FDV5" s="12" t="s">
        <v>5963</v>
      </c>
      <c r="FDW5" s="12" t="s">
        <v>5964</v>
      </c>
      <c r="FDX5" s="12" t="s">
        <v>5965</v>
      </c>
      <c r="FDY5" s="12" t="s">
        <v>5966</v>
      </c>
      <c r="FDZ5" s="12" t="s">
        <v>5967</v>
      </c>
      <c r="FEA5" s="12" t="s">
        <v>5968</v>
      </c>
      <c r="FEB5" s="12" t="s">
        <v>5969</v>
      </c>
      <c r="FEC5" s="12" t="s">
        <v>5970</v>
      </c>
      <c r="FED5" s="12" t="s">
        <v>5971</v>
      </c>
      <c r="FEE5" s="12" t="s">
        <v>5972</v>
      </c>
      <c r="FEF5" s="12" t="s">
        <v>5973</v>
      </c>
      <c r="FEG5" s="12" t="s">
        <v>5974</v>
      </c>
      <c r="FEH5" s="12" t="s">
        <v>5975</v>
      </c>
      <c r="FEI5" s="12" t="s">
        <v>5976</v>
      </c>
      <c r="FEJ5" s="12" t="s">
        <v>5977</v>
      </c>
      <c r="FEK5" s="12" t="s">
        <v>5978</v>
      </c>
      <c r="FEL5" s="12" t="s">
        <v>5979</v>
      </c>
      <c r="FEM5" s="12" t="s">
        <v>5980</v>
      </c>
      <c r="FEN5" s="12" t="s">
        <v>5981</v>
      </c>
      <c r="FEO5" s="12" t="s">
        <v>5982</v>
      </c>
      <c r="FEP5" s="12" t="s">
        <v>5983</v>
      </c>
      <c r="FEQ5" s="12" t="s">
        <v>5984</v>
      </c>
      <c r="FER5" s="12" t="s">
        <v>5985</v>
      </c>
      <c r="FES5" s="12" t="s">
        <v>5986</v>
      </c>
      <c r="FET5" s="12" t="s">
        <v>5987</v>
      </c>
      <c r="FEU5" s="12" t="s">
        <v>5988</v>
      </c>
      <c r="FEV5" s="12" t="s">
        <v>5989</v>
      </c>
      <c r="FEW5" s="12" t="s">
        <v>5990</v>
      </c>
      <c r="FEX5" s="12" t="s">
        <v>5991</v>
      </c>
      <c r="FEY5" s="12" t="s">
        <v>5992</v>
      </c>
      <c r="FEZ5" s="12" t="s">
        <v>5993</v>
      </c>
      <c r="FFA5" s="12" t="s">
        <v>5994</v>
      </c>
      <c r="FFB5" s="12" t="s">
        <v>5995</v>
      </c>
      <c r="FFC5" s="12" t="s">
        <v>5996</v>
      </c>
      <c r="FFD5" s="12" t="s">
        <v>5997</v>
      </c>
      <c r="FFE5" s="12" t="s">
        <v>5998</v>
      </c>
      <c r="FFF5" s="12" t="s">
        <v>5999</v>
      </c>
      <c r="FFG5" s="12" t="s">
        <v>6000</v>
      </c>
      <c r="FFH5" s="12" t="s">
        <v>6001</v>
      </c>
      <c r="FFI5" s="12" t="s">
        <v>6002</v>
      </c>
      <c r="FFJ5" s="12" t="s">
        <v>6003</v>
      </c>
      <c r="FFK5" s="12" t="s">
        <v>6004</v>
      </c>
      <c r="FFL5" s="12" t="s">
        <v>6005</v>
      </c>
      <c r="FFM5" s="12" t="s">
        <v>6006</v>
      </c>
      <c r="FFN5" s="12" t="s">
        <v>6007</v>
      </c>
      <c r="FFO5" s="12" t="s">
        <v>6008</v>
      </c>
      <c r="FFP5" s="12" t="s">
        <v>6009</v>
      </c>
      <c r="FFQ5" s="12" t="s">
        <v>6010</v>
      </c>
      <c r="FFR5" s="12" t="s">
        <v>6011</v>
      </c>
      <c r="FFS5" s="12" t="s">
        <v>6012</v>
      </c>
      <c r="FFT5" s="12" t="s">
        <v>6013</v>
      </c>
      <c r="FFU5" s="12" t="s">
        <v>6014</v>
      </c>
      <c r="FFV5" s="12" t="s">
        <v>6015</v>
      </c>
      <c r="FFW5" s="12" t="s">
        <v>6016</v>
      </c>
      <c r="FFX5" s="12" t="s">
        <v>6017</v>
      </c>
      <c r="FFY5" s="12" t="s">
        <v>6018</v>
      </c>
      <c r="FFZ5" s="12" t="s">
        <v>6019</v>
      </c>
      <c r="FGA5" s="12" t="s">
        <v>6020</v>
      </c>
      <c r="FGB5" s="12" t="s">
        <v>6021</v>
      </c>
      <c r="FGC5" s="12" t="s">
        <v>6022</v>
      </c>
      <c r="FGD5" s="12" t="s">
        <v>6023</v>
      </c>
      <c r="FGE5" s="12" t="s">
        <v>6024</v>
      </c>
      <c r="FGF5" s="12" t="s">
        <v>6025</v>
      </c>
      <c r="FGG5" s="12" t="s">
        <v>6026</v>
      </c>
      <c r="FGH5" s="12" t="s">
        <v>6027</v>
      </c>
      <c r="FGI5" s="12" t="s">
        <v>6028</v>
      </c>
      <c r="FGJ5" s="12" t="s">
        <v>6029</v>
      </c>
      <c r="FGK5" s="12" t="s">
        <v>6030</v>
      </c>
      <c r="FGL5" s="12" t="s">
        <v>6031</v>
      </c>
      <c r="FGM5" s="12" t="s">
        <v>6032</v>
      </c>
      <c r="FGN5" s="12" t="s">
        <v>6033</v>
      </c>
      <c r="FGO5" s="12" t="s">
        <v>6034</v>
      </c>
      <c r="FGP5" s="12" t="s">
        <v>6035</v>
      </c>
      <c r="FGQ5" s="12" t="s">
        <v>6036</v>
      </c>
      <c r="FGR5" s="12" t="s">
        <v>6037</v>
      </c>
      <c r="FGS5" s="12" t="s">
        <v>6038</v>
      </c>
      <c r="FGT5" s="12" t="s">
        <v>6039</v>
      </c>
      <c r="FGU5" s="12" t="s">
        <v>6040</v>
      </c>
      <c r="FGV5" s="12" t="s">
        <v>6041</v>
      </c>
      <c r="FGW5" s="12" t="s">
        <v>6042</v>
      </c>
      <c r="FGX5" s="12" t="s">
        <v>6043</v>
      </c>
      <c r="FGY5" s="12" t="s">
        <v>6044</v>
      </c>
      <c r="FGZ5" s="12" t="s">
        <v>6045</v>
      </c>
      <c r="FHA5" s="12" t="s">
        <v>6046</v>
      </c>
      <c r="FHB5" s="12" t="s">
        <v>6047</v>
      </c>
      <c r="FHC5" s="12" t="s">
        <v>6048</v>
      </c>
      <c r="FHD5" s="12" t="s">
        <v>6049</v>
      </c>
      <c r="FHE5" s="12" t="s">
        <v>6050</v>
      </c>
      <c r="FHF5" s="12" t="s">
        <v>6051</v>
      </c>
      <c r="FHG5" s="12" t="s">
        <v>6052</v>
      </c>
      <c r="FHH5" s="12" t="s">
        <v>6053</v>
      </c>
      <c r="FHI5" s="12" t="s">
        <v>6054</v>
      </c>
      <c r="FHJ5" s="12" t="s">
        <v>6055</v>
      </c>
      <c r="FHK5" s="12" t="s">
        <v>6056</v>
      </c>
      <c r="FHL5" s="12" t="s">
        <v>6057</v>
      </c>
      <c r="FHM5" s="12" t="s">
        <v>6058</v>
      </c>
      <c r="FHN5" s="12" t="s">
        <v>6059</v>
      </c>
      <c r="FHO5" s="12" t="s">
        <v>6060</v>
      </c>
      <c r="FHP5" s="12" t="s">
        <v>6061</v>
      </c>
      <c r="FHQ5" s="12" t="s">
        <v>6062</v>
      </c>
      <c r="FHR5" s="12" t="s">
        <v>6063</v>
      </c>
      <c r="FHS5" s="12" t="s">
        <v>6064</v>
      </c>
      <c r="FHT5" s="12" t="s">
        <v>6065</v>
      </c>
      <c r="FHU5" s="12" t="s">
        <v>6066</v>
      </c>
      <c r="FHV5" s="12" t="s">
        <v>6067</v>
      </c>
      <c r="FHW5" s="12" t="s">
        <v>6068</v>
      </c>
      <c r="FHX5" s="12" t="s">
        <v>6069</v>
      </c>
      <c r="FHY5" s="12" t="s">
        <v>6070</v>
      </c>
      <c r="FHZ5" s="12" t="s">
        <v>6071</v>
      </c>
      <c r="FIA5" s="12" t="s">
        <v>6072</v>
      </c>
      <c r="FIB5" s="12" t="s">
        <v>6073</v>
      </c>
      <c r="FIC5" s="12" t="s">
        <v>6074</v>
      </c>
      <c r="FID5" s="12" t="s">
        <v>6075</v>
      </c>
      <c r="FIE5" s="12" t="s">
        <v>6076</v>
      </c>
      <c r="FIF5" s="12" t="s">
        <v>6077</v>
      </c>
      <c r="FIG5" s="12" t="s">
        <v>6078</v>
      </c>
      <c r="FIH5" s="12" t="s">
        <v>6079</v>
      </c>
      <c r="FII5" s="12" t="s">
        <v>6080</v>
      </c>
      <c r="FIJ5" s="12" t="s">
        <v>6081</v>
      </c>
      <c r="FIK5" s="12" t="s">
        <v>6082</v>
      </c>
      <c r="FIL5" s="12" t="s">
        <v>6083</v>
      </c>
      <c r="FIM5" s="12" t="s">
        <v>6084</v>
      </c>
      <c r="FIN5" s="12" t="s">
        <v>6085</v>
      </c>
      <c r="FIO5" s="12" t="s">
        <v>6086</v>
      </c>
      <c r="FIP5" s="12" t="s">
        <v>6087</v>
      </c>
      <c r="FIQ5" s="12" t="s">
        <v>6088</v>
      </c>
      <c r="FIR5" s="12" t="s">
        <v>6089</v>
      </c>
      <c r="FIS5" s="12" t="s">
        <v>6090</v>
      </c>
      <c r="FIT5" s="12" t="s">
        <v>6091</v>
      </c>
      <c r="FIU5" s="12" t="s">
        <v>6092</v>
      </c>
      <c r="FIV5" s="12" t="s">
        <v>6093</v>
      </c>
      <c r="FIW5" s="12" t="s">
        <v>6094</v>
      </c>
      <c r="FIX5" s="12" t="s">
        <v>6095</v>
      </c>
      <c r="FIY5" s="12" t="s">
        <v>6096</v>
      </c>
      <c r="FIZ5" s="12" t="s">
        <v>6097</v>
      </c>
      <c r="FJA5" s="12" t="s">
        <v>6098</v>
      </c>
      <c r="FJB5" s="12" t="s">
        <v>6099</v>
      </c>
      <c r="FJC5" s="12" t="s">
        <v>6100</v>
      </c>
      <c r="FJD5" s="12" t="s">
        <v>6101</v>
      </c>
      <c r="FJE5" s="12" t="s">
        <v>6102</v>
      </c>
      <c r="FJF5" s="12" t="s">
        <v>6103</v>
      </c>
      <c r="FJG5" s="12" t="s">
        <v>6104</v>
      </c>
      <c r="FJH5" s="12" t="s">
        <v>6105</v>
      </c>
      <c r="FJI5" s="12" t="s">
        <v>6106</v>
      </c>
      <c r="FJJ5" s="12" t="s">
        <v>6107</v>
      </c>
      <c r="FJK5" s="12" t="s">
        <v>6108</v>
      </c>
      <c r="FJL5" s="12" t="s">
        <v>6109</v>
      </c>
      <c r="FJM5" s="12" t="s">
        <v>6110</v>
      </c>
      <c r="FJN5" s="12" t="s">
        <v>6111</v>
      </c>
      <c r="FJO5" s="12" t="s">
        <v>6112</v>
      </c>
      <c r="FJP5" s="12" t="s">
        <v>6113</v>
      </c>
      <c r="FJQ5" s="12" t="s">
        <v>6114</v>
      </c>
      <c r="FJR5" s="12" t="s">
        <v>6115</v>
      </c>
      <c r="FJS5" s="12" t="s">
        <v>6116</v>
      </c>
      <c r="FJT5" s="12" t="s">
        <v>6117</v>
      </c>
      <c r="FJU5" s="12" t="s">
        <v>6118</v>
      </c>
      <c r="FJV5" s="12" t="s">
        <v>6119</v>
      </c>
      <c r="FJW5" s="12" t="s">
        <v>6120</v>
      </c>
      <c r="FJX5" s="12" t="s">
        <v>6121</v>
      </c>
      <c r="FJY5" s="12" t="s">
        <v>6122</v>
      </c>
      <c r="FJZ5" s="12" t="s">
        <v>6123</v>
      </c>
      <c r="FKA5" s="12" t="s">
        <v>6124</v>
      </c>
      <c r="FKB5" s="12" t="s">
        <v>6125</v>
      </c>
      <c r="FKC5" s="12" t="s">
        <v>6126</v>
      </c>
      <c r="FKD5" s="12" t="s">
        <v>6127</v>
      </c>
      <c r="FKE5" s="12" t="s">
        <v>6128</v>
      </c>
      <c r="FKF5" s="12" t="s">
        <v>6129</v>
      </c>
      <c r="FKG5" s="12" t="s">
        <v>6130</v>
      </c>
      <c r="FKH5" s="12" t="s">
        <v>6131</v>
      </c>
      <c r="FKI5" s="12" t="s">
        <v>6132</v>
      </c>
      <c r="FKJ5" s="12" t="s">
        <v>6133</v>
      </c>
      <c r="FKK5" s="12" t="s">
        <v>6134</v>
      </c>
      <c r="FKL5" s="12" t="s">
        <v>6135</v>
      </c>
      <c r="FKM5" s="12" t="s">
        <v>6136</v>
      </c>
      <c r="FKN5" s="12" t="s">
        <v>6137</v>
      </c>
      <c r="FKO5" s="12" t="s">
        <v>6138</v>
      </c>
      <c r="FKP5" s="12" t="s">
        <v>6139</v>
      </c>
      <c r="FKQ5" s="12" t="s">
        <v>6140</v>
      </c>
      <c r="FKR5" s="12" t="s">
        <v>6141</v>
      </c>
      <c r="FKS5" s="12" t="s">
        <v>6142</v>
      </c>
      <c r="FKT5" s="12" t="s">
        <v>6143</v>
      </c>
      <c r="FKU5" s="12" t="s">
        <v>6144</v>
      </c>
      <c r="FKV5" s="12" t="s">
        <v>6145</v>
      </c>
      <c r="FKW5" s="12" t="s">
        <v>6146</v>
      </c>
      <c r="FKX5" s="12" t="s">
        <v>6147</v>
      </c>
      <c r="FKY5" s="12" t="s">
        <v>6148</v>
      </c>
      <c r="FKZ5" s="12" t="s">
        <v>6149</v>
      </c>
      <c r="FLA5" s="12" t="s">
        <v>6150</v>
      </c>
      <c r="FLB5" s="12" t="s">
        <v>6151</v>
      </c>
      <c r="FLC5" s="12" t="s">
        <v>6152</v>
      </c>
      <c r="FLD5" s="12" t="s">
        <v>6153</v>
      </c>
      <c r="FLE5" s="12" t="s">
        <v>6154</v>
      </c>
      <c r="FLF5" s="12" t="s">
        <v>6155</v>
      </c>
      <c r="FLG5" s="12" t="s">
        <v>6156</v>
      </c>
      <c r="FLH5" s="12" t="s">
        <v>6157</v>
      </c>
      <c r="FLI5" s="12" t="s">
        <v>6158</v>
      </c>
      <c r="FLJ5" s="12" t="s">
        <v>6159</v>
      </c>
      <c r="FLK5" s="12" t="s">
        <v>6160</v>
      </c>
      <c r="FLL5" s="12" t="s">
        <v>6161</v>
      </c>
      <c r="FLM5" s="12" t="s">
        <v>6162</v>
      </c>
      <c r="FLN5" s="12" t="s">
        <v>6163</v>
      </c>
      <c r="FLO5" s="12" t="s">
        <v>6164</v>
      </c>
      <c r="FLP5" s="12" t="s">
        <v>6165</v>
      </c>
      <c r="FLQ5" s="12" t="s">
        <v>6166</v>
      </c>
      <c r="FLR5" s="12" t="s">
        <v>6167</v>
      </c>
      <c r="FLS5" s="12" t="s">
        <v>6168</v>
      </c>
      <c r="FLT5" s="12" t="s">
        <v>6169</v>
      </c>
      <c r="FLU5" s="12" t="s">
        <v>6170</v>
      </c>
      <c r="FLV5" s="12" t="s">
        <v>6171</v>
      </c>
      <c r="FLW5" s="12" t="s">
        <v>6172</v>
      </c>
      <c r="FLX5" s="12" t="s">
        <v>6173</v>
      </c>
      <c r="FLY5" s="12" t="s">
        <v>6174</v>
      </c>
      <c r="FLZ5" s="12" t="s">
        <v>6175</v>
      </c>
      <c r="FMA5" s="12" t="s">
        <v>6176</v>
      </c>
      <c r="FMB5" s="12" t="s">
        <v>6177</v>
      </c>
      <c r="FMC5" s="12" t="s">
        <v>6178</v>
      </c>
      <c r="FMD5" s="12" t="s">
        <v>6179</v>
      </c>
      <c r="FME5" s="12" t="s">
        <v>6180</v>
      </c>
      <c r="FMF5" s="12" t="s">
        <v>6181</v>
      </c>
      <c r="FMG5" s="12" t="s">
        <v>6182</v>
      </c>
      <c r="FMH5" s="12" t="s">
        <v>6183</v>
      </c>
      <c r="FMI5" s="12" t="s">
        <v>6184</v>
      </c>
      <c r="FMJ5" s="12" t="s">
        <v>6185</v>
      </c>
      <c r="FMK5" s="12" t="s">
        <v>6186</v>
      </c>
      <c r="FML5" s="12" t="s">
        <v>6187</v>
      </c>
      <c r="FMM5" s="12" t="s">
        <v>6188</v>
      </c>
      <c r="FMN5" s="12" t="s">
        <v>6189</v>
      </c>
      <c r="FMO5" s="12" t="s">
        <v>6190</v>
      </c>
      <c r="FMP5" s="12" t="s">
        <v>6191</v>
      </c>
      <c r="FMQ5" s="12" t="s">
        <v>6192</v>
      </c>
      <c r="FMR5" s="12" t="s">
        <v>6193</v>
      </c>
      <c r="FMS5" s="12" t="s">
        <v>6194</v>
      </c>
      <c r="FMT5" s="12" t="s">
        <v>6195</v>
      </c>
      <c r="FMU5" s="12" t="s">
        <v>6196</v>
      </c>
      <c r="FMV5" s="12" t="s">
        <v>6197</v>
      </c>
      <c r="FMW5" s="12" t="s">
        <v>6198</v>
      </c>
      <c r="FMX5" s="12" t="s">
        <v>6199</v>
      </c>
      <c r="FMY5" s="12" t="s">
        <v>6200</v>
      </c>
      <c r="FMZ5" s="12" t="s">
        <v>6201</v>
      </c>
      <c r="FNA5" s="12" t="s">
        <v>6202</v>
      </c>
      <c r="FNB5" s="12" t="s">
        <v>6203</v>
      </c>
      <c r="FNC5" s="12" t="s">
        <v>6204</v>
      </c>
      <c r="FND5" s="12" t="s">
        <v>6205</v>
      </c>
      <c r="FNE5" s="12" t="s">
        <v>6206</v>
      </c>
      <c r="FNF5" s="12" t="s">
        <v>6207</v>
      </c>
      <c r="FNG5" s="12" t="s">
        <v>6208</v>
      </c>
      <c r="FNH5" s="12" t="s">
        <v>6209</v>
      </c>
      <c r="FNI5" s="12" t="s">
        <v>6210</v>
      </c>
      <c r="FNJ5" s="12" t="s">
        <v>6211</v>
      </c>
      <c r="FNK5" s="12" t="s">
        <v>6212</v>
      </c>
      <c r="FNL5" s="12" t="s">
        <v>6213</v>
      </c>
      <c r="FNM5" s="12" t="s">
        <v>6214</v>
      </c>
      <c r="FNN5" s="12" t="s">
        <v>6215</v>
      </c>
      <c r="FNO5" s="12" t="s">
        <v>6216</v>
      </c>
      <c r="FNP5" s="12" t="s">
        <v>6217</v>
      </c>
      <c r="FNQ5" s="12" t="s">
        <v>6218</v>
      </c>
      <c r="FNR5" s="12" t="s">
        <v>6219</v>
      </c>
      <c r="FNS5" s="12" t="s">
        <v>6220</v>
      </c>
      <c r="FNT5" s="12" t="s">
        <v>6221</v>
      </c>
      <c r="FNU5" s="12" t="s">
        <v>6222</v>
      </c>
      <c r="FNV5" s="12" t="s">
        <v>6223</v>
      </c>
      <c r="FNW5" s="12" t="s">
        <v>6224</v>
      </c>
      <c r="FNX5" s="12" t="s">
        <v>6225</v>
      </c>
      <c r="FNY5" s="12" t="s">
        <v>6226</v>
      </c>
      <c r="FNZ5" s="12" t="s">
        <v>6227</v>
      </c>
      <c r="FOA5" s="12" t="s">
        <v>6228</v>
      </c>
      <c r="FOB5" s="12" t="s">
        <v>6229</v>
      </c>
      <c r="FOC5" s="12" t="s">
        <v>6230</v>
      </c>
      <c r="FOD5" s="12" t="s">
        <v>6231</v>
      </c>
      <c r="FOE5" s="12" t="s">
        <v>6232</v>
      </c>
      <c r="FOF5" s="12" t="s">
        <v>6233</v>
      </c>
      <c r="FOG5" s="12" t="s">
        <v>6234</v>
      </c>
      <c r="FOH5" s="12" t="s">
        <v>6235</v>
      </c>
      <c r="FOI5" s="12" t="s">
        <v>6236</v>
      </c>
      <c r="FOJ5" s="12" t="s">
        <v>6237</v>
      </c>
      <c r="FOK5" s="12" t="s">
        <v>6238</v>
      </c>
      <c r="FOL5" s="12" t="s">
        <v>6239</v>
      </c>
      <c r="FOM5" s="12" t="s">
        <v>6240</v>
      </c>
      <c r="FON5" s="12" t="s">
        <v>6241</v>
      </c>
      <c r="FOO5" s="12" t="s">
        <v>6242</v>
      </c>
      <c r="FOP5" s="12" t="s">
        <v>6243</v>
      </c>
      <c r="FOQ5" s="12" t="s">
        <v>6244</v>
      </c>
      <c r="FOR5" s="12" t="s">
        <v>6245</v>
      </c>
      <c r="FOS5" s="12" t="s">
        <v>6246</v>
      </c>
      <c r="FOT5" s="12" t="s">
        <v>6247</v>
      </c>
      <c r="FOU5" s="12" t="s">
        <v>6248</v>
      </c>
      <c r="FOV5" s="12" t="s">
        <v>6249</v>
      </c>
      <c r="FOW5" s="12" t="s">
        <v>6250</v>
      </c>
      <c r="FOX5" s="12" t="s">
        <v>6251</v>
      </c>
      <c r="FOY5" s="12" t="s">
        <v>6252</v>
      </c>
      <c r="FOZ5" s="12" t="s">
        <v>6253</v>
      </c>
      <c r="FPA5" s="12" t="s">
        <v>6254</v>
      </c>
      <c r="FPB5" s="12" t="s">
        <v>6255</v>
      </c>
      <c r="FPC5" s="12" t="s">
        <v>6256</v>
      </c>
      <c r="FPD5" s="12" t="s">
        <v>6257</v>
      </c>
      <c r="FPE5" s="12" t="s">
        <v>6258</v>
      </c>
      <c r="FPF5" s="12" t="s">
        <v>6259</v>
      </c>
      <c r="FPG5" s="12" t="s">
        <v>6260</v>
      </c>
      <c r="FPH5" s="12" t="s">
        <v>6261</v>
      </c>
      <c r="FPI5" s="12" t="s">
        <v>6262</v>
      </c>
      <c r="FPJ5" s="12" t="s">
        <v>6263</v>
      </c>
      <c r="FPK5" s="12" t="s">
        <v>6264</v>
      </c>
      <c r="FPL5" s="12" t="s">
        <v>6265</v>
      </c>
      <c r="FPM5" s="12" t="s">
        <v>6266</v>
      </c>
      <c r="FPN5" s="12" t="s">
        <v>6267</v>
      </c>
      <c r="FPO5" s="12" t="s">
        <v>6268</v>
      </c>
      <c r="FPP5" s="12" t="s">
        <v>6269</v>
      </c>
      <c r="FPQ5" s="12" t="s">
        <v>6270</v>
      </c>
      <c r="FPR5" s="12" t="s">
        <v>6271</v>
      </c>
      <c r="FPS5" s="12" t="s">
        <v>6272</v>
      </c>
      <c r="FPT5" s="12" t="s">
        <v>6273</v>
      </c>
      <c r="FPU5" s="12" t="s">
        <v>6274</v>
      </c>
      <c r="FPV5" s="12" t="s">
        <v>6275</v>
      </c>
      <c r="FPW5" s="12" t="s">
        <v>6276</v>
      </c>
      <c r="FPX5" s="12" t="s">
        <v>6277</v>
      </c>
      <c r="FPY5" s="12" t="s">
        <v>6278</v>
      </c>
      <c r="FPZ5" s="12" t="s">
        <v>6279</v>
      </c>
      <c r="FQA5" s="12" t="s">
        <v>6280</v>
      </c>
      <c r="FQB5" s="12" t="s">
        <v>6281</v>
      </c>
      <c r="FQC5" s="12" t="s">
        <v>6282</v>
      </c>
      <c r="FQD5" s="12" t="s">
        <v>6283</v>
      </c>
      <c r="FQE5" s="12" t="s">
        <v>6284</v>
      </c>
      <c r="FQF5" s="12" t="s">
        <v>6285</v>
      </c>
      <c r="FQG5" s="12" t="s">
        <v>6286</v>
      </c>
      <c r="FQH5" s="12" t="s">
        <v>6287</v>
      </c>
      <c r="FQI5" s="12" t="s">
        <v>6288</v>
      </c>
      <c r="FQJ5" s="12" t="s">
        <v>6289</v>
      </c>
      <c r="FQK5" s="12" t="s">
        <v>6290</v>
      </c>
      <c r="FQL5" s="12" t="s">
        <v>6291</v>
      </c>
      <c r="FQM5" s="12" t="s">
        <v>6292</v>
      </c>
      <c r="FQN5" s="12" t="s">
        <v>6293</v>
      </c>
      <c r="FQO5" s="12" t="s">
        <v>6294</v>
      </c>
      <c r="FQP5" s="12" t="s">
        <v>6295</v>
      </c>
      <c r="FQQ5" s="12" t="s">
        <v>6296</v>
      </c>
      <c r="FQR5" s="12" t="s">
        <v>6297</v>
      </c>
      <c r="FQS5" s="12" t="s">
        <v>6298</v>
      </c>
      <c r="FQT5" s="12" t="s">
        <v>6299</v>
      </c>
      <c r="FQU5" s="12" t="s">
        <v>6300</v>
      </c>
      <c r="FQV5" s="12" t="s">
        <v>6301</v>
      </c>
      <c r="FQW5" s="12" t="s">
        <v>6302</v>
      </c>
      <c r="FQX5" s="12" t="s">
        <v>6303</v>
      </c>
      <c r="FQY5" s="12" t="s">
        <v>6304</v>
      </c>
      <c r="FQZ5" s="12" t="s">
        <v>6305</v>
      </c>
      <c r="FRA5" s="12" t="s">
        <v>6306</v>
      </c>
      <c r="FRB5" s="12" t="s">
        <v>6307</v>
      </c>
      <c r="FRC5" s="12" t="s">
        <v>6308</v>
      </c>
      <c r="FRD5" s="12" t="s">
        <v>6309</v>
      </c>
      <c r="FRE5" s="12" t="s">
        <v>6310</v>
      </c>
      <c r="FRF5" s="12" t="s">
        <v>6311</v>
      </c>
      <c r="FRG5" s="12" t="s">
        <v>6312</v>
      </c>
      <c r="FRH5" s="12" t="s">
        <v>6313</v>
      </c>
      <c r="FRI5" s="12" t="s">
        <v>6314</v>
      </c>
      <c r="FRJ5" s="12" t="s">
        <v>6315</v>
      </c>
      <c r="FRK5" s="12" t="s">
        <v>6316</v>
      </c>
      <c r="FRL5" s="12" t="s">
        <v>6317</v>
      </c>
      <c r="FRM5" s="12" t="s">
        <v>6318</v>
      </c>
      <c r="FRN5" s="12" t="s">
        <v>6319</v>
      </c>
      <c r="FRO5" s="12" t="s">
        <v>6320</v>
      </c>
      <c r="FRP5" s="12" t="s">
        <v>6321</v>
      </c>
      <c r="FRQ5" s="12" t="s">
        <v>6322</v>
      </c>
      <c r="FRR5" s="12" t="s">
        <v>6323</v>
      </c>
      <c r="FRS5" s="12" t="s">
        <v>6324</v>
      </c>
      <c r="FRT5" s="12" t="s">
        <v>6325</v>
      </c>
      <c r="FRU5" s="12" t="s">
        <v>6326</v>
      </c>
      <c r="FRV5" s="12" t="s">
        <v>6327</v>
      </c>
      <c r="FRW5" s="12" t="s">
        <v>6328</v>
      </c>
      <c r="FRX5" s="12" t="s">
        <v>6329</v>
      </c>
      <c r="FRY5" s="12" t="s">
        <v>6330</v>
      </c>
      <c r="FRZ5" s="12" t="s">
        <v>6331</v>
      </c>
      <c r="FSA5" s="12" t="s">
        <v>6332</v>
      </c>
      <c r="FSB5" s="12" t="s">
        <v>6333</v>
      </c>
      <c r="FSC5" s="12" t="s">
        <v>6334</v>
      </c>
      <c r="FSD5" s="12" t="s">
        <v>6335</v>
      </c>
      <c r="FSE5" s="12" t="s">
        <v>6336</v>
      </c>
      <c r="FSF5" s="12" t="s">
        <v>6337</v>
      </c>
      <c r="FSG5" s="12" t="s">
        <v>6338</v>
      </c>
      <c r="FSH5" s="12" t="s">
        <v>6339</v>
      </c>
      <c r="FSI5" s="12" t="s">
        <v>6340</v>
      </c>
      <c r="FSJ5" s="12" t="s">
        <v>6341</v>
      </c>
      <c r="FSK5" s="12" t="s">
        <v>6342</v>
      </c>
      <c r="FSL5" s="12" t="s">
        <v>6343</v>
      </c>
      <c r="FSM5" s="12" t="s">
        <v>6344</v>
      </c>
      <c r="FSN5" s="12" t="s">
        <v>6345</v>
      </c>
      <c r="FSO5" s="12" t="s">
        <v>6346</v>
      </c>
      <c r="FSP5" s="12" t="s">
        <v>6347</v>
      </c>
      <c r="FSQ5" s="12" t="s">
        <v>6348</v>
      </c>
      <c r="FSR5" s="12" t="s">
        <v>6349</v>
      </c>
      <c r="FSS5" s="12" t="s">
        <v>6350</v>
      </c>
      <c r="FST5" s="12" t="s">
        <v>6351</v>
      </c>
      <c r="FSU5" s="12" t="s">
        <v>6352</v>
      </c>
      <c r="FSV5" s="12" t="s">
        <v>6353</v>
      </c>
      <c r="FSW5" s="12" t="s">
        <v>6354</v>
      </c>
      <c r="FSX5" s="12" t="s">
        <v>6355</v>
      </c>
      <c r="FSY5" s="12" t="s">
        <v>6356</v>
      </c>
      <c r="FSZ5" s="12" t="s">
        <v>6357</v>
      </c>
      <c r="FTA5" s="12" t="s">
        <v>6358</v>
      </c>
      <c r="FTB5" s="12" t="s">
        <v>6359</v>
      </c>
      <c r="FTC5" s="12" t="s">
        <v>6360</v>
      </c>
      <c r="FTD5" s="12" t="s">
        <v>6361</v>
      </c>
      <c r="FTE5" s="12" t="s">
        <v>6362</v>
      </c>
      <c r="FTF5" s="12" t="s">
        <v>6363</v>
      </c>
      <c r="FTG5" s="12" t="s">
        <v>6364</v>
      </c>
      <c r="FTH5" s="12" t="s">
        <v>6365</v>
      </c>
      <c r="FTI5" s="12" t="s">
        <v>6366</v>
      </c>
      <c r="FTJ5" s="12" t="s">
        <v>6367</v>
      </c>
      <c r="FTK5" s="12" t="s">
        <v>6368</v>
      </c>
      <c r="FTL5" s="12" t="s">
        <v>6369</v>
      </c>
      <c r="FTM5" s="12" t="s">
        <v>6370</v>
      </c>
      <c r="FTN5" s="12" t="s">
        <v>6371</v>
      </c>
      <c r="FTO5" s="12" t="s">
        <v>6372</v>
      </c>
      <c r="FTP5" s="12" t="s">
        <v>6373</v>
      </c>
      <c r="FTQ5" s="12" t="s">
        <v>6374</v>
      </c>
      <c r="FTR5" s="12" t="s">
        <v>6375</v>
      </c>
      <c r="FTS5" s="12" t="s">
        <v>6376</v>
      </c>
      <c r="FTT5" s="12" t="s">
        <v>6377</v>
      </c>
      <c r="FTU5" s="12" t="s">
        <v>6378</v>
      </c>
      <c r="FTV5" s="12" t="s">
        <v>6379</v>
      </c>
      <c r="FTW5" s="12" t="s">
        <v>6380</v>
      </c>
      <c r="FTX5" s="12" t="s">
        <v>6381</v>
      </c>
      <c r="FTY5" s="12" t="s">
        <v>6382</v>
      </c>
      <c r="FTZ5" s="12" t="s">
        <v>6383</v>
      </c>
      <c r="FUA5" s="12" t="s">
        <v>6384</v>
      </c>
      <c r="FUB5" s="12" t="s">
        <v>6385</v>
      </c>
      <c r="FUC5" s="12" t="s">
        <v>6386</v>
      </c>
      <c r="FUD5" s="12" t="s">
        <v>6387</v>
      </c>
      <c r="FUE5" s="12" t="s">
        <v>6388</v>
      </c>
      <c r="FUF5" s="12" t="s">
        <v>6389</v>
      </c>
      <c r="FUG5" s="12" t="s">
        <v>6390</v>
      </c>
      <c r="FUH5" s="12" t="s">
        <v>6391</v>
      </c>
      <c r="FUI5" s="12" t="s">
        <v>6392</v>
      </c>
      <c r="FUJ5" s="12" t="s">
        <v>6393</v>
      </c>
      <c r="FUK5" s="12" t="s">
        <v>6394</v>
      </c>
      <c r="FUL5" s="12" t="s">
        <v>6395</v>
      </c>
      <c r="FUM5" s="12" t="s">
        <v>6396</v>
      </c>
      <c r="FUN5" s="12" t="s">
        <v>6397</v>
      </c>
      <c r="FUO5" s="12" t="s">
        <v>6398</v>
      </c>
      <c r="FUP5" s="12" t="s">
        <v>6399</v>
      </c>
      <c r="FUQ5" s="12" t="s">
        <v>6400</v>
      </c>
      <c r="FUR5" s="12" t="s">
        <v>6401</v>
      </c>
      <c r="FUS5" s="12" t="s">
        <v>6402</v>
      </c>
      <c r="FUT5" s="12" t="s">
        <v>6403</v>
      </c>
      <c r="FUU5" s="12" t="s">
        <v>6404</v>
      </c>
      <c r="FUV5" s="12" t="s">
        <v>6405</v>
      </c>
      <c r="FUW5" s="12" t="s">
        <v>6406</v>
      </c>
      <c r="FUX5" s="12" t="s">
        <v>6407</v>
      </c>
      <c r="FUY5" s="12" t="s">
        <v>6408</v>
      </c>
      <c r="FUZ5" s="12" t="s">
        <v>6409</v>
      </c>
      <c r="FVA5" s="12" t="s">
        <v>6410</v>
      </c>
      <c r="FVB5" s="12" t="s">
        <v>6411</v>
      </c>
      <c r="FVC5" s="12" t="s">
        <v>6412</v>
      </c>
      <c r="FVD5" s="12" t="s">
        <v>6413</v>
      </c>
      <c r="FVE5" s="12" t="s">
        <v>6414</v>
      </c>
      <c r="FVF5" s="12" t="s">
        <v>6415</v>
      </c>
      <c r="FVG5" s="12" t="s">
        <v>6416</v>
      </c>
      <c r="FVH5" s="12" t="s">
        <v>6417</v>
      </c>
      <c r="FVI5" s="12" t="s">
        <v>6418</v>
      </c>
      <c r="FVJ5" s="12" t="s">
        <v>6419</v>
      </c>
      <c r="FVK5" s="12" t="s">
        <v>6420</v>
      </c>
      <c r="FVL5" s="12" t="s">
        <v>6421</v>
      </c>
      <c r="FVM5" s="12" t="s">
        <v>6422</v>
      </c>
      <c r="FVN5" s="12" t="s">
        <v>6423</v>
      </c>
      <c r="FVO5" s="12" t="s">
        <v>6424</v>
      </c>
      <c r="FVP5" s="12" t="s">
        <v>6425</v>
      </c>
      <c r="FVQ5" s="12" t="s">
        <v>6426</v>
      </c>
      <c r="FVR5" s="12" t="s">
        <v>6427</v>
      </c>
      <c r="FVS5" s="12" t="s">
        <v>6428</v>
      </c>
      <c r="FVT5" s="12" t="s">
        <v>6429</v>
      </c>
      <c r="FVU5" s="12" t="s">
        <v>6430</v>
      </c>
      <c r="FVV5" s="12" t="s">
        <v>6431</v>
      </c>
      <c r="FVW5" s="12" t="s">
        <v>6432</v>
      </c>
      <c r="FVX5" s="12" t="s">
        <v>6433</v>
      </c>
      <c r="FVY5" s="12" t="s">
        <v>6434</v>
      </c>
      <c r="FVZ5" s="12" t="s">
        <v>6435</v>
      </c>
      <c r="FWA5" s="12" t="s">
        <v>6436</v>
      </c>
      <c r="FWB5" s="12" t="s">
        <v>6437</v>
      </c>
      <c r="FWC5" s="12" t="s">
        <v>6438</v>
      </c>
      <c r="FWD5" s="12" t="s">
        <v>6439</v>
      </c>
      <c r="FWE5" s="12" t="s">
        <v>6440</v>
      </c>
      <c r="FWF5" s="12" t="s">
        <v>6441</v>
      </c>
      <c r="FWG5" s="12" t="s">
        <v>6442</v>
      </c>
      <c r="FWH5" s="12" t="s">
        <v>6443</v>
      </c>
      <c r="FWI5" s="12" t="s">
        <v>6444</v>
      </c>
      <c r="FWJ5" s="12" t="s">
        <v>6445</v>
      </c>
      <c r="FWK5" s="12" t="s">
        <v>6446</v>
      </c>
      <c r="FWL5" s="12" t="s">
        <v>6447</v>
      </c>
      <c r="FWM5" s="12" t="s">
        <v>6448</v>
      </c>
      <c r="FWN5" s="12" t="s">
        <v>6449</v>
      </c>
      <c r="FWO5" s="12" t="s">
        <v>6450</v>
      </c>
      <c r="FWP5" s="12" t="s">
        <v>6451</v>
      </c>
      <c r="FWQ5" s="12" t="s">
        <v>6452</v>
      </c>
      <c r="FWR5" s="12" t="s">
        <v>6453</v>
      </c>
      <c r="FWS5" s="12" t="s">
        <v>6454</v>
      </c>
      <c r="FWT5" s="12" t="s">
        <v>6455</v>
      </c>
      <c r="FWU5" s="12" t="s">
        <v>6456</v>
      </c>
      <c r="FWV5" s="12" t="s">
        <v>6457</v>
      </c>
      <c r="FWW5" s="12" t="s">
        <v>6458</v>
      </c>
      <c r="FWX5" s="12" t="s">
        <v>6459</v>
      </c>
      <c r="FWY5" s="12" t="s">
        <v>6460</v>
      </c>
      <c r="FWZ5" s="12" t="s">
        <v>6461</v>
      </c>
      <c r="FXA5" s="12" t="s">
        <v>6462</v>
      </c>
      <c r="FXB5" s="12" t="s">
        <v>6463</v>
      </c>
      <c r="FXC5" s="12" t="s">
        <v>6464</v>
      </c>
      <c r="FXD5" s="12" t="s">
        <v>6465</v>
      </c>
      <c r="FXE5" s="12" t="s">
        <v>6466</v>
      </c>
      <c r="FXF5" s="12" t="s">
        <v>6467</v>
      </c>
      <c r="FXG5" s="12" t="s">
        <v>6468</v>
      </c>
      <c r="FXH5" s="12" t="s">
        <v>6469</v>
      </c>
      <c r="FXI5" s="12" t="s">
        <v>6470</v>
      </c>
      <c r="FXJ5" s="12" t="s">
        <v>6471</v>
      </c>
      <c r="FXK5" s="12" t="s">
        <v>6472</v>
      </c>
      <c r="FXL5" s="12" t="s">
        <v>6473</v>
      </c>
      <c r="FXM5" s="12" t="s">
        <v>6474</v>
      </c>
      <c r="FXN5" s="12" t="s">
        <v>6475</v>
      </c>
      <c r="FXO5" s="12" t="s">
        <v>6476</v>
      </c>
      <c r="FXP5" s="12" t="s">
        <v>6477</v>
      </c>
      <c r="FXQ5" s="12" t="s">
        <v>6478</v>
      </c>
      <c r="FXR5" s="12" t="s">
        <v>6479</v>
      </c>
      <c r="FXS5" s="12" t="s">
        <v>6480</v>
      </c>
      <c r="FXT5" s="12" t="s">
        <v>6481</v>
      </c>
      <c r="FXU5" s="12" t="s">
        <v>6482</v>
      </c>
      <c r="FXV5" s="12" t="s">
        <v>6483</v>
      </c>
      <c r="FXW5" s="12" t="s">
        <v>6484</v>
      </c>
      <c r="FXX5" s="12" t="s">
        <v>6485</v>
      </c>
      <c r="FXY5" s="12" t="s">
        <v>6486</v>
      </c>
      <c r="FXZ5" s="12" t="s">
        <v>6487</v>
      </c>
      <c r="FYA5" s="12" t="s">
        <v>6488</v>
      </c>
      <c r="FYB5" s="12" t="s">
        <v>6489</v>
      </c>
      <c r="FYC5" s="12" t="s">
        <v>6490</v>
      </c>
      <c r="FYD5" s="12" t="s">
        <v>6491</v>
      </c>
      <c r="FYE5" s="12" t="s">
        <v>6492</v>
      </c>
      <c r="FYF5" s="12" t="s">
        <v>6493</v>
      </c>
      <c r="FYG5" s="12" t="s">
        <v>6494</v>
      </c>
      <c r="FYH5" s="12" t="s">
        <v>6495</v>
      </c>
      <c r="FYI5" s="12" t="s">
        <v>6496</v>
      </c>
      <c r="FYJ5" s="12" t="s">
        <v>6497</v>
      </c>
      <c r="FYK5" s="12" t="s">
        <v>6498</v>
      </c>
      <c r="FYL5" s="12" t="s">
        <v>6499</v>
      </c>
      <c r="FYM5" s="12" t="s">
        <v>6500</v>
      </c>
      <c r="FYN5" s="12" t="s">
        <v>6501</v>
      </c>
      <c r="FYO5" s="12" t="s">
        <v>6502</v>
      </c>
      <c r="FYP5" s="12" t="s">
        <v>6503</v>
      </c>
      <c r="FYQ5" s="12" t="s">
        <v>6504</v>
      </c>
      <c r="FYR5" s="12" t="s">
        <v>6505</v>
      </c>
      <c r="FYS5" s="12" t="s">
        <v>6506</v>
      </c>
      <c r="FYT5" s="12" t="s">
        <v>6507</v>
      </c>
      <c r="FYU5" s="12" t="s">
        <v>6508</v>
      </c>
      <c r="FYV5" s="12" t="s">
        <v>6509</v>
      </c>
      <c r="FYW5" s="12" t="s">
        <v>6510</v>
      </c>
      <c r="FYX5" s="12" t="s">
        <v>6511</v>
      </c>
      <c r="FYY5" s="12" t="s">
        <v>6512</v>
      </c>
      <c r="FYZ5" s="12" t="s">
        <v>6513</v>
      </c>
      <c r="FZA5" s="12" t="s">
        <v>6514</v>
      </c>
      <c r="FZB5" s="12" t="s">
        <v>6515</v>
      </c>
      <c r="FZC5" s="12" t="s">
        <v>6516</v>
      </c>
      <c r="FZD5" s="12" t="s">
        <v>6517</v>
      </c>
      <c r="FZE5" s="12" t="s">
        <v>6518</v>
      </c>
      <c r="FZF5" s="12" t="s">
        <v>6519</v>
      </c>
      <c r="FZG5" s="12" t="s">
        <v>6520</v>
      </c>
      <c r="FZH5" s="12" t="s">
        <v>6521</v>
      </c>
      <c r="FZI5" s="12" t="s">
        <v>6522</v>
      </c>
      <c r="FZJ5" s="12" t="s">
        <v>6523</v>
      </c>
      <c r="FZK5" s="12" t="s">
        <v>6524</v>
      </c>
      <c r="FZL5" s="12" t="s">
        <v>6525</v>
      </c>
      <c r="FZM5" s="12" t="s">
        <v>6526</v>
      </c>
      <c r="FZN5" s="12" t="s">
        <v>6527</v>
      </c>
      <c r="FZO5" s="12" t="s">
        <v>6528</v>
      </c>
      <c r="FZP5" s="12" t="s">
        <v>6529</v>
      </c>
      <c r="FZQ5" s="12" t="s">
        <v>6530</v>
      </c>
      <c r="FZR5" s="12" t="s">
        <v>6531</v>
      </c>
      <c r="FZS5" s="12" t="s">
        <v>6532</v>
      </c>
      <c r="FZT5" s="12" t="s">
        <v>6533</v>
      </c>
      <c r="FZU5" s="12" t="s">
        <v>6534</v>
      </c>
      <c r="FZV5" s="12" t="s">
        <v>6535</v>
      </c>
      <c r="FZW5" s="12" t="s">
        <v>6536</v>
      </c>
      <c r="FZX5" s="12" t="s">
        <v>6537</v>
      </c>
      <c r="FZY5" s="12" t="s">
        <v>6538</v>
      </c>
      <c r="FZZ5" s="12" t="s">
        <v>6539</v>
      </c>
      <c r="GAA5" s="12" t="s">
        <v>6540</v>
      </c>
      <c r="GAB5" s="12" t="s">
        <v>6541</v>
      </c>
      <c r="GAC5" s="12" t="s">
        <v>6542</v>
      </c>
      <c r="GAD5" s="12" t="s">
        <v>6543</v>
      </c>
      <c r="GAE5" s="12" t="s">
        <v>6544</v>
      </c>
      <c r="GAF5" s="12" t="s">
        <v>6545</v>
      </c>
      <c r="GAG5" s="12" t="s">
        <v>6546</v>
      </c>
      <c r="GAH5" s="12" t="s">
        <v>6547</v>
      </c>
      <c r="GAI5" s="12" t="s">
        <v>6548</v>
      </c>
      <c r="GAJ5" s="12" t="s">
        <v>6549</v>
      </c>
      <c r="GAK5" s="12" t="s">
        <v>6550</v>
      </c>
      <c r="GAL5" s="12" t="s">
        <v>6551</v>
      </c>
      <c r="GAM5" s="12" t="s">
        <v>6552</v>
      </c>
      <c r="GAN5" s="12" t="s">
        <v>6553</v>
      </c>
      <c r="GAO5" s="12" t="s">
        <v>6554</v>
      </c>
      <c r="GAP5" s="12" t="s">
        <v>6555</v>
      </c>
      <c r="GAQ5" s="12" t="s">
        <v>6556</v>
      </c>
      <c r="GAR5" s="12" t="s">
        <v>6557</v>
      </c>
      <c r="GAS5" s="12" t="s">
        <v>6558</v>
      </c>
      <c r="GAT5" s="12" t="s">
        <v>6559</v>
      </c>
      <c r="GAU5" s="12" t="s">
        <v>6560</v>
      </c>
      <c r="GAV5" s="12" t="s">
        <v>6561</v>
      </c>
      <c r="GAW5" s="12" t="s">
        <v>6562</v>
      </c>
      <c r="GAX5" s="12" t="s">
        <v>6563</v>
      </c>
      <c r="GAY5" s="12" t="s">
        <v>6564</v>
      </c>
      <c r="GAZ5" s="12" t="s">
        <v>6565</v>
      </c>
      <c r="GBA5" s="12" t="s">
        <v>6566</v>
      </c>
      <c r="GBB5" s="12" t="s">
        <v>6567</v>
      </c>
      <c r="GBC5" s="12" t="s">
        <v>6568</v>
      </c>
      <c r="GBD5" s="12" t="s">
        <v>6569</v>
      </c>
      <c r="GBE5" s="12" t="s">
        <v>6570</v>
      </c>
      <c r="GBF5" s="12" t="s">
        <v>6571</v>
      </c>
      <c r="GBG5" s="12" t="s">
        <v>6572</v>
      </c>
      <c r="GBH5" s="12" t="s">
        <v>6573</v>
      </c>
      <c r="GBI5" s="12" t="s">
        <v>6574</v>
      </c>
      <c r="GBJ5" s="12" t="s">
        <v>6575</v>
      </c>
      <c r="GBK5" s="12" t="s">
        <v>6576</v>
      </c>
      <c r="GBL5" s="12" t="s">
        <v>6577</v>
      </c>
      <c r="GBM5" s="12" t="s">
        <v>6578</v>
      </c>
      <c r="GBN5" s="12" t="s">
        <v>6579</v>
      </c>
      <c r="GBO5" s="12" t="s">
        <v>6580</v>
      </c>
      <c r="GBP5" s="12" t="s">
        <v>6581</v>
      </c>
      <c r="GBQ5" s="12" t="s">
        <v>6582</v>
      </c>
      <c r="GBR5" s="12" t="s">
        <v>6583</v>
      </c>
      <c r="GBS5" s="12" t="s">
        <v>6584</v>
      </c>
      <c r="GBT5" s="12" t="s">
        <v>6585</v>
      </c>
      <c r="GBU5" s="12" t="s">
        <v>6586</v>
      </c>
      <c r="GBV5" s="12" t="s">
        <v>6587</v>
      </c>
      <c r="GBW5" s="12" t="s">
        <v>6588</v>
      </c>
      <c r="GBX5" s="12" t="s">
        <v>6589</v>
      </c>
      <c r="GBY5" s="12" t="s">
        <v>6590</v>
      </c>
      <c r="GBZ5" s="12" t="s">
        <v>6591</v>
      </c>
      <c r="GCA5" s="12" t="s">
        <v>6592</v>
      </c>
      <c r="GCB5" s="12" t="s">
        <v>6593</v>
      </c>
      <c r="GCC5" s="12" t="s">
        <v>6594</v>
      </c>
      <c r="GCD5" s="12" t="s">
        <v>6595</v>
      </c>
      <c r="GCE5" s="12" t="s">
        <v>6596</v>
      </c>
      <c r="GCF5" s="12" t="s">
        <v>6597</v>
      </c>
      <c r="GCG5" s="12" t="s">
        <v>6598</v>
      </c>
      <c r="GCH5" s="12" t="s">
        <v>6599</v>
      </c>
      <c r="GCI5" s="12" t="s">
        <v>6600</v>
      </c>
      <c r="GCJ5" s="12" t="s">
        <v>6601</v>
      </c>
      <c r="GCK5" s="12" t="s">
        <v>6602</v>
      </c>
      <c r="GCL5" s="12" t="s">
        <v>6603</v>
      </c>
      <c r="GCM5" s="12" t="s">
        <v>6604</v>
      </c>
      <c r="GCN5" s="12" t="s">
        <v>6605</v>
      </c>
      <c r="GCO5" s="12" t="s">
        <v>6606</v>
      </c>
      <c r="GCP5" s="12" t="s">
        <v>6607</v>
      </c>
      <c r="GCQ5" s="12" t="s">
        <v>6608</v>
      </c>
      <c r="GCR5" s="12" t="s">
        <v>6609</v>
      </c>
      <c r="GCS5" s="12" t="s">
        <v>6610</v>
      </c>
      <c r="GCT5" s="12" t="s">
        <v>6611</v>
      </c>
      <c r="GCU5" s="12" t="s">
        <v>6612</v>
      </c>
      <c r="GCV5" s="12" t="s">
        <v>6613</v>
      </c>
      <c r="GCW5" s="12" t="s">
        <v>6614</v>
      </c>
      <c r="GCX5" s="12" t="s">
        <v>6615</v>
      </c>
      <c r="GCY5" s="12" t="s">
        <v>6616</v>
      </c>
      <c r="GCZ5" s="12" t="s">
        <v>6617</v>
      </c>
      <c r="GDA5" s="12" t="s">
        <v>6618</v>
      </c>
      <c r="GDB5" s="12" t="s">
        <v>6619</v>
      </c>
      <c r="GDC5" s="12" t="s">
        <v>6620</v>
      </c>
      <c r="GDD5" s="12" t="s">
        <v>6621</v>
      </c>
      <c r="GDE5" s="12" t="s">
        <v>6622</v>
      </c>
      <c r="GDF5" s="12" t="s">
        <v>6623</v>
      </c>
      <c r="GDG5" s="12" t="s">
        <v>6624</v>
      </c>
      <c r="GDH5" s="12" t="s">
        <v>6625</v>
      </c>
      <c r="GDI5" s="12" t="s">
        <v>6626</v>
      </c>
      <c r="GDJ5" s="12" t="s">
        <v>6627</v>
      </c>
      <c r="GDK5" s="12" t="s">
        <v>6628</v>
      </c>
      <c r="GDL5" s="12" t="s">
        <v>6629</v>
      </c>
      <c r="GDM5" s="12" t="s">
        <v>6630</v>
      </c>
      <c r="GDN5" s="12" t="s">
        <v>6631</v>
      </c>
      <c r="GDO5" s="12" t="s">
        <v>6632</v>
      </c>
      <c r="GDP5" s="12" t="s">
        <v>6633</v>
      </c>
      <c r="GDQ5" s="12" t="s">
        <v>6634</v>
      </c>
      <c r="GDR5" s="12" t="s">
        <v>6635</v>
      </c>
      <c r="GDS5" s="12" t="s">
        <v>6636</v>
      </c>
      <c r="GDT5" s="12" t="s">
        <v>6637</v>
      </c>
      <c r="GDU5" s="12" t="s">
        <v>6638</v>
      </c>
      <c r="GDV5" s="12" t="s">
        <v>6639</v>
      </c>
      <c r="GDW5" s="12" t="s">
        <v>6640</v>
      </c>
      <c r="GDX5" s="12" t="s">
        <v>6641</v>
      </c>
      <c r="GDY5" s="12" t="s">
        <v>6642</v>
      </c>
      <c r="GDZ5" s="12" t="s">
        <v>6643</v>
      </c>
      <c r="GEA5" s="12" t="s">
        <v>6644</v>
      </c>
      <c r="GEB5" s="12" t="s">
        <v>6645</v>
      </c>
      <c r="GEC5" s="12" t="s">
        <v>6646</v>
      </c>
      <c r="GED5" s="12" t="s">
        <v>6647</v>
      </c>
      <c r="GEE5" s="12" t="s">
        <v>6648</v>
      </c>
      <c r="GEF5" s="12" t="s">
        <v>6649</v>
      </c>
      <c r="GEG5" s="12" t="s">
        <v>6650</v>
      </c>
      <c r="GEH5" s="12" t="s">
        <v>6651</v>
      </c>
      <c r="GEI5" s="12" t="s">
        <v>6652</v>
      </c>
      <c r="GEJ5" s="12" t="s">
        <v>6653</v>
      </c>
      <c r="GEK5" s="12" t="s">
        <v>6654</v>
      </c>
      <c r="GEL5" s="12" t="s">
        <v>6655</v>
      </c>
      <c r="GEM5" s="12" t="s">
        <v>6656</v>
      </c>
      <c r="GEN5" s="12" t="s">
        <v>6657</v>
      </c>
      <c r="GEO5" s="12" t="s">
        <v>6658</v>
      </c>
      <c r="GEP5" s="12" t="s">
        <v>6659</v>
      </c>
      <c r="GEQ5" s="12" t="s">
        <v>6660</v>
      </c>
      <c r="GER5" s="12" t="s">
        <v>6661</v>
      </c>
      <c r="GES5" s="12" t="s">
        <v>6662</v>
      </c>
      <c r="GET5" s="12" t="s">
        <v>6663</v>
      </c>
      <c r="GEU5" s="12" t="s">
        <v>6664</v>
      </c>
      <c r="GEV5" s="12" t="s">
        <v>6665</v>
      </c>
      <c r="GEW5" s="12" t="s">
        <v>6666</v>
      </c>
      <c r="GEX5" s="12" t="s">
        <v>6667</v>
      </c>
      <c r="GEY5" s="12" t="s">
        <v>6668</v>
      </c>
      <c r="GEZ5" s="12" t="s">
        <v>6669</v>
      </c>
      <c r="GFA5" s="12" t="s">
        <v>6670</v>
      </c>
      <c r="GFB5" s="12" t="s">
        <v>6671</v>
      </c>
      <c r="GFC5" s="12" t="s">
        <v>6672</v>
      </c>
      <c r="GFD5" s="12" t="s">
        <v>6673</v>
      </c>
      <c r="GFE5" s="12" t="s">
        <v>6674</v>
      </c>
      <c r="GFF5" s="12" t="s">
        <v>6675</v>
      </c>
      <c r="GFG5" s="12" t="s">
        <v>6676</v>
      </c>
      <c r="GFH5" s="12" t="s">
        <v>6677</v>
      </c>
      <c r="GFI5" s="12" t="s">
        <v>6678</v>
      </c>
      <c r="GFJ5" s="12" t="s">
        <v>6679</v>
      </c>
      <c r="GFK5" s="12" t="s">
        <v>6680</v>
      </c>
      <c r="GFL5" s="12" t="s">
        <v>6681</v>
      </c>
      <c r="GFM5" s="12" t="s">
        <v>6682</v>
      </c>
      <c r="GFN5" s="12" t="s">
        <v>6683</v>
      </c>
      <c r="GFO5" s="12" t="s">
        <v>6684</v>
      </c>
      <c r="GFP5" s="12" t="s">
        <v>6685</v>
      </c>
      <c r="GFQ5" s="12" t="s">
        <v>6686</v>
      </c>
      <c r="GFR5" s="12" t="s">
        <v>6687</v>
      </c>
      <c r="GFS5" s="12" t="s">
        <v>6688</v>
      </c>
      <c r="GFT5" s="12" t="s">
        <v>6689</v>
      </c>
      <c r="GFU5" s="12" t="s">
        <v>6690</v>
      </c>
      <c r="GFV5" s="12" t="s">
        <v>6691</v>
      </c>
      <c r="GFW5" s="12" t="s">
        <v>6692</v>
      </c>
      <c r="GFX5" s="12" t="s">
        <v>6693</v>
      </c>
      <c r="GFY5" s="12" t="s">
        <v>6694</v>
      </c>
      <c r="GFZ5" s="12" t="s">
        <v>6695</v>
      </c>
      <c r="GGA5" s="12" t="s">
        <v>6696</v>
      </c>
      <c r="GGB5" s="12" t="s">
        <v>6697</v>
      </c>
      <c r="GGC5" s="12" t="s">
        <v>6698</v>
      </c>
      <c r="GGD5" s="12" t="s">
        <v>6699</v>
      </c>
      <c r="GGE5" s="12" t="s">
        <v>6700</v>
      </c>
      <c r="GGF5" s="12" t="s">
        <v>6701</v>
      </c>
      <c r="GGG5" s="12" t="s">
        <v>6702</v>
      </c>
      <c r="GGH5" s="12" t="s">
        <v>6703</v>
      </c>
      <c r="GGI5" s="12" t="s">
        <v>6704</v>
      </c>
      <c r="GGJ5" s="12" t="s">
        <v>6705</v>
      </c>
      <c r="GGK5" s="12" t="s">
        <v>6706</v>
      </c>
      <c r="GGL5" s="12" t="s">
        <v>6707</v>
      </c>
      <c r="GGM5" s="12" t="s">
        <v>6708</v>
      </c>
      <c r="GGN5" s="12" t="s">
        <v>6709</v>
      </c>
      <c r="GGO5" s="12" t="s">
        <v>6710</v>
      </c>
      <c r="GGP5" s="12" t="s">
        <v>6711</v>
      </c>
      <c r="GGQ5" s="12" t="s">
        <v>6712</v>
      </c>
      <c r="GGR5" s="12" t="s">
        <v>6713</v>
      </c>
      <c r="GGS5" s="12" t="s">
        <v>6714</v>
      </c>
      <c r="GGT5" s="12" t="s">
        <v>6715</v>
      </c>
      <c r="GGU5" s="12" t="s">
        <v>6716</v>
      </c>
      <c r="GGV5" s="12" t="s">
        <v>6717</v>
      </c>
      <c r="GGW5" s="12" t="s">
        <v>6718</v>
      </c>
      <c r="GGX5" s="12" t="s">
        <v>6719</v>
      </c>
      <c r="GGY5" s="12" t="s">
        <v>6720</v>
      </c>
      <c r="GGZ5" s="12" t="s">
        <v>6721</v>
      </c>
      <c r="GHA5" s="12" t="s">
        <v>6722</v>
      </c>
      <c r="GHB5" s="12" t="s">
        <v>6723</v>
      </c>
      <c r="GHC5" s="12" t="s">
        <v>6724</v>
      </c>
      <c r="GHD5" s="12" t="s">
        <v>6725</v>
      </c>
      <c r="GHE5" s="12" t="s">
        <v>6726</v>
      </c>
      <c r="GHF5" s="12" t="s">
        <v>6727</v>
      </c>
      <c r="GHG5" s="12" t="s">
        <v>6728</v>
      </c>
      <c r="GHH5" s="12" t="s">
        <v>6729</v>
      </c>
      <c r="GHI5" s="12" t="s">
        <v>6730</v>
      </c>
      <c r="GHJ5" s="12" t="s">
        <v>6731</v>
      </c>
      <c r="GHK5" s="12" t="s">
        <v>6732</v>
      </c>
      <c r="GHL5" s="12" t="s">
        <v>6733</v>
      </c>
      <c r="GHM5" s="12" t="s">
        <v>6734</v>
      </c>
      <c r="GHN5" s="12" t="s">
        <v>6735</v>
      </c>
      <c r="GHO5" s="12" t="s">
        <v>6736</v>
      </c>
      <c r="GHP5" s="12" t="s">
        <v>6737</v>
      </c>
      <c r="GHQ5" s="12" t="s">
        <v>6738</v>
      </c>
      <c r="GHR5" s="12" t="s">
        <v>6739</v>
      </c>
      <c r="GHS5" s="12" t="s">
        <v>6740</v>
      </c>
      <c r="GHT5" s="12" t="s">
        <v>6741</v>
      </c>
      <c r="GHU5" s="12" t="s">
        <v>6742</v>
      </c>
      <c r="GHV5" s="12" t="s">
        <v>6743</v>
      </c>
      <c r="GHW5" s="12" t="s">
        <v>6744</v>
      </c>
      <c r="GHX5" s="12" t="s">
        <v>6745</v>
      </c>
      <c r="GHY5" s="12" t="s">
        <v>6746</v>
      </c>
      <c r="GHZ5" s="12" t="s">
        <v>6747</v>
      </c>
      <c r="GIA5" s="12" t="s">
        <v>6748</v>
      </c>
      <c r="GIB5" s="12" t="s">
        <v>6749</v>
      </c>
      <c r="GIC5" s="12" t="s">
        <v>6750</v>
      </c>
      <c r="GID5" s="12" t="s">
        <v>6751</v>
      </c>
      <c r="GIE5" s="12" t="s">
        <v>6752</v>
      </c>
      <c r="GIF5" s="12" t="s">
        <v>6753</v>
      </c>
      <c r="GIG5" s="12" t="s">
        <v>6754</v>
      </c>
      <c r="GIH5" s="12" t="s">
        <v>6755</v>
      </c>
      <c r="GII5" s="12" t="s">
        <v>6756</v>
      </c>
      <c r="GIJ5" s="12" t="s">
        <v>6757</v>
      </c>
      <c r="GIK5" s="12" t="s">
        <v>6758</v>
      </c>
      <c r="GIL5" s="12" t="s">
        <v>6759</v>
      </c>
      <c r="GIM5" s="12" t="s">
        <v>6760</v>
      </c>
      <c r="GIN5" s="12" t="s">
        <v>6761</v>
      </c>
      <c r="GIO5" s="12" t="s">
        <v>6762</v>
      </c>
      <c r="GIP5" s="12" t="s">
        <v>6763</v>
      </c>
      <c r="GIQ5" s="12" t="s">
        <v>6764</v>
      </c>
      <c r="GIR5" s="12" t="s">
        <v>6765</v>
      </c>
      <c r="GIS5" s="12" t="s">
        <v>6766</v>
      </c>
      <c r="GIT5" s="12" t="s">
        <v>6767</v>
      </c>
      <c r="GIU5" s="12" t="s">
        <v>6768</v>
      </c>
      <c r="GIV5" s="12" t="s">
        <v>6769</v>
      </c>
      <c r="GIW5" s="12" t="s">
        <v>6770</v>
      </c>
      <c r="GIX5" s="12" t="s">
        <v>6771</v>
      </c>
      <c r="GIY5" s="12" t="s">
        <v>6772</v>
      </c>
      <c r="GIZ5" s="12" t="s">
        <v>6773</v>
      </c>
      <c r="GJA5" s="12" t="s">
        <v>6774</v>
      </c>
      <c r="GJB5" s="12" t="s">
        <v>6775</v>
      </c>
      <c r="GJC5" s="12" t="s">
        <v>6776</v>
      </c>
      <c r="GJD5" s="12" t="s">
        <v>6777</v>
      </c>
      <c r="GJE5" s="12" t="s">
        <v>6778</v>
      </c>
      <c r="GJF5" s="12" t="s">
        <v>6779</v>
      </c>
      <c r="GJG5" s="12" t="s">
        <v>6780</v>
      </c>
      <c r="GJH5" s="12" t="s">
        <v>6781</v>
      </c>
      <c r="GJI5" s="12" t="s">
        <v>6782</v>
      </c>
      <c r="GJJ5" s="12" t="s">
        <v>6783</v>
      </c>
      <c r="GJK5" s="12" t="s">
        <v>6784</v>
      </c>
      <c r="GJL5" s="12" t="s">
        <v>6785</v>
      </c>
      <c r="GJM5" s="12" t="s">
        <v>6786</v>
      </c>
      <c r="GJN5" s="12" t="s">
        <v>6787</v>
      </c>
      <c r="GJO5" s="12" t="s">
        <v>6788</v>
      </c>
      <c r="GJP5" s="12" t="s">
        <v>6789</v>
      </c>
      <c r="GJQ5" s="12" t="s">
        <v>6790</v>
      </c>
      <c r="GJR5" s="12" t="s">
        <v>6791</v>
      </c>
      <c r="GJS5" s="12" t="s">
        <v>6792</v>
      </c>
      <c r="GJT5" s="12" t="s">
        <v>6793</v>
      </c>
      <c r="GJU5" s="12" t="s">
        <v>6794</v>
      </c>
      <c r="GJV5" s="12" t="s">
        <v>6795</v>
      </c>
      <c r="GJW5" s="12" t="s">
        <v>6796</v>
      </c>
      <c r="GJX5" s="12" t="s">
        <v>6797</v>
      </c>
      <c r="GJY5" s="12" t="s">
        <v>6798</v>
      </c>
      <c r="GJZ5" s="12" t="s">
        <v>6799</v>
      </c>
      <c r="GKA5" s="12" t="s">
        <v>6800</v>
      </c>
      <c r="GKB5" s="12" t="s">
        <v>6801</v>
      </c>
      <c r="GKC5" s="12" t="s">
        <v>6802</v>
      </c>
      <c r="GKD5" s="12" t="s">
        <v>6803</v>
      </c>
      <c r="GKE5" s="12" t="s">
        <v>6804</v>
      </c>
      <c r="GKF5" s="12" t="s">
        <v>6805</v>
      </c>
      <c r="GKG5" s="12" t="s">
        <v>6806</v>
      </c>
      <c r="GKH5" s="12" t="s">
        <v>6807</v>
      </c>
      <c r="GKI5" s="12" t="s">
        <v>6808</v>
      </c>
      <c r="GKJ5" s="12" t="s">
        <v>6809</v>
      </c>
      <c r="GKK5" s="12" t="s">
        <v>6810</v>
      </c>
      <c r="GKL5" s="12" t="s">
        <v>6811</v>
      </c>
      <c r="GKM5" s="12" t="s">
        <v>6812</v>
      </c>
      <c r="GKN5" s="12" t="s">
        <v>6813</v>
      </c>
      <c r="GKO5" s="12" t="s">
        <v>6814</v>
      </c>
      <c r="GKP5" s="12" t="s">
        <v>6815</v>
      </c>
      <c r="GKQ5" s="12" t="s">
        <v>6816</v>
      </c>
      <c r="GKR5" s="12" t="s">
        <v>6817</v>
      </c>
      <c r="GKS5" s="12" t="s">
        <v>6818</v>
      </c>
      <c r="GKT5" s="12" t="s">
        <v>6819</v>
      </c>
      <c r="GKU5" s="12" t="s">
        <v>6820</v>
      </c>
      <c r="GKV5" s="12" t="s">
        <v>6821</v>
      </c>
      <c r="GKW5" s="12" t="s">
        <v>6822</v>
      </c>
      <c r="GKX5" s="12" t="s">
        <v>6823</v>
      </c>
      <c r="GKY5" s="12" t="s">
        <v>6824</v>
      </c>
      <c r="GKZ5" s="12" t="s">
        <v>6825</v>
      </c>
      <c r="GLA5" s="12" t="s">
        <v>6826</v>
      </c>
      <c r="GLB5" s="12" t="s">
        <v>6827</v>
      </c>
      <c r="GLC5" s="12" t="s">
        <v>6828</v>
      </c>
      <c r="GLD5" s="12" t="s">
        <v>6829</v>
      </c>
      <c r="GLE5" s="12" t="s">
        <v>6830</v>
      </c>
      <c r="GLF5" s="12" t="s">
        <v>6831</v>
      </c>
      <c r="GLG5" s="12" t="s">
        <v>6832</v>
      </c>
      <c r="GLH5" s="12" t="s">
        <v>6833</v>
      </c>
      <c r="GLI5" s="12" t="s">
        <v>6834</v>
      </c>
      <c r="GLJ5" s="12" t="s">
        <v>6835</v>
      </c>
      <c r="GLK5" s="12" t="s">
        <v>6836</v>
      </c>
      <c r="GLL5" s="12" t="s">
        <v>6837</v>
      </c>
      <c r="GLM5" s="12" t="s">
        <v>6838</v>
      </c>
      <c r="GLN5" s="12" t="s">
        <v>6839</v>
      </c>
      <c r="GLO5" s="12" t="s">
        <v>6840</v>
      </c>
      <c r="GLP5" s="12" t="s">
        <v>6841</v>
      </c>
      <c r="GLQ5" s="12" t="s">
        <v>6842</v>
      </c>
      <c r="GLR5" s="12" t="s">
        <v>6843</v>
      </c>
      <c r="GLS5" s="12" t="s">
        <v>6844</v>
      </c>
      <c r="GLT5" s="12" t="s">
        <v>6845</v>
      </c>
      <c r="GLU5" s="12" t="s">
        <v>6846</v>
      </c>
      <c r="GLV5" s="12" t="s">
        <v>6847</v>
      </c>
      <c r="GLW5" s="12" t="s">
        <v>6848</v>
      </c>
      <c r="GLX5" s="12" t="s">
        <v>6849</v>
      </c>
      <c r="GLY5" s="12" t="s">
        <v>6850</v>
      </c>
      <c r="GLZ5" s="12" t="s">
        <v>6851</v>
      </c>
      <c r="GMA5" s="12" t="s">
        <v>6852</v>
      </c>
      <c r="GMB5" s="12" t="s">
        <v>6853</v>
      </c>
      <c r="GMC5" s="12" t="s">
        <v>6854</v>
      </c>
      <c r="GMD5" s="12" t="s">
        <v>6855</v>
      </c>
      <c r="GME5" s="12" t="s">
        <v>6856</v>
      </c>
      <c r="GMF5" s="12" t="s">
        <v>6857</v>
      </c>
      <c r="GMG5" s="12" t="s">
        <v>6858</v>
      </c>
      <c r="GMH5" s="12" t="s">
        <v>6859</v>
      </c>
      <c r="GMI5" s="12" t="s">
        <v>6860</v>
      </c>
      <c r="GMJ5" s="12" t="s">
        <v>6861</v>
      </c>
      <c r="GMK5" s="12" t="s">
        <v>6862</v>
      </c>
      <c r="GML5" s="12" t="s">
        <v>6863</v>
      </c>
      <c r="GMM5" s="12" t="s">
        <v>6864</v>
      </c>
      <c r="GMN5" s="12" t="s">
        <v>6865</v>
      </c>
      <c r="GMO5" s="12" t="s">
        <v>6866</v>
      </c>
      <c r="GMP5" s="12" t="s">
        <v>6867</v>
      </c>
      <c r="GMQ5" s="12" t="s">
        <v>6868</v>
      </c>
      <c r="GMR5" s="12" t="s">
        <v>6869</v>
      </c>
      <c r="GMS5" s="12" t="s">
        <v>6870</v>
      </c>
      <c r="GMT5" s="12" t="s">
        <v>6871</v>
      </c>
      <c r="GMU5" s="12" t="s">
        <v>6872</v>
      </c>
      <c r="GMV5" s="12" t="s">
        <v>6873</v>
      </c>
      <c r="GMW5" s="12" t="s">
        <v>6874</v>
      </c>
      <c r="GMX5" s="12" t="s">
        <v>6875</v>
      </c>
      <c r="GMY5" s="12" t="s">
        <v>6876</v>
      </c>
      <c r="GMZ5" s="12" t="s">
        <v>6877</v>
      </c>
      <c r="GNA5" s="12" t="s">
        <v>6878</v>
      </c>
      <c r="GNB5" s="12" t="s">
        <v>6879</v>
      </c>
      <c r="GNC5" s="12" t="s">
        <v>6880</v>
      </c>
      <c r="GND5" s="12" t="s">
        <v>6881</v>
      </c>
      <c r="GNE5" s="12" t="s">
        <v>6882</v>
      </c>
      <c r="GNF5" s="12" t="s">
        <v>6883</v>
      </c>
      <c r="GNG5" s="12" t="s">
        <v>6884</v>
      </c>
      <c r="GNH5" s="12" t="s">
        <v>6885</v>
      </c>
      <c r="GNI5" s="12" t="s">
        <v>6886</v>
      </c>
      <c r="GNJ5" s="12" t="s">
        <v>6887</v>
      </c>
      <c r="GNK5" s="12" t="s">
        <v>6888</v>
      </c>
      <c r="GNL5" s="12" t="s">
        <v>6889</v>
      </c>
      <c r="GNM5" s="12" t="s">
        <v>6890</v>
      </c>
      <c r="GNN5" s="12" t="s">
        <v>6891</v>
      </c>
      <c r="GNO5" s="12" t="s">
        <v>6892</v>
      </c>
      <c r="GNP5" s="12" t="s">
        <v>6893</v>
      </c>
      <c r="GNQ5" s="12" t="s">
        <v>6894</v>
      </c>
      <c r="GNR5" s="12" t="s">
        <v>6895</v>
      </c>
      <c r="GNS5" s="12" t="s">
        <v>6896</v>
      </c>
      <c r="GNT5" s="12" t="s">
        <v>6897</v>
      </c>
      <c r="GNU5" s="12" t="s">
        <v>6898</v>
      </c>
      <c r="GNV5" s="12" t="s">
        <v>6899</v>
      </c>
      <c r="GNW5" s="12" t="s">
        <v>6900</v>
      </c>
      <c r="GNX5" s="12" t="s">
        <v>6901</v>
      </c>
      <c r="GNY5" s="12" t="s">
        <v>6902</v>
      </c>
      <c r="GNZ5" s="12" t="s">
        <v>6903</v>
      </c>
      <c r="GOA5" s="12" t="s">
        <v>6904</v>
      </c>
      <c r="GOB5" s="12" t="s">
        <v>6905</v>
      </c>
      <c r="GOC5" s="12" t="s">
        <v>6906</v>
      </c>
      <c r="GOD5" s="12" t="s">
        <v>6907</v>
      </c>
      <c r="GOE5" s="12" t="s">
        <v>6908</v>
      </c>
      <c r="GOF5" s="12" t="s">
        <v>6909</v>
      </c>
      <c r="GOG5" s="12" t="s">
        <v>6910</v>
      </c>
      <c r="GOH5" s="12" t="s">
        <v>6911</v>
      </c>
      <c r="GOI5" s="12" t="s">
        <v>6912</v>
      </c>
      <c r="GOJ5" s="12" t="s">
        <v>6913</v>
      </c>
      <c r="GOK5" s="12" t="s">
        <v>6914</v>
      </c>
      <c r="GOL5" s="12" t="s">
        <v>6915</v>
      </c>
      <c r="GOM5" s="12" t="s">
        <v>6916</v>
      </c>
      <c r="GON5" s="12" t="s">
        <v>6917</v>
      </c>
      <c r="GOO5" s="12" t="s">
        <v>6918</v>
      </c>
      <c r="GOP5" s="12" t="s">
        <v>6919</v>
      </c>
      <c r="GOQ5" s="12" t="s">
        <v>6920</v>
      </c>
      <c r="GOR5" s="12" t="s">
        <v>6921</v>
      </c>
      <c r="GOS5" s="12" t="s">
        <v>6922</v>
      </c>
      <c r="GOT5" s="12" t="s">
        <v>6923</v>
      </c>
      <c r="GOU5" s="12" t="s">
        <v>6924</v>
      </c>
      <c r="GOV5" s="12" t="s">
        <v>6925</v>
      </c>
      <c r="GOW5" s="12" t="s">
        <v>6926</v>
      </c>
      <c r="GOX5" s="12" t="s">
        <v>6927</v>
      </c>
      <c r="GOY5" s="12" t="s">
        <v>6928</v>
      </c>
      <c r="GOZ5" s="12" t="s">
        <v>6929</v>
      </c>
      <c r="GPA5" s="12" t="s">
        <v>6930</v>
      </c>
      <c r="GPB5" s="12" t="s">
        <v>6931</v>
      </c>
      <c r="GPC5" s="12" t="s">
        <v>6932</v>
      </c>
      <c r="GPD5" s="12" t="s">
        <v>6933</v>
      </c>
      <c r="GPE5" s="12" t="s">
        <v>6934</v>
      </c>
      <c r="GPF5" s="12" t="s">
        <v>6935</v>
      </c>
      <c r="GPG5" s="12" t="s">
        <v>6936</v>
      </c>
      <c r="GPH5" s="12" t="s">
        <v>6937</v>
      </c>
      <c r="GPI5" s="12" t="s">
        <v>6938</v>
      </c>
      <c r="GPJ5" s="12" t="s">
        <v>6939</v>
      </c>
      <c r="GPK5" s="12" t="s">
        <v>6940</v>
      </c>
      <c r="GPL5" s="12" t="s">
        <v>6941</v>
      </c>
      <c r="GPM5" s="12" t="s">
        <v>6942</v>
      </c>
      <c r="GPN5" s="12" t="s">
        <v>6943</v>
      </c>
      <c r="GPO5" s="12" t="s">
        <v>6944</v>
      </c>
      <c r="GPP5" s="12" t="s">
        <v>6945</v>
      </c>
      <c r="GPQ5" s="12" t="s">
        <v>6946</v>
      </c>
      <c r="GPR5" s="12" t="s">
        <v>6947</v>
      </c>
      <c r="GPS5" s="12" t="s">
        <v>6948</v>
      </c>
      <c r="GPT5" s="12" t="s">
        <v>6949</v>
      </c>
      <c r="GPU5" s="12" t="s">
        <v>6950</v>
      </c>
      <c r="GPV5" s="12" t="s">
        <v>6951</v>
      </c>
      <c r="GPW5" s="12" t="s">
        <v>6952</v>
      </c>
      <c r="GPX5" s="12" t="s">
        <v>6953</v>
      </c>
      <c r="GPY5" s="12" t="s">
        <v>6954</v>
      </c>
      <c r="GPZ5" s="12" t="s">
        <v>6955</v>
      </c>
      <c r="GQA5" s="12" t="s">
        <v>6956</v>
      </c>
      <c r="GQB5" s="12" t="s">
        <v>6957</v>
      </c>
      <c r="GQC5" s="12" t="s">
        <v>6958</v>
      </c>
      <c r="GQD5" s="12" t="s">
        <v>6959</v>
      </c>
      <c r="GQE5" s="12" t="s">
        <v>6960</v>
      </c>
      <c r="GQF5" s="12" t="s">
        <v>6961</v>
      </c>
      <c r="GQG5" s="12" t="s">
        <v>6962</v>
      </c>
      <c r="GQH5" s="12" t="s">
        <v>6963</v>
      </c>
      <c r="GQI5" s="12" t="s">
        <v>6964</v>
      </c>
      <c r="GQJ5" s="12" t="s">
        <v>6965</v>
      </c>
      <c r="GQK5" s="12" t="s">
        <v>6966</v>
      </c>
      <c r="GQL5" s="12" t="s">
        <v>6967</v>
      </c>
      <c r="GQM5" s="12" t="s">
        <v>6968</v>
      </c>
      <c r="GQN5" s="12" t="s">
        <v>6969</v>
      </c>
      <c r="GQO5" s="12" t="s">
        <v>6970</v>
      </c>
      <c r="GQP5" s="12" t="s">
        <v>6971</v>
      </c>
      <c r="GQQ5" s="12" t="s">
        <v>6972</v>
      </c>
      <c r="GQR5" s="12" t="s">
        <v>6973</v>
      </c>
      <c r="GQS5" s="12" t="s">
        <v>6974</v>
      </c>
      <c r="GQT5" s="12" t="s">
        <v>6975</v>
      </c>
      <c r="GQU5" s="12" t="s">
        <v>6976</v>
      </c>
      <c r="GQV5" s="12" t="s">
        <v>6977</v>
      </c>
      <c r="GQW5" s="12" t="s">
        <v>6978</v>
      </c>
      <c r="GQX5" s="12" t="s">
        <v>6979</v>
      </c>
      <c r="GQY5" s="12" t="s">
        <v>6980</v>
      </c>
      <c r="GQZ5" s="12" t="s">
        <v>6981</v>
      </c>
      <c r="GRA5" s="12" t="s">
        <v>6982</v>
      </c>
      <c r="GRB5" s="12" t="s">
        <v>6983</v>
      </c>
      <c r="GRC5" s="12" t="s">
        <v>6984</v>
      </c>
      <c r="GRD5" s="12" t="s">
        <v>6985</v>
      </c>
      <c r="GRE5" s="12" t="s">
        <v>6986</v>
      </c>
      <c r="GRF5" s="12" t="s">
        <v>6987</v>
      </c>
      <c r="GRG5" s="12" t="s">
        <v>6988</v>
      </c>
      <c r="GRH5" s="12" t="s">
        <v>6989</v>
      </c>
      <c r="GRI5" s="12" t="s">
        <v>6990</v>
      </c>
      <c r="GRJ5" s="12" t="s">
        <v>6991</v>
      </c>
      <c r="GRK5" s="12" t="s">
        <v>6992</v>
      </c>
      <c r="GRL5" s="12" t="s">
        <v>6993</v>
      </c>
      <c r="GRM5" s="12" t="s">
        <v>6994</v>
      </c>
      <c r="GRN5" s="12" t="s">
        <v>6995</v>
      </c>
      <c r="GRO5" s="12" t="s">
        <v>6996</v>
      </c>
      <c r="GRP5" s="12" t="s">
        <v>6997</v>
      </c>
      <c r="GRQ5" s="12" t="s">
        <v>6998</v>
      </c>
      <c r="GRR5" s="12" t="s">
        <v>6999</v>
      </c>
      <c r="GRS5" s="12" t="s">
        <v>7000</v>
      </c>
      <c r="GRT5" s="12" t="s">
        <v>7001</v>
      </c>
      <c r="GRU5" s="12" t="s">
        <v>7002</v>
      </c>
      <c r="GRV5" s="12" t="s">
        <v>7003</v>
      </c>
      <c r="GRW5" s="12" t="s">
        <v>7004</v>
      </c>
      <c r="GRX5" s="12" t="s">
        <v>7005</v>
      </c>
      <c r="GRY5" s="12" t="s">
        <v>7006</v>
      </c>
      <c r="GRZ5" s="12" t="s">
        <v>7007</v>
      </c>
      <c r="GSA5" s="12" t="s">
        <v>7008</v>
      </c>
      <c r="GSB5" s="12" t="s">
        <v>7009</v>
      </c>
      <c r="GSC5" s="12" t="s">
        <v>7010</v>
      </c>
      <c r="GSD5" s="12" t="s">
        <v>7011</v>
      </c>
      <c r="GSE5" s="12" t="s">
        <v>7012</v>
      </c>
      <c r="GSF5" s="12" t="s">
        <v>7013</v>
      </c>
      <c r="GSG5" s="12" t="s">
        <v>7014</v>
      </c>
      <c r="GSH5" s="12" t="s">
        <v>7015</v>
      </c>
      <c r="GSI5" s="12" t="s">
        <v>7016</v>
      </c>
      <c r="GSJ5" s="12" t="s">
        <v>7017</v>
      </c>
      <c r="GSK5" s="12" t="s">
        <v>7018</v>
      </c>
      <c r="GSL5" s="12" t="s">
        <v>7019</v>
      </c>
      <c r="GSM5" s="12" t="s">
        <v>7020</v>
      </c>
      <c r="GSN5" s="12" t="s">
        <v>7021</v>
      </c>
      <c r="GSO5" s="12" t="s">
        <v>7022</v>
      </c>
      <c r="GSP5" s="12" t="s">
        <v>7023</v>
      </c>
      <c r="GSQ5" s="12" t="s">
        <v>7024</v>
      </c>
      <c r="GSR5" s="12" t="s">
        <v>7025</v>
      </c>
      <c r="GSS5" s="12" t="s">
        <v>7026</v>
      </c>
      <c r="GST5" s="12" t="s">
        <v>7027</v>
      </c>
      <c r="GSU5" s="12" t="s">
        <v>7028</v>
      </c>
      <c r="GSV5" s="12" t="s">
        <v>7029</v>
      </c>
      <c r="GSW5" s="12" t="s">
        <v>7030</v>
      </c>
      <c r="GSX5" s="12" t="s">
        <v>7031</v>
      </c>
      <c r="GSY5" s="12" t="s">
        <v>7032</v>
      </c>
      <c r="GSZ5" s="12" t="s">
        <v>7033</v>
      </c>
      <c r="GTA5" s="12" t="s">
        <v>7034</v>
      </c>
      <c r="GTB5" s="12" t="s">
        <v>7035</v>
      </c>
      <c r="GTC5" s="12" t="s">
        <v>7036</v>
      </c>
      <c r="GTD5" s="12" t="s">
        <v>7037</v>
      </c>
      <c r="GTE5" s="12" t="s">
        <v>7038</v>
      </c>
      <c r="GTF5" s="12" t="s">
        <v>7039</v>
      </c>
      <c r="GTG5" s="12" t="s">
        <v>7040</v>
      </c>
      <c r="GTH5" s="12" t="s">
        <v>7041</v>
      </c>
      <c r="GTI5" s="12" t="s">
        <v>7042</v>
      </c>
      <c r="GTJ5" s="12" t="s">
        <v>7043</v>
      </c>
      <c r="GTK5" s="12" t="s">
        <v>7044</v>
      </c>
      <c r="GTL5" s="12" t="s">
        <v>7045</v>
      </c>
      <c r="GTM5" s="12" t="s">
        <v>7046</v>
      </c>
      <c r="GTN5" s="12" t="s">
        <v>7047</v>
      </c>
      <c r="GTO5" s="12" t="s">
        <v>7048</v>
      </c>
      <c r="GTP5" s="12" t="s">
        <v>7049</v>
      </c>
      <c r="GTQ5" s="12" t="s">
        <v>7050</v>
      </c>
      <c r="GTR5" s="12" t="s">
        <v>7051</v>
      </c>
      <c r="GTS5" s="12" t="s">
        <v>7052</v>
      </c>
      <c r="GTT5" s="12" t="s">
        <v>7053</v>
      </c>
      <c r="GTU5" s="12" t="s">
        <v>7054</v>
      </c>
      <c r="GTV5" s="12" t="s">
        <v>7055</v>
      </c>
      <c r="GTW5" s="12" t="s">
        <v>7056</v>
      </c>
      <c r="GTX5" s="12" t="s">
        <v>7057</v>
      </c>
      <c r="GTY5" s="12" t="s">
        <v>7058</v>
      </c>
      <c r="GTZ5" s="12" t="s">
        <v>7059</v>
      </c>
      <c r="GUA5" s="12" t="s">
        <v>7060</v>
      </c>
      <c r="GUB5" s="12" t="s">
        <v>7061</v>
      </c>
      <c r="GUC5" s="12" t="s">
        <v>7062</v>
      </c>
      <c r="GUD5" s="12" t="s">
        <v>7063</v>
      </c>
      <c r="GUE5" s="12" t="s">
        <v>7064</v>
      </c>
      <c r="GUF5" s="12" t="s">
        <v>7065</v>
      </c>
      <c r="GUG5" s="12" t="s">
        <v>7066</v>
      </c>
      <c r="GUH5" s="12" t="s">
        <v>7067</v>
      </c>
      <c r="GUI5" s="12" t="s">
        <v>7068</v>
      </c>
      <c r="GUJ5" s="12" t="s">
        <v>7069</v>
      </c>
      <c r="GUK5" s="12" t="s">
        <v>7070</v>
      </c>
      <c r="GUL5" s="12" t="s">
        <v>7071</v>
      </c>
      <c r="GUM5" s="12" t="s">
        <v>7072</v>
      </c>
      <c r="GUN5" s="12" t="s">
        <v>7073</v>
      </c>
      <c r="GUO5" s="12" t="s">
        <v>7074</v>
      </c>
      <c r="GUP5" s="12" t="s">
        <v>7075</v>
      </c>
      <c r="GUQ5" s="12" t="s">
        <v>7076</v>
      </c>
      <c r="GUR5" s="12" t="s">
        <v>7077</v>
      </c>
      <c r="GUS5" s="12" t="s">
        <v>7078</v>
      </c>
      <c r="GUT5" s="12" t="s">
        <v>7079</v>
      </c>
      <c r="GUU5" s="12" t="s">
        <v>7080</v>
      </c>
      <c r="GUV5" s="12" t="s">
        <v>7081</v>
      </c>
      <c r="GUW5" s="12" t="s">
        <v>7082</v>
      </c>
      <c r="GUX5" s="12" t="s">
        <v>7083</v>
      </c>
      <c r="GUY5" s="12" t="s">
        <v>7084</v>
      </c>
      <c r="GUZ5" s="12" t="s">
        <v>7085</v>
      </c>
      <c r="GVA5" s="12" t="s">
        <v>7086</v>
      </c>
      <c r="GVB5" s="12" t="s">
        <v>7087</v>
      </c>
      <c r="GVC5" s="12" t="s">
        <v>7088</v>
      </c>
      <c r="GVD5" s="12" t="s">
        <v>7089</v>
      </c>
      <c r="GVE5" s="12" t="s">
        <v>7090</v>
      </c>
      <c r="GVF5" s="12" t="s">
        <v>7091</v>
      </c>
      <c r="GVG5" s="12" t="s">
        <v>7092</v>
      </c>
      <c r="GVH5" s="12" t="s">
        <v>7093</v>
      </c>
      <c r="GVI5" s="12" t="s">
        <v>7094</v>
      </c>
      <c r="GVJ5" s="12" t="s">
        <v>7095</v>
      </c>
      <c r="GVK5" s="12" t="s">
        <v>7096</v>
      </c>
      <c r="GVL5" s="12" t="s">
        <v>7097</v>
      </c>
      <c r="GVM5" s="12" t="s">
        <v>7098</v>
      </c>
      <c r="GVN5" s="12" t="s">
        <v>7099</v>
      </c>
      <c r="GVO5" s="12" t="s">
        <v>7100</v>
      </c>
      <c r="GVP5" s="12" t="s">
        <v>7101</v>
      </c>
      <c r="GVQ5" s="12" t="s">
        <v>7102</v>
      </c>
      <c r="GVR5" s="12" t="s">
        <v>7103</v>
      </c>
      <c r="GVS5" s="12" t="s">
        <v>7104</v>
      </c>
      <c r="GVT5" s="12" t="s">
        <v>7105</v>
      </c>
      <c r="GVU5" s="12" t="s">
        <v>7106</v>
      </c>
      <c r="GVV5" s="12" t="s">
        <v>7107</v>
      </c>
      <c r="GVW5" s="12" t="s">
        <v>7108</v>
      </c>
      <c r="GVX5" s="12" t="s">
        <v>7109</v>
      </c>
      <c r="GVY5" s="12" t="s">
        <v>7110</v>
      </c>
      <c r="GVZ5" s="12" t="s">
        <v>7111</v>
      </c>
      <c r="GWA5" s="12" t="s">
        <v>7112</v>
      </c>
      <c r="GWB5" s="12" t="s">
        <v>7113</v>
      </c>
      <c r="GWC5" s="12" t="s">
        <v>7114</v>
      </c>
      <c r="GWD5" s="12" t="s">
        <v>7115</v>
      </c>
      <c r="GWE5" s="12" t="s">
        <v>7116</v>
      </c>
      <c r="GWF5" s="12" t="s">
        <v>7117</v>
      </c>
      <c r="GWG5" s="12" t="s">
        <v>7118</v>
      </c>
      <c r="GWH5" s="12" t="s">
        <v>7119</v>
      </c>
      <c r="GWI5" s="12" t="s">
        <v>7120</v>
      </c>
      <c r="GWJ5" s="12" t="s">
        <v>7121</v>
      </c>
      <c r="GWK5" s="12" t="s">
        <v>7122</v>
      </c>
      <c r="GWL5" s="12" t="s">
        <v>7123</v>
      </c>
      <c r="GWM5" s="12" t="s">
        <v>7124</v>
      </c>
      <c r="GWN5" s="12" t="s">
        <v>7125</v>
      </c>
      <c r="GWO5" s="12" t="s">
        <v>7126</v>
      </c>
      <c r="GWP5" s="12" t="s">
        <v>7127</v>
      </c>
      <c r="GWQ5" s="12" t="s">
        <v>7128</v>
      </c>
      <c r="GWR5" s="12" t="s">
        <v>7129</v>
      </c>
      <c r="GWS5" s="12" t="s">
        <v>7130</v>
      </c>
      <c r="GWT5" s="12" t="s">
        <v>7131</v>
      </c>
      <c r="GWU5" s="12" t="s">
        <v>7132</v>
      </c>
      <c r="GWV5" s="12" t="s">
        <v>7133</v>
      </c>
      <c r="GWW5" s="12" t="s">
        <v>7134</v>
      </c>
      <c r="GWX5" s="12" t="s">
        <v>7135</v>
      </c>
      <c r="GWY5" s="12" t="s">
        <v>7136</v>
      </c>
      <c r="GWZ5" s="12" t="s">
        <v>7137</v>
      </c>
      <c r="GXA5" s="12" t="s">
        <v>7138</v>
      </c>
      <c r="GXB5" s="12" t="s">
        <v>7139</v>
      </c>
      <c r="GXC5" s="12" t="s">
        <v>7140</v>
      </c>
      <c r="GXD5" s="12" t="s">
        <v>7141</v>
      </c>
      <c r="GXE5" s="12" t="s">
        <v>7142</v>
      </c>
      <c r="GXF5" s="12" t="s">
        <v>7143</v>
      </c>
      <c r="GXG5" s="12" t="s">
        <v>7144</v>
      </c>
      <c r="GXH5" s="12" t="s">
        <v>7145</v>
      </c>
      <c r="GXI5" s="12" t="s">
        <v>7146</v>
      </c>
      <c r="GXJ5" s="12" t="s">
        <v>7147</v>
      </c>
      <c r="GXK5" s="12" t="s">
        <v>7148</v>
      </c>
      <c r="GXL5" s="12" t="s">
        <v>7149</v>
      </c>
      <c r="GXM5" s="12" t="s">
        <v>7150</v>
      </c>
      <c r="GXN5" s="12" t="s">
        <v>7151</v>
      </c>
      <c r="GXO5" s="12" t="s">
        <v>7152</v>
      </c>
      <c r="GXP5" s="12" t="s">
        <v>7153</v>
      </c>
      <c r="GXQ5" s="12" t="s">
        <v>7154</v>
      </c>
      <c r="GXR5" s="12" t="s">
        <v>7155</v>
      </c>
      <c r="GXS5" s="12" t="s">
        <v>7156</v>
      </c>
      <c r="GXT5" s="12" t="s">
        <v>7157</v>
      </c>
      <c r="GXU5" s="12" t="s">
        <v>7158</v>
      </c>
      <c r="GXV5" s="12" t="s">
        <v>7159</v>
      </c>
      <c r="GXW5" s="12" t="s">
        <v>7160</v>
      </c>
      <c r="GXX5" s="12" t="s">
        <v>7161</v>
      </c>
      <c r="GXY5" s="12" t="s">
        <v>7162</v>
      </c>
      <c r="GXZ5" s="12" t="s">
        <v>7163</v>
      </c>
      <c r="GYA5" s="12" t="s">
        <v>7164</v>
      </c>
      <c r="GYB5" s="12" t="s">
        <v>7165</v>
      </c>
      <c r="GYC5" s="12" t="s">
        <v>7166</v>
      </c>
      <c r="GYD5" s="12" t="s">
        <v>7167</v>
      </c>
      <c r="GYE5" s="12" t="s">
        <v>7168</v>
      </c>
      <c r="GYF5" s="12" t="s">
        <v>7169</v>
      </c>
      <c r="GYG5" s="12" t="s">
        <v>7170</v>
      </c>
      <c r="GYH5" s="12" t="s">
        <v>7171</v>
      </c>
      <c r="GYI5" s="12" t="s">
        <v>7172</v>
      </c>
      <c r="GYJ5" s="12" t="s">
        <v>7173</v>
      </c>
      <c r="GYK5" s="12" t="s">
        <v>7174</v>
      </c>
      <c r="GYL5" s="12" t="s">
        <v>7175</v>
      </c>
      <c r="GYM5" s="12" t="s">
        <v>7176</v>
      </c>
      <c r="GYN5" s="12" t="s">
        <v>7177</v>
      </c>
      <c r="GYO5" s="12" t="s">
        <v>7178</v>
      </c>
      <c r="GYP5" s="12" t="s">
        <v>7179</v>
      </c>
      <c r="GYQ5" s="12" t="s">
        <v>7180</v>
      </c>
      <c r="GYR5" s="12" t="s">
        <v>7181</v>
      </c>
      <c r="GYS5" s="12" t="s">
        <v>7182</v>
      </c>
      <c r="GYT5" s="12" t="s">
        <v>7183</v>
      </c>
      <c r="GYU5" s="12" t="s">
        <v>7184</v>
      </c>
      <c r="GYV5" s="12" t="s">
        <v>7185</v>
      </c>
      <c r="GYW5" s="12" t="s">
        <v>7186</v>
      </c>
      <c r="GYX5" s="12" t="s">
        <v>7187</v>
      </c>
      <c r="GYY5" s="12" t="s">
        <v>7188</v>
      </c>
      <c r="GYZ5" s="12" t="s">
        <v>7189</v>
      </c>
      <c r="GZA5" s="12" t="s">
        <v>7190</v>
      </c>
      <c r="GZB5" s="12" t="s">
        <v>7191</v>
      </c>
      <c r="GZC5" s="12" t="s">
        <v>7192</v>
      </c>
      <c r="GZD5" s="12" t="s">
        <v>7193</v>
      </c>
      <c r="GZE5" s="12" t="s">
        <v>7194</v>
      </c>
      <c r="GZF5" s="12" t="s">
        <v>7195</v>
      </c>
      <c r="GZG5" s="12" t="s">
        <v>7196</v>
      </c>
      <c r="GZH5" s="12" t="s">
        <v>7197</v>
      </c>
      <c r="GZI5" s="12" t="s">
        <v>7198</v>
      </c>
      <c r="GZJ5" s="12" t="s">
        <v>7199</v>
      </c>
      <c r="GZK5" s="12" t="s">
        <v>7200</v>
      </c>
      <c r="GZL5" s="12" t="s">
        <v>7201</v>
      </c>
      <c r="GZM5" s="12" t="s">
        <v>7202</v>
      </c>
      <c r="GZN5" s="12" t="s">
        <v>7203</v>
      </c>
      <c r="GZO5" s="12" t="s">
        <v>7204</v>
      </c>
      <c r="GZP5" s="12" t="s">
        <v>7205</v>
      </c>
      <c r="GZQ5" s="12" t="s">
        <v>7206</v>
      </c>
      <c r="GZR5" s="12" t="s">
        <v>7207</v>
      </c>
      <c r="GZS5" s="12" t="s">
        <v>7208</v>
      </c>
      <c r="GZT5" s="12" t="s">
        <v>7209</v>
      </c>
      <c r="GZU5" s="12" t="s">
        <v>7210</v>
      </c>
      <c r="GZV5" s="12" t="s">
        <v>7211</v>
      </c>
      <c r="GZW5" s="12" t="s">
        <v>7212</v>
      </c>
      <c r="GZX5" s="12" t="s">
        <v>7213</v>
      </c>
      <c r="GZY5" s="12" t="s">
        <v>7214</v>
      </c>
      <c r="GZZ5" s="12" t="s">
        <v>7215</v>
      </c>
      <c r="HAA5" s="12" t="s">
        <v>7216</v>
      </c>
      <c r="HAB5" s="12" t="s">
        <v>7217</v>
      </c>
      <c r="HAC5" s="12" t="s">
        <v>7218</v>
      </c>
      <c r="HAD5" s="12" t="s">
        <v>7219</v>
      </c>
      <c r="HAE5" s="12" t="s">
        <v>7220</v>
      </c>
      <c r="HAF5" s="12" t="s">
        <v>7221</v>
      </c>
      <c r="HAG5" s="12" t="s">
        <v>7222</v>
      </c>
      <c r="HAH5" s="12" t="s">
        <v>7223</v>
      </c>
      <c r="HAI5" s="12" t="s">
        <v>7224</v>
      </c>
      <c r="HAJ5" s="12" t="s">
        <v>7225</v>
      </c>
      <c r="HAK5" s="12" t="s">
        <v>7226</v>
      </c>
      <c r="HAL5" s="12" t="s">
        <v>7227</v>
      </c>
      <c r="HAM5" s="12" t="s">
        <v>7228</v>
      </c>
      <c r="HAN5" s="12" t="s">
        <v>7229</v>
      </c>
      <c r="HAO5" s="12" t="s">
        <v>7230</v>
      </c>
      <c r="HAP5" s="12" t="s">
        <v>7231</v>
      </c>
      <c r="HAQ5" s="12" t="s">
        <v>7232</v>
      </c>
      <c r="HAR5" s="12" t="s">
        <v>7233</v>
      </c>
      <c r="HAS5" s="12" t="s">
        <v>7234</v>
      </c>
      <c r="HAT5" s="12" t="s">
        <v>7235</v>
      </c>
      <c r="HAU5" s="12" t="s">
        <v>7236</v>
      </c>
      <c r="HAV5" s="12" t="s">
        <v>7237</v>
      </c>
      <c r="HAW5" s="12" t="s">
        <v>7238</v>
      </c>
      <c r="HAX5" s="12" t="s">
        <v>7239</v>
      </c>
      <c r="HAY5" s="12" t="s">
        <v>7240</v>
      </c>
      <c r="HAZ5" s="12" t="s">
        <v>7241</v>
      </c>
      <c r="HBA5" s="12" t="s">
        <v>7242</v>
      </c>
      <c r="HBB5" s="12" t="s">
        <v>7243</v>
      </c>
      <c r="HBC5" s="12" t="s">
        <v>7244</v>
      </c>
      <c r="HBD5" s="12" t="s">
        <v>7245</v>
      </c>
      <c r="HBE5" s="12" t="s">
        <v>7246</v>
      </c>
      <c r="HBF5" s="12" t="s">
        <v>7247</v>
      </c>
      <c r="HBG5" s="12" t="s">
        <v>7248</v>
      </c>
      <c r="HBH5" s="12" t="s">
        <v>7249</v>
      </c>
      <c r="HBI5" s="12" t="s">
        <v>7250</v>
      </c>
      <c r="HBJ5" s="12" t="s">
        <v>7251</v>
      </c>
      <c r="HBK5" s="12" t="s">
        <v>7252</v>
      </c>
      <c r="HBL5" s="12" t="s">
        <v>7253</v>
      </c>
      <c r="HBM5" s="12" t="s">
        <v>7254</v>
      </c>
      <c r="HBN5" s="12" t="s">
        <v>7255</v>
      </c>
      <c r="HBO5" s="12" t="s">
        <v>7256</v>
      </c>
      <c r="HBP5" s="12" t="s">
        <v>7257</v>
      </c>
      <c r="HBQ5" s="12" t="s">
        <v>7258</v>
      </c>
      <c r="HBR5" s="12" t="s">
        <v>7259</v>
      </c>
      <c r="HBS5" s="12" t="s">
        <v>7260</v>
      </c>
      <c r="HBT5" s="12" t="s">
        <v>7261</v>
      </c>
      <c r="HBU5" s="12" t="s">
        <v>7262</v>
      </c>
      <c r="HBV5" s="12" t="s">
        <v>7263</v>
      </c>
      <c r="HBW5" s="12" t="s">
        <v>7264</v>
      </c>
      <c r="HBX5" s="12" t="s">
        <v>7265</v>
      </c>
      <c r="HBY5" s="12" t="s">
        <v>7266</v>
      </c>
      <c r="HBZ5" s="12" t="s">
        <v>7267</v>
      </c>
      <c r="HCA5" s="12" t="s">
        <v>7268</v>
      </c>
      <c r="HCB5" s="12" t="s">
        <v>7269</v>
      </c>
      <c r="HCC5" s="12" t="s">
        <v>7270</v>
      </c>
      <c r="HCD5" s="12" t="s">
        <v>7271</v>
      </c>
      <c r="HCE5" s="12" t="s">
        <v>7272</v>
      </c>
      <c r="HCF5" s="12" t="s">
        <v>7273</v>
      </c>
      <c r="HCG5" s="12" t="s">
        <v>7274</v>
      </c>
      <c r="HCH5" s="12" t="s">
        <v>7275</v>
      </c>
      <c r="HCI5" s="12" t="s">
        <v>7276</v>
      </c>
      <c r="HCJ5" s="12" t="s">
        <v>7277</v>
      </c>
      <c r="HCK5" s="12" t="s">
        <v>7278</v>
      </c>
      <c r="HCL5" s="12" t="s">
        <v>7279</v>
      </c>
      <c r="HCM5" s="12" t="s">
        <v>7280</v>
      </c>
      <c r="HCN5" s="12" t="s">
        <v>7281</v>
      </c>
      <c r="HCO5" s="12" t="s">
        <v>7282</v>
      </c>
      <c r="HCP5" s="12" t="s">
        <v>7283</v>
      </c>
      <c r="HCQ5" s="12" t="s">
        <v>7284</v>
      </c>
      <c r="HCR5" s="12" t="s">
        <v>7285</v>
      </c>
      <c r="HCS5" s="12" t="s">
        <v>7286</v>
      </c>
      <c r="HCT5" s="12" t="s">
        <v>7287</v>
      </c>
      <c r="HCU5" s="12" t="s">
        <v>7288</v>
      </c>
      <c r="HCV5" s="12" t="s">
        <v>7289</v>
      </c>
      <c r="HCW5" s="12" t="s">
        <v>7290</v>
      </c>
      <c r="HCX5" s="12" t="s">
        <v>7291</v>
      </c>
      <c r="HCY5" s="12" t="s">
        <v>7292</v>
      </c>
      <c r="HCZ5" s="12" t="s">
        <v>7293</v>
      </c>
      <c r="HDA5" s="12" t="s">
        <v>7294</v>
      </c>
      <c r="HDB5" s="12" t="s">
        <v>7295</v>
      </c>
      <c r="HDC5" s="12" t="s">
        <v>7296</v>
      </c>
      <c r="HDD5" s="12" t="s">
        <v>7297</v>
      </c>
      <c r="HDE5" s="12" t="s">
        <v>7298</v>
      </c>
      <c r="HDF5" s="12" t="s">
        <v>7299</v>
      </c>
      <c r="HDG5" s="12" t="s">
        <v>7300</v>
      </c>
      <c r="HDH5" s="12" t="s">
        <v>7301</v>
      </c>
      <c r="HDI5" s="12" t="s">
        <v>7302</v>
      </c>
      <c r="HDJ5" s="12" t="s">
        <v>7303</v>
      </c>
      <c r="HDK5" s="12" t="s">
        <v>7304</v>
      </c>
      <c r="HDL5" s="12" t="s">
        <v>7305</v>
      </c>
      <c r="HDM5" s="12" t="s">
        <v>7306</v>
      </c>
      <c r="HDN5" s="12" t="s">
        <v>7307</v>
      </c>
      <c r="HDO5" s="12" t="s">
        <v>7308</v>
      </c>
      <c r="HDP5" s="12" t="s">
        <v>7309</v>
      </c>
      <c r="HDQ5" s="12" t="s">
        <v>7310</v>
      </c>
      <c r="HDR5" s="12" t="s">
        <v>7311</v>
      </c>
      <c r="HDS5" s="12" t="s">
        <v>7312</v>
      </c>
      <c r="HDT5" s="12" t="s">
        <v>7313</v>
      </c>
      <c r="HDU5" s="12" t="s">
        <v>7314</v>
      </c>
      <c r="HDV5" s="12" t="s">
        <v>7315</v>
      </c>
      <c r="HDW5" s="12" t="s">
        <v>7316</v>
      </c>
      <c r="HDX5" s="12" t="s">
        <v>7317</v>
      </c>
      <c r="HDY5" s="12" t="s">
        <v>7318</v>
      </c>
      <c r="HDZ5" s="12" t="s">
        <v>7319</v>
      </c>
      <c r="HEA5" s="12" t="s">
        <v>7320</v>
      </c>
      <c r="HEB5" s="12" t="s">
        <v>7321</v>
      </c>
      <c r="HEC5" s="12" t="s">
        <v>7322</v>
      </c>
      <c r="HED5" s="12" t="s">
        <v>7323</v>
      </c>
      <c r="HEE5" s="12" t="s">
        <v>7324</v>
      </c>
      <c r="HEF5" s="12" t="s">
        <v>7325</v>
      </c>
      <c r="HEG5" s="12" t="s">
        <v>7326</v>
      </c>
      <c r="HEH5" s="12" t="s">
        <v>7327</v>
      </c>
      <c r="HEI5" s="12" t="s">
        <v>7328</v>
      </c>
      <c r="HEJ5" s="12" t="s">
        <v>7329</v>
      </c>
      <c r="HEK5" s="12" t="s">
        <v>7330</v>
      </c>
      <c r="HEL5" s="12" t="s">
        <v>7331</v>
      </c>
      <c r="HEM5" s="12" t="s">
        <v>7332</v>
      </c>
      <c r="HEN5" s="12" t="s">
        <v>7333</v>
      </c>
      <c r="HEO5" s="12" t="s">
        <v>7334</v>
      </c>
      <c r="HEP5" s="12" t="s">
        <v>7335</v>
      </c>
      <c r="HEQ5" s="12" t="s">
        <v>7336</v>
      </c>
      <c r="HER5" s="12" t="s">
        <v>7337</v>
      </c>
      <c r="HES5" s="12" t="s">
        <v>7338</v>
      </c>
      <c r="HET5" s="12" t="s">
        <v>7339</v>
      </c>
      <c r="HEU5" s="12" t="s">
        <v>7340</v>
      </c>
      <c r="HEV5" s="12" t="s">
        <v>7341</v>
      </c>
      <c r="HEW5" s="12" t="s">
        <v>7342</v>
      </c>
      <c r="HEX5" s="12" t="s">
        <v>7343</v>
      </c>
      <c r="HEY5" s="12" t="s">
        <v>7344</v>
      </c>
      <c r="HEZ5" s="12" t="s">
        <v>7345</v>
      </c>
      <c r="HFA5" s="12" t="s">
        <v>7346</v>
      </c>
      <c r="HFB5" s="12" t="s">
        <v>7347</v>
      </c>
      <c r="HFC5" s="12" t="s">
        <v>7348</v>
      </c>
      <c r="HFD5" s="12" t="s">
        <v>7349</v>
      </c>
      <c r="HFE5" s="12" t="s">
        <v>7350</v>
      </c>
      <c r="HFF5" s="12" t="s">
        <v>7351</v>
      </c>
      <c r="HFG5" s="12" t="s">
        <v>7352</v>
      </c>
      <c r="HFH5" s="12" t="s">
        <v>7353</v>
      </c>
      <c r="HFI5" s="12" t="s">
        <v>7354</v>
      </c>
      <c r="HFJ5" s="12" t="s">
        <v>7355</v>
      </c>
      <c r="HFK5" s="12" t="s">
        <v>7356</v>
      </c>
      <c r="HFL5" s="12" t="s">
        <v>7357</v>
      </c>
      <c r="HFM5" s="12" t="s">
        <v>7358</v>
      </c>
      <c r="HFN5" s="12" t="s">
        <v>7359</v>
      </c>
      <c r="HFO5" s="12" t="s">
        <v>7360</v>
      </c>
      <c r="HFP5" s="12" t="s">
        <v>7361</v>
      </c>
      <c r="HFQ5" s="12" t="s">
        <v>7362</v>
      </c>
      <c r="HFR5" s="12" t="s">
        <v>7363</v>
      </c>
      <c r="HFS5" s="12" t="s">
        <v>7364</v>
      </c>
      <c r="HFT5" s="12" t="s">
        <v>7365</v>
      </c>
      <c r="HFU5" s="12" t="s">
        <v>7366</v>
      </c>
      <c r="HFV5" s="12" t="s">
        <v>7367</v>
      </c>
      <c r="HFW5" s="12" t="s">
        <v>7368</v>
      </c>
      <c r="HFX5" s="12" t="s">
        <v>7369</v>
      </c>
      <c r="HFY5" s="12" t="s">
        <v>7370</v>
      </c>
      <c r="HFZ5" s="12" t="s">
        <v>7371</v>
      </c>
      <c r="HGA5" s="12" t="s">
        <v>7372</v>
      </c>
      <c r="HGB5" s="12" t="s">
        <v>7373</v>
      </c>
      <c r="HGC5" s="12" t="s">
        <v>7374</v>
      </c>
      <c r="HGD5" s="12" t="s">
        <v>7375</v>
      </c>
      <c r="HGE5" s="12" t="s">
        <v>7376</v>
      </c>
      <c r="HGF5" s="12" t="s">
        <v>7377</v>
      </c>
      <c r="HGG5" s="12" t="s">
        <v>7378</v>
      </c>
      <c r="HGH5" s="12" t="s">
        <v>7379</v>
      </c>
      <c r="HGI5" s="12" t="s">
        <v>7380</v>
      </c>
      <c r="HGJ5" s="12" t="s">
        <v>7381</v>
      </c>
      <c r="HGK5" s="12" t="s">
        <v>7382</v>
      </c>
      <c r="HGL5" s="12" t="s">
        <v>7383</v>
      </c>
      <c r="HGM5" s="12" t="s">
        <v>7384</v>
      </c>
      <c r="HGN5" s="12" t="s">
        <v>7385</v>
      </c>
      <c r="HGO5" s="12" t="s">
        <v>7386</v>
      </c>
      <c r="HGP5" s="12" t="s">
        <v>7387</v>
      </c>
      <c r="HGQ5" s="12" t="s">
        <v>7388</v>
      </c>
      <c r="HGR5" s="12" t="s">
        <v>7389</v>
      </c>
      <c r="HGS5" s="12" t="s">
        <v>7390</v>
      </c>
      <c r="HGT5" s="12" t="s">
        <v>7391</v>
      </c>
      <c r="HGU5" s="12" t="s">
        <v>7392</v>
      </c>
      <c r="HGV5" s="12" t="s">
        <v>7393</v>
      </c>
      <c r="HGW5" s="12" t="s">
        <v>7394</v>
      </c>
      <c r="HGX5" s="12" t="s">
        <v>7395</v>
      </c>
      <c r="HGY5" s="12" t="s">
        <v>7396</v>
      </c>
      <c r="HGZ5" s="12" t="s">
        <v>7397</v>
      </c>
      <c r="HHA5" s="12" t="s">
        <v>7398</v>
      </c>
      <c r="HHB5" s="12" t="s">
        <v>7399</v>
      </c>
      <c r="HHC5" s="12" t="s">
        <v>7400</v>
      </c>
      <c r="HHD5" s="12" t="s">
        <v>7401</v>
      </c>
      <c r="HHE5" s="12" t="s">
        <v>7402</v>
      </c>
      <c r="HHF5" s="12" t="s">
        <v>7403</v>
      </c>
      <c r="HHG5" s="12" t="s">
        <v>7404</v>
      </c>
      <c r="HHH5" s="12" t="s">
        <v>7405</v>
      </c>
      <c r="HHI5" s="12" t="s">
        <v>7406</v>
      </c>
      <c r="HHJ5" s="12" t="s">
        <v>7407</v>
      </c>
      <c r="HHK5" s="12" t="s">
        <v>7408</v>
      </c>
      <c r="HHL5" s="12" t="s">
        <v>7409</v>
      </c>
      <c r="HHM5" s="12" t="s">
        <v>7410</v>
      </c>
      <c r="HHN5" s="12" t="s">
        <v>7411</v>
      </c>
      <c r="HHO5" s="12" t="s">
        <v>7412</v>
      </c>
      <c r="HHP5" s="12" t="s">
        <v>7413</v>
      </c>
      <c r="HHQ5" s="12" t="s">
        <v>7414</v>
      </c>
      <c r="HHR5" s="12" t="s">
        <v>7415</v>
      </c>
      <c r="HHS5" s="12" t="s">
        <v>7416</v>
      </c>
      <c r="HHT5" s="12" t="s">
        <v>7417</v>
      </c>
      <c r="HHU5" s="12" t="s">
        <v>7418</v>
      </c>
      <c r="HHV5" s="12" t="s">
        <v>7419</v>
      </c>
      <c r="HHW5" s="12" t="s">
        <v>7420</v>
      </c>
      <c r="HHX5" s="12" t="s">
        <v>7421</v>
      </c>
      <c r="HHY5" s="12" t="s">
        <v>7422</v>
      </c>
      <c r="HHZ5" s="12" t="s">
        <v>7423</v>
      </c>
      <c r="HIA5" s="12" t="s">
        <v>7424</v>
      </c>
      <c r="HIB5" s="12" t="s">
        <v>7425</v>
      </c>
      <c r="HIC5" s="12" t="s">
        <v>7426</v>
      </c>
      <c r="HID5" s="12" t="s">
        <v>7427</v>
      </c>
      <c r="HIE5" s="12" t="s">
        <v>7428</v>
      </c>
      <c r="HIF5" s="12" t="s">
        <v>7429</v>
      </c>
      <c r="HIG5" s="12" t="s">
        <v>7430</v>
      </c>
      <c r="HIH5" s="12" t="s">
        <v>7431</v>
      </c>
      <c r="HII5" s="12" t="s">
        <v>7432</v>
      </c>
      <c r="HIJ5" s="12" t="s">
        <v>7433</v>
      </c>
      <c r="HIK5" s="12" t="s">
        <v>7434</v>
      </c>
      <c r="HIL5" s="12" t="s">
        <v>7435</v>
      </c>
      <c r="HIM5" s="12" t="s">
        <v>7436</v>
      </c>
      <c r="HIN5" s="12" t="s">
        <v>7437</v>
      </c>
      <c r="HIO5" s="12" t="s">
        <v>7438</v>
      </c>
      <c r="HIP5" s="12" t="s">
        <v>7439</v>
      </c>
      <c r="HIQ5" s="12" t="s">
        <v>7440</v>
      </c>
      <c r="HIR5" s="12" t="s">
        <v>7441</v>
      </c>
      <c r="HIS5" s="12" t="s">
        <v>7442</v>
      </c>
      <c r="HIT5" s="12" t="s">
        <v>7443</v>
      </c>
      <c r="HIU5" s="12" t="s">
        <v>7444</v>
      </c>
      <c r="HIV5" s="12" t="s">
        <v>7445</v>
      </c>
      <c r="HIW5" s="12" t="s">
        <v>7446</v>
      </c>
      <c r="HIX5" s="12" t="s">
        <v>7447</v>
      </c>
      <c r="HIY5" s="12" t="s">
        <v>7448</v>
      </c>
      <c r="HIZ5" s="12" t="s">
        <v>7449</v>
      </c>
      <c r="HJA5" s="12" t="s">
        <v>7450</v>
      </c>
      <c r="HJB5" s="12" t="s">
        <v>7451</v>
      </c>
      <c r="HJC5" s="12" t="s">
        <v>7452</v>
      </c>
      <c r="HJD5" s="12" t="s">
        <v>7453</v>
      </c>
      <c r="HJE5" s="12" t="s">
        <v>7454</v>
      </c>
      <c r="HJF5" s="12" t="s">
        <v>7455</v>
      </c>
      <c r="HJG5" s="12" t="s">
        <v>7456</v>
      </c>
      <c r="HJH5" s="12" t="s">
        <v>7457</v>
      </c>
      <c r="HJI5" s="12" t="s">
        <v>7458</v>
      </c>
      <c r="HJJ5" s="12" t="s">
        <v>7459</v>
      </c>
      <c r="HJK5" s="12" t="s">
        <v>7460</v>
      </c>
      <c r="HJL5" s="12" t="s">
        <v>7461</v>
      </c>
      <c r="HJM5" s="12" t="s">
        <v>7462</v>
      </c>
      <c r="HJN5" s="12" t="s">
        <v>7463</v>
      </c>
      <c r="HJO5" s="12" t="s">
        <v>7464</v>
      </c>
      <c r="HJP5" s="12" t="s">
        <v>7465</v>
      </c>
      <c r="HJQ5" s="12" t="s">
        <v>7466</v>
      </c>
      <c r="HJR5" s="12" t="s">
        <v>7467</v>
      </c>
      <c r="HJS5" s="12" t="s">
        <v>7468</v>
      </c>
      <c r="HJT5" s="12" t="s">
        <v>7469</v>
      </c>
      <c r="HJU5" s="12" t="s">
        <v>7470</v>
      </c>
      <c r="HJV5" s="12" t="s">
        <v>7471</v>
      </c>
      <c r="HJW5" s="12" t="s">
        <v>7472</v>
      </c>
      <c r="HJX5" s="12" t="s">
        <v>7473</v>
      </c>
      <c r="HJY5" s="12" t="s">
        <v>7474</v>
      </c>
      <c r="HJZ5" s="12" t="s">
        <v>7475</v>
      </c>
      <c r="HKA5" s="12" t="s">
        <v>7476</v>
      </c>
      <c r="HKB5" s="12" t="s">
        <v>7477</v>
      </c>
      <c r="HKC5" s="12" t="s">
        <v>7478</v>
      </c>
      <c r="HKD5" s="12" t="s">
        <v>7479</v>
      </c>
      <c r="HKE5" s="12" t="s">
        <v>7480</v>
      </c>
      <c r="HKF5" s="12" t="s">
        <v>7481</v>
      </c>
      <c r="HKG5" s="12" t="s">
        <v>7482</v>
      </c>
      <c r="HKH5" s="12" t="s">
        <v>7483</v>
      </c>
      <c r="HKI5" s="12" t="s">
        <v>7484</v>
      </c>
      <c r="HKJ5" s="12" t="s">
        <v>7485</v>
      </c>
      <c r="HKK5" s="12" t="s">
        <v>7486</v>
      </c>
      <c r="HKL5" s="12" t="s">
        <v>7487</v>
      </c>
      <c r="HKM5" s="12" t="s">
        <v>7488</v>
      </c>
      <c r="HKN5" s="12" t="s">
        <v>7489</v>
      </c>
      <c r="HKO5" s="12" t="s">
        <v>7490</v>
      </c>
      <c r="HKP5" s="12" t="s">
        <v>7491</v>
      </c>
      <c r="HKQ5" s="12" t="s">
        <v>7492</v>
      </c>
      <c r="HKR5" s="12" t="s">
        <v>7493</v>
      </c>
      <c r="HKS5" s="12" t="s">
        <v>7494</v>
      </c>
      <c r="HKT5" s="12" t="s">
        <v>7495</v>
      </c>
      <c r="HKU5" s="12" t="s">
        <v>7496</v>
      </c>
      <c r="HKV5" s="12" t="s">
        <v>7497</v>
      </c>
      <c r="HKW5" s="12" t="s">
        <v>7498</v>
      </c>
      <c r="HKX5" s="12" t="s">
        <v>7499</v>
      </c>
      <c r="HKY5" s="12" t="s">
        <v>7500</v>
      </c>
      <c r="HKZ5" s="12" t="s">
        <v>7501</v>
      </c>
      <c r="HLA5" s="12" t="s">
        <v>7502</v>
      </c>
      <c r="HLB5" s="12" t="s">
        <v>7503</v>
      </c>
      <c r="HLC5" s="12" t="s">
        <v>7504</v>
      </c>
      <c r="HLD5" s="12" t="s">
        <v>7505</v>
      </c>
      <c r="HLE5" s="12" t="s">
        <v>7506</v>
      </c>
      <c r="HLF5" s="12" t="s">
        <v>7507</v>
      </c>
      <c r="HLG5" s="12" t="s">
        <v>7508</v>
      </c>
      <c r="HLH5" s="12" t="s">
        <v>7509</v>
      </c>
      <c r="HLI5" s="12" t="s">
        <v>7510</v>
      </c>
      <c r="HLJ5" s="12" t="s">
        <v>7511</v>
      </c>
      <c r="HLK5" s="12" t="s">
        <v>7512</v>
      </c>
      <c r="HLL5" s="12" t="s">
        <v>7513</v>
      </c>
      <c r="HLM5" s="12" t="s">
        <v>7514</v>
      </c>
      <c r="HLN5" s="12" t="s">
        <v>7515</v>
      </c>
      <c r="HLO5" s="12" t="s">
        <v>7516</v>
      </c>
      <c r="HLP5" s="12" t="s">
        <v>7517</v>
      </c>
      <c r="HLQ5" s="12" t="s">
        <v>7518</v>
      </c>
      <c r="HLR5" s="12" t="s">
        <v>7519</v>
      </c>
      <c r="HLS5" s="12" t="s">
        <v>7520</v>
      </c>
      <c r="HLT5" s="12" t="s">
        <v>7521</v>
      </c>
      <c r="HLU5" s="12" t="s">
        <v>7522</v>
      </c>
      <c r="HLV5" s="12" t="s">
        <v>7523</v>
      </c>
      <c r="HLW5" s="12" t="s">
        <v>7524</v>
      </c>
      <c r="HLX5" s="12" t="s">
        <v>7525</v>
      </c>
      <c r="HLY5" s="12" t="s">
        <v>7526</v>
      </c>
      <c r="HLZ5" s="12" t="s">
        <v>7527</v>
      </c>
      <c r="HMA5" s="12" t="s">
        <v>7528</v>
      </c>
      <c r="HMB5" s="12" t="s">
        <v>7529</v>
      </c>
      <c r="HMC5" s="12" t="s">
        <v>7530</v>
      </c>
      <c r="HMD5" s="12" t="s">
        <v>7531</v>
      </c>
      <c r="HME5" s="12" t="s">
        <v>7532</v>
      </c>
      <c r="HMF5" s="12" t="s">
        <v>7533</v>
      </c>
      <c r="HMG5" s="12" t="s">
        <v>7534</v>
      </c>
      <c r="HMH5" s="12" t="s">
        <v>7535</v>
      </c>
      <c r="HMI5" s="12" t="s">
        <v>7536</v>
      </c>
      <c r="HMJ5" s="12" t="s">
        <v>7537</v>
      </c>
      <c r="HMK5" s="12" t="s">
        <v>7538</v>
      </c>
      <c r="HML5" s="12" t="s">
        <v>7539</v>
      </c>
      <c r="HMM5" s="12" t="s">
        <v>7540</v>
      </c>
      <c r="HMN5" s="12" t="s">
        <v>7541</v>
      </c>
      <c r="HMO5" s="12" t="s">
        <v>7542</v>
      </c>
      <c r="HMP5" s="12" t="s">
        <v>7543</v>
      </c>
      <c r="HMQ5" s="12" t="s">
        <v>7544</v>
      </c>
      <c r="HMR5" s="12" t="s">
        <v>7545</v>
      </c>
      <c r="HMS5" s="12" t="s">
        <v>7546</v>
      </c>
      <c r="HMT5" s="12" t="s">
        <v>7547</v>
      </c>
      <c r="HMU5" s="12" t="s">
        <v>7548</v>
      </c>
      <c r="HMV5" s="12" t="s">
        <v>7549</v>
      </c>
      <c r="HMW5" s="12" t="s">
        <v>7550</v>
      </c>
      <c r="HMX5" s="12" t="s">
        <v>7551</v>
      </c>
      <c r="HMY5" s="12" t="s">
        <v>7552</v>
      </c>
      <c r="HMZ5" s="12" t="s">
        <v>7553</v>
      </c>
      <c r="HNA5" s="12" t="s">
        <v>7554</v>
      </c>
      <c r="HNB5" s="12" t="s">
        <v>7555</v>
      </c>
      <c r="HNC5" s="12" t="s">
        <v>7556</v>
      </c>
      <c r="HND5" s="12" t="s">
        <v>7557</v>
      </c>
      <c r="HNE5" s="12" t="s">
        <v>7558</v>
      </c>
      <c r="HNF5" s="12" t="s">
        <v>7559</v>
      </c>
      <c r="HNG5" s="12" t="s">
        <v>7560</v>
      </c>
      <c r="HNH5" s="12" t="s">
        <v>7561</v>
      </c>
      <c r="HNI5" s="12" t="s">
        <v>7562</v>
      </c>
      <c r="HNJ5" s="12" t="s">
        <v>7563</v>
      </c>
      <c r="HNK5" s="12" t="s">
        <v>7564</v>
      </c>
      <c r="HNL5" s="12" t="s">
        <v>7565</v>
      </c>
      <c r="HNM5" s="12" t="s">
        <v>7566</v>
      </c>
      <c r="HNN5" s="12" t="s">
        <v>7567</v>
      </c>
      <c r="HNO5" s="12" t="s">
        <v>7568</v>
      </c>
      <c r="HNP5" s="12" t="s">
        <v>7569</v>
      </c>
      <c r="HNQ5" s="12" t="s">
        <v>7570</v>
      </c>
      <c r="HNR5" s="12" t="s">
        <v>7571</v>
      </c>
      <c r="HNS5" s="12" t="s">
        <v>7572</v>
      </c>
      <c r="HNT5" s="12" t="s">
        <v>7573</v>
      </c>
      <c r="HNU5" s="12" t="s">
        <v>7574</v>
      </c>
      <c r="HNV5" s="12" t="s">
        <v>7575</v>
      </c>
      <c r="HNW5" s="12" t="s">
        <v>7576</v>
      </c>
      <c r="HNX5" s="12" t="s">
        <v>7577</v>
      </c>
      <c r="HNY5" s="12" t="s">
        <v>7578</v>
      </c>
      <c r="HNZ5" s="12" t="s">
        <v>7579</v>
      </c>
      <c r="HOA5" s="12" t="s">
        <v>7580</v>
      </c>
      <c r="HOB5" s="12" t="s">
        <v>7581</v>
      </c>
      <c r="HOC5" s="12" t="s">
        <v>7582</v>
      </c>
      <c r="HOD5" s="12" t="s">
        <v>7583</v>
      </c>
      <c r="HOE5" s="12" t="s">
        <v>7584</v>
      </c>
      <c r="HOF5" s="12" t="s">
        <v>7585</v>
      </c>
      <c r="HOG5" s="12" t="s">
        <v>7586</v>
      </c>
      <c r="HOH5" s="12" t="s">
        <v>7587</v>
      </c>
      <c r="HOI5" s="12" t="s">
        <v>7588</v>
      </c>
      <c r="HOJ5" s="12" t="s">
        <v>7589</v>
      </c>
      <c r="HOK5" s="12" t="s">
        <v>7590</v>
      </c>
      <c r="HOL5" s="12" t="s">
        <v>7591</v>
      </c>
      <c r="HOM5" s="12" t="s">
        <v>7592</v>
      </c>
      <c r="HON5" s="12" t="s">
        <v>7593</v>
      </c>
      <c r="HOO5" s="12" t="s">
        <v>7594</v>
      </c>
      <c r="HOP5" s="12" t="s">
        <v>7595</v>
      </c>
      <c r="HOQ5" s="12" t="s">
        <v>7596</v>
      </c>
      <c r="HOR5" s="12" t="s">
        <v>7597</v>
      </c>
      <c r="HOS5" s="12" t="s">
        <v>7598</v>
      </c>
      <c r="HOT5" s="12" t="s">
        <v>7599</v>
      </c>
      <c r="HOU5" s="12" t="s">
        <v>7600</v>
      </c>
      <c r="HOV5" s="12" t="s">
        <v>7601</v>
      </c>
      <c r="HOW5" s="12" t="s">
        <v>7602</v>
      </c>
      <c r="HOX5" s="12" t="s">
        <v>7603</v>
      </c>
      <c r="HOY5" s="12" t="s">
        <v>7604</v>
      </c>
      <c r="HOZ5" s="12" t="s">
        <v>7605</v>
      </c>
      <c r="HPA5" s="12" t="s">
        <v>7606</v>
      </c>
      <c r="HPB5" s="12" t="s">
        <v>7607</v>
      </c>
      <c r="HPC5" s="12" t="s">
        <v>7608</v>
      </c>
      <c r="HPD5" s="12" t="s">
        <v>7609</v>
      </c>
      <c r="HPE5" s="12" t="s">
        <v>7610</v>
      </c>
      <c r="HPF5" s="12" t="s">
        <v>7611</v>
      </c>
      <c r="HPG5" s="12" t="s">
        <v>7612</v>
      </c>
      <c r="HPH5" s="12" t="s">
        <v>7613</v>
      </c>
      <c r="HPI5" s="12" t="s">
        <v>7614</v>
      </c>
      <c r="HPJ5" s="12" t="s">
        <v>7615</v>
      </c>
      <c r="HPK5" s="12" t="s">
        <v>7616</v>
      </c>
      <c r="HPL5" s="12" t="s">
        <v>7617</v>
      </c>
      <c r="HPM5" s="12" t="s">
        <v>7618</v>
      </c>
      <c r="HPN5" s="12" t="s">
        <v>7619</v>
      </c>
      <c r="HPO5" s="12" t="s">
        <v>7620</v>
      </c>
      <c r="HPP5" s="12" t="s">
        <v>7621</v>
      </c>
      <c r="HPQ5" s="12" t="s">
        <v>7622</v>
      </c>
      <c r="HPR5" s="12" t="s">
        <v>7623</v>
      </c>
      <c r="HPS5" s="12" t="s">
        <v>7624</v>
      </c>
      <c r="HPT5" s="12" t="s">
        <v>7625</v>
      </c>
      <c r="HPU5" s="12" t="s">
        <v>7626</v>
      </c>
      <c r="HPV5" s="12" t="s">
        <v>7627</v>
      </c>
      <c r="HPW5" s="12" t="s">
        <v>7628</v>
      </c>
      <c r="HPX5" s="12" t="s">
        <v>7629</v>
      </c>
      <c r="HPY5" s="12" t="s">
        <v>7630</v>
      </c>
      <c r="HPZ5" s="12" t="s">
        <v>7631</v>
      </c>
      <c r="HQA5" s="12" t="s">
        <v>7632</v>
      </c>
      <c r="HQB5" s="12" t="s">
        <v>7633</v>
      </c>
      <c r="HQC5" s="12" t="s">
        <v>7634</v>
      </c>
      <c r="HQD5" s="12" t="s">
        <v>7635</v>
      </c>
      <c r="HQE5" s="12" t="s">
        <v>7636</v>
      </c>
      <c r="HQF5" s="12" t="s">
        <v>7637</v>
      </c>
      <c r="HQG5" s="12" t="s">
        <v>7638</v>
      </c>
      <c r="HQH5" s="12" t="s">
        <v>7639</v>
      </c>
      <c r="HQI5" s="12" t="s">
        <v>7640</v>
      </c>
      <c r="HQJ5" s="12" t="s">
        <v>7641</v>
      </c>
      <c r="HQK5" s="12" t="s">
        <v>7642</v>
      </c>
      <c r="HQL5" s="12" t="s">
        <v>7643</v>
      </c>
      <c r="HQM5" s="12" t="s">
        <v>7644</v>
      </c>
      <c r="HQN5" s="12" t="s">
        <v>7645</v>
      </c>
      <c r="HQO5" s="12" t="s">
        <v>7646</v>
      </c>
      <c r="HQP5" s="12" t="s">
        <v>7647</v>
      </c>
      <c r="HQQ5" s="12" t="s">
        <v>7648</v>
      </c>
      <c r="HQR5" s="12" t="s">
        <v>7649</v>
      </c>
      <c r="HQS5" s="12" t="s">
        <v>7650</v>
      </c>
      <c r="HQT5" s="12" t="s">
        <v>7651</v>
      </c>
      <c r="HQU5" s="12" t="s">
        <v>7652</v>
      </c>
      <c r="HQV5" s="12" t="s">
        <v>7653</v>
      </c>
      <c r="HQW5" s="12" t="s">
        <v>7654</v>
      </c>
      <c r="HQX5" s="12" t="s">
        <v>7655</v>
      </c>
      <c r="HQY5" s="12" t="s">
        <v>7656</v>
      </c>
      <c r="HQZ5" s="12" t="s">
        <v>7657</v>
      </c>
      <c r="HRA5" s="12" t="s">
        <v>7658</v>
      </c>
      <c r="HRB5" s="12" t="s">
        <v>7659</v>
      </c>
      <c r="HRC5" s="12" t="s">
        <v>7660</v>
      </c>
      <c r="HRD5" s="12" t="s">
        <v>7661</v>
      </c>
      <c r="HRE5" s="12" t="s">
        <v>7662</v>
      </c>
      <c r="HRF5" s="12" t="s">
        <v>7663</v>
      </c>
      <c r="HRG5" s="12" t="s">
        <v>7664</v>
      </c>
      <c r="HRH5" s="12" t="s">
        <v>7665</v>
      </c>
      <c r="HRI5" s="12" t="s">
        <v>7666</v>
      </c>
      <c r="HRJ5" s="12" t="s">
        <v>7667</v>
      </c>
      <c r="HRK5" s="12" t="s">
        <v>7668</v>
      </c>
      <c r="HRL5" s="12" t="s">
        <v>7669</v>
      </c>
      <c r="HRM5" s="12" t="s">
        <v>7670</v>
      </c>
      <c r="HRN5" s="12" t="s">
        <v>7671</v>
      </c>
      <c r="HRO5" s="12" t="s">
        <v>7672</v>
      </c>
      <c r="HRP5" s="12" t="s">
        <v>7673</v>
      </c>
      <c r="HRQ5" s="12" t="s">
        <v>7674</v>
      </c>
      <c r="HRR5" s="12" t="s">
        <v>7675</v>
      </c>
      <c r="HRS5" s="12" t="s">
        <v>7676</v>
      </c>
      <c r="HRT5" s="12" t="s">
        <v>7677</v>
      </c>
      <c r="HRU5" s="12" t="s">
        <v>7678</v>
      </c>
      <c r="HRV5" s="12" t="s">
        <v>7679</v>
      </c>
      <c r="HRW5" s="12" t="s">
        <v>7680</v>
      </c>
      <c r="HRX5" s="12" t="s">
        <v>7681</v>
      </c>
      <c r="HRY5" s="12" t="s">
        <v>7682</v>
      </c>
      <c r="HRZ5" s="12" t="s">
        <v>7683</v>
      </c>
      <c r="HSA5" s="12" t="s">
        <v>7684</v>
      </c>
      <c r="HSB5" s="12" t="s">
        <v>7685</v>
      </c>
      <c r="HSC5" s="12" t="s">
        <v>7686</v>
      </c>
      <c r="HSD5" s="12" t="s">
        <v>7687</v>
      </c>
      <c r="HSE5" s="12" t="s">
        <v>7688</v>
      </c>
      <c r="HSF5" s="12" t="s">
        <v>7689</v>
      </c>
      <c r="HSG5" s="12" t="s">
        <v>7690</v>
      </c>
      <c r="HSH5" s="12" t="s">
        <v>7691</v>
      </c>
      <c r="HSI5" s="12" t="s">
        <v>7692</v>
      </c>
      <c r="HSJ5" s="12" t="s">
        <v>7693</v>
      </c>
      <c r="HSK5" s="12" t="s">
        <v>7694</v>
      </c>
      <c r="HSL5" s="12" t="s">
        <v>7695</v>
      </c>
      <c r="HSM5" s="12" t="s">
        <v>7696</v>
      </c>
      <c r="HSN5" s="12" t="s">
        <v>7697</v>
      </c>
      <c r="HSO5" s="12" t="s">
        <v>7698</v>
      </c>
      <c r="HSP5" s="12" t="s">
        <v>7699</v>
      </c>
      <c r="HSQ5" s="12" t="s">
        <v>7700</v>
      </c>
      <c r="HSR5" s="12" t="s">
        <v>7701</v>
      </c>
      <c r="HSS5" s="12" t="s">
        <v>7702</v>
      </c>
      <c r="HST5" s="12" t="s">
        <v>7703</v>
      </c>
      <c r="HSU5" s="12" t="s">
        <v>7704</v>
      </c>
      <c r="HSV5" s="12" t="s">
        <v>7705</v>
      </c>
      <c r="HSW5" s="12" t="s">
        <v>7706</v>
      </c>
      <c r="HSX5" s="12" t="s">
        <v>7707</v>
      </c>
      <c r="HSY5" s="12" t="s">
        <v>7708</v>
      </c>
      <c r="HSZ5" s="12" t="s">
        <v>7709</v>
      </c>
      <c r="HTA5" s="12" t="s">
        <v>7710</v>
      </c>
      <c r="HTB5" s="12" t="s">
        <v>7711</v>
      </c>
      <c r="HTC5" s="12" t="s">
        <v>7712</v>
      </c>
      <c r="HTD5" s="12" t="s">
        <v>7713</v>
      </c>
      <c r="HTE5" s="12" t="s">
        <v>7714</v>
      </c>
      <c r="HTF5" s="12" t="s">
        <v>7715</v>
      </c>
      <c r="HTG5" s="12" t="s">
        <v>7716</v>
      </c>
      <c r="HTH5" s="12" t="s">
        <v>7717</v>
      </c>
      <c r="HTI5" s="12" t="s">
        <v>7718</v>
      </c>
      <c r="HTJ5" s="12" t="s">
        <v>7719</v>
      </c>
      <c r="HTK5" s="12" t="s">
        <v>7720</v>
      </c>
      <c r="HTL5" s="12" t="s">
        <v>7721</v>
      </c>
      <c r="HTM5" s="12" t="s">
        <v>7722</v>
      </c>
      <c r="HTN5" s="12" t="s">
        <v>7723</v>
      </c>
      <c r="HTO5" s="12" t="s">
        <v>7724</v>
      </c>
      <c r="HTP5" s="12" t="s">
        <v>7725</v>
      </c>
      <c r="HTQ5" s="12" t="s">
        <v>7726</v>
      </c>
      <c r="HTR5" s="12" t="s">
        <v>7727</v>
      </c>
      <c r="HTS5" s="12" t="s">
        <v>7728</v>
      </c>
      <c r="HTT5" s="12" t="s">
        <v>7729</v>
      </c>
      <c r="HTU5" s="12" t="s">
        <v>7730</v>
      </c>
      <c r="HTV5" s="12" t="s">
        <v>7731</v>
      </c>
      <c r="HTW5" s="12" t="s">
        <v>7732</v>
      </c>
      <c r="HTX5" s="12" t="s">
        <v>7733</v>
      </c>
      <c r="HTY5" s="12" t="s">
        <v>7734</v>
      </c>
      <c r="HTZ5" s="12" t="s">
        <v>7735</v>
      </c>
      <c r="HUA5" s="12" t="s">
        <v>7736</v>
      </c>
      <c r="HUB5" s="12" t="s">
        <v>7737</v>
      </c>
      <c r="HUC5" s="12" t="s">
        <v>7738</v>
      </c>
      <c r="HUD5" s="12" t="s">
        <v>7739</v>
      </c>
      <c r="HUE5" s="12" t="s">
        <v>7740</v>
      </c>
      <c r="HUF5" s="12" t="s">
        <v>7741</v>
      </c>
      <c r="HUG5" s="12" t="s">
        <v>7742</v>
      </c>
      <c r="HUH5" s="12" t="s">
        <v>7743</v>
      </c>
      <c r="HUI5" s="12" t="s">
        <v>7744</v>
      </c>
      <c r="HUJ5" s="12" t="s">
        <v>7745</v>
      </c>
      <c r="HUK5" s="12" t="s">
        <v>7746</v>
      </c>
      <c r="HUL5" s="12" t="s">
        <v>7747</v>
      </c>
      <c r="HUM5" s="12" t="s">
        <v>7748</v>
      </c>
      <c r="HUN5" s="12" t="s">
        <v>7749</v>
      </c>
      <c r="HUO5" s="12" t="s">
        <v>7750</v>
      </c>
      <c r="HUP5" s="12" t="s">
        <v>7751</v>
      </c>
      <c r="HUQ5" s="12" t="s">
        <v>7752</v>
      </c>
      <c r="HUR5" s="12" t="s">
        <v>7753</v>
      </c>
      <c r="HUS5" s="12" t="s">
        <v>7754</v>
      </c>
      <c r="HUT5" s="12" t="s">
        <v>7755</v>
      </c>
      <c r="HUU5" s="12" t="s">
        <v>7756</v>
      </c>
      <c r="HUV5" s="12" t="s">
        <v>7757</v>
      </c>
      <c r="HUW5" s="12" t="s">
        <v>7758</v>
      </c>
      <c r="HUX5" s="12" t="s">
        <v>7759</v>
      </c>
      <c r="HUY5" s="12" t="s">
        <v>7760</v>
      </c>
      <c r="HUZ5" s="12" t="s">
        <v>7761</v>
      </c>
      <c r="HVA5" s="12" t="s">
        <v>7762</v>
      </c>
      <c r="HVB5" s="12" t="s">
        <v>7763</v>
      </c>
      <c r="HVC5" s="12" t="s">
        <v>7764</v>
      </c>
      <c r="HVD5" s="12" t="s">
        <v>7765</v>
      </c>
      <c r="HVE5" s="12" t="s">
        <v>7766</v>
      </c>
      <c r="HVF5" s="12" t="s">
        <v>7767</v>
      </c>
      <c r="HVG5" s="12" t="s">
        <v>7768</v>
      </c>
      <c r="HVH5" s="12" t="s">
        <v>7769</v>
      </c>
      <c r="HVI5" s="12" t="s">
        <v>7770</v>
      </c>
      <c r="HVJ5" s="12" t="s">
        <v>7771</v>
      </c>
      <c r="HVK5" s="12" t="s">
        <v>7772</v>
      </c>
      <c r="HVL5" s="12" t="s">
        <v>7773</v>
      </c>
      <c r="HVM5" s="12" t="s">
        <v>7774</v>
      </c>
      <c r="HVN5" s="12" t="s">
        <v>7775</v>
      </c>
      <c r="HVO5" s="12" t="s">
        <v>7776</v>
      </c>
      <c r="HVP5" s="12" t="s">
        <v>7777</v>
      </c>
      <c r="HVQ5" s="12" t="s">
        <v>7778</v>
      </c>
      <c r="HVR5" s="12" t="s">
        <v>7779</v>
      </c>
      <c r="HVS5" s="12" t="s">
        <v>7780</v>
      </c>
      <c r="HVT5" s="12" t="s">
        <v>7781</v>
      </c>
      <c r="HVU5" s="12" t="s">
        <v>7782</v>
      </c>
      <c r="HVV5" s="12" t="s">
        <v>7783</v>
      </c>
      <c r="HVW5" s="12" t="s">
        <v>7784</v>
      </c>
      <c r="HVX5" s="12" t="s">
        <v>7785</v>
      </c>
      <c r="HVY5" s="12" t="s">
        <v>7786</v>
      </c>
      <c r="HVZ5" s="12" t="s">
        <v>7787</v>
      </c>
      <c r="HWA5" s="12" t="s">
        <v>7788</v>
      </c>
      <c r="HWB5" s="12" t="s">
        <v>7789</v>
      </c>
      <c r="HWC5" s="12" t="s">
        <v>7790</v>
      </c>
      <c r="HWD5" s="12" t="s">
        <v>7791</v>
      </c>
      <c r="HWE5" s="12" t="s">
        <v>7792</v>
      </c>
      <c r="HWF5" s="12" t="s">
        <v>7793</v>
      </c>
      <c r="HWG5" s="12" t="s">
        <v>7794</v>
      </c>
      <c r="HWH5" s="12" t="s">
        <v>7795</v>
      </c>
      <c r="HWI5" s="12" t="s">
        <v>7796</v>
      </c>
      <c r="HWJ5" s="12" t="s">
        <v>7797</v>
      </c>
      <c r="HWK5" s="12" t="s">
        <v>7798</v>
      </c>
      <c r="HWL5" s="12" t="s">
        <v>7799</v>
      </c>
      <c r="HWM5" s="12" t="s">
        <v>7800</v>
      </c>
      <c r="HWN5" s="12" t="s">
        <v>7801</v>
      </c>
      <c r="HWO5" s="12" t="s">
        <v>7802</v>
      </c>
      <c r="HWP5" s="12" t="s">
        <v>7803</v>
      </c>
      <c r="HWQ5" s="12" t="s">
        <v>7804</v>
      </c>
      <c r="HWR5" s="12" t="s">
        <v>7805</v>
      </c>
      <c r="HWS5" s="12" t="s">
        <v>7806</v>
      </c>
      <c r="HWT5" s="12" t="s">
        <v>7807</v>
      </c>
      <c r="HWU5" s="12" t="s">
        <v>7808</v>
      </c>
      <c r="HWV5" s="12" t="s">
        <v>7809</v>
      </c>
      <c r="HWW5" s="12" t="s">
        <v>7810</v>
      </c>
      <c r="HWX5" s="12" t="s">
        <v>7811</v>
      </c>
      <c r="HWY5" s="12" t="s">
        <v>7812</v>
      </c>
      <c r="HWZ5" s="12" t="s">
        <v>7813</v>
      </c>
      <c r="HXA5" s="12" t="s">
        <v>7814</v>
      </c>
      <c r="HXB5" s="12" t="s">
        <v>7815</v>
      </c>
      <c r="HXC5" s="12" t="s">
        <v>7816</v>
      </c>
      <c r="HXD5" s="12" t="s">
        <v>7817</v>
      </c>
      <c r="HXE5" s="12" t="s">
        <v>7818</v>
      </c>
      <c r="HXF5" s="12" t="s">
        <v>7819</v>
      </c>
      <c r="HXG5" s="12" t="s">
        <v>7820</v>
      </c>
      <c r="HXH5" s="12" t="s">
        <v>7821</v>
      </c>
      <c r="HXI5" s="12" t="s">
        <v>7822</v>
      </c>
      <c r="HXJ5" s="12" t="s">
        <v>7823</v>
      </c>
      <c r="HXK5" s="12" t="s">
        <v>7824</v>
      </c>
      <c r="HXL5" s="12" t="s">
        <v>7825</v>
      </c>
      <c r="HXM5" s="12" t="s">
        <v>7826</v>
      </c>
      <c r="HXN5" s="12" t="s">
        <v>7827</v>
      </c>
      <c r="HXO5" s="12" t="s">
        <v>7828</v>
      </c>
      <c r="HXP5" s="12" t="s">
        <v>7829</v>
      </c>
      <c r="HXQ5" s="12" t="s">
        <v>7830</v>
      </c>
      <c r="HXR5" s="12" t="s">
        <v>7831</v>
      </c>
      <c r="HXS5" s="12" t="s">
        <v>7832</v>
      </c>
      <c r="HXT5" s="12" t="s">
        <v>7833</v>
      </c>
      <c r="HXU5" s="12" t="s">
        <v>7834</v>
      </c>
      <c r="HXV5" s="12" t="s">
        <v>7835</v>
      </c>
      <c r="HXW5" s="12" t="s">
        <v>7836</v>
      </c>
      <c r="HXX5" s="12" t="s">
        <v>7837</v>
      </c>
      <c r="HXY5" s="12" t="s">
        <v>7838</v>
      </c>
      <c r="HXZ5" s="12" t="s">
        <v>7839</v>
      </c>
      <c r="HYA5" s="12" t="s">
        <v>7840</v>
      </c>
      <c r="HYB5" s="12" t="s">
        <v>7841</v>
      </c>
      <c r="HYC5" s="12" t="s">
        <v>7842</v>
      </c>
      <c r="HYD5" s="12" t="s">
        <v>7843</v>
      </c>
      <c r="HYE5" s="12" t="s">
        <v>7844</v>
      </c>
      <c r="HYF5" s="12" t="s">
        <v>7845</v>
      </c>
      <c r="HYG5" s="12" t="s">
        <v>7846</v>
      </c>
      <c r="HYH5" s="12" t="s">
        <v>7847</v>
      </c>
      <c r="HYI5" s="12" t="s">
        <v>7848</v>
      </c>
      <c r="HYJ5" s="12" t="s">
        <v>7849</v>
      </c>
      <c r="HYK5" s="12" t="s">
        <v>7850</v>
      </c>
      <c r="HYL5" s="12" t="s">
        <v>7851</v>
      </c>
      <c r="HYM5" s="12" t="s">
        <v>7852</v>
      </c>
      <c r="HYN5" s="12" t="s">
        <v>7853</v>
      </c>
      <c r="HYO5" s="12" t="s">
        <v>7854</v>
      </c>
      <c r="HYP5" s="12" t="s">
        <v>7855</v>
      </c>
      <c r="HYQ5" s="12" t="s">
        <v>7856</v>
      </c>
      <c r="HYR5" s="12" t="s">
        <v>7857</v>
      </c>
      <c r="HYS5" s="12" t="s">
        <v>7858</v>
      </c>
      <c r="HYT5" s="12" t="s">
        <v>7859</v>
      </c>
      <c r="HYU5" s="12" t="s">
        <v>7860</v>
      </c>
      <c r="HYV5" s="12" t="s">
        <v>7861</v>
      </c>
      <c r="HYW5" s="12" t="s">
        <v>7862</v>
      </c>
      <c r="HYX5" s="12" t="s">
        <v>7863</v>
      </c>
      <c r="HYY5" s="12" t="s">
        <v>7864</v>
      </c>
      <c r="HYZ5" s="12" t="s">
        <v>7865</v>
      </c>
      <c r="HZA5" s="12" t="s">
        <v>7866</v>
      </c>
      <c r="HZB5" s="12" t="s">
        <v>7867</v>
      </c>
      <c r="HZC5" s="12" t="s">
        <v>7868</v>
      </c>
      <c r="HZD5" s="12" t="s">
        <v>7869</v>
      </c>
      <c r="HZE5" s="12" t="s">
        <v>7870</v>
      </c>
      <c r="HZF5" s="12" t="s">
        <v>7871</v>
      </c>
      <c r="HZG5" s="12" t="s">
        <v>7872</v>
      </c>
      <c r="HZH5" s="12" t="s">
        <v>7873</v>
      </c>
      <c r="HZI5" s="12" t="s">
        <v>7874</v>
      </c>
      <c r="HZJ5" s="12" t="s">
        <v>7875</v>
      </c>
      <c r="HZK5" s="12" t="s">
        <v>7876</v>
      </c>
      <c r="HZL5" s="12" t="s">
        <v>7877</v>
      </c>
      <c r="HZM5" s="12" t="s">
        <v>7878</v>
      </c>
      <c r="HZN5" s="12" t="s">
        <v>7879</v>
      </c>
      <c r="HZO5" s="12" t="s">
        <v>7880</v>
      </c>
      <c r="HZP5" s="12" t="s">
        <v>7881</v>
      </c>
      <c r="HZQ5" s="12" t="s">
        <v>7882</v>
      </c>
      <c r="HZR5" s="12" t="s">
        <v>7883</v>
      </c>
      <c r="HZS5" s="12" t="s">
        <v>7884</v>
      </c>
      <c r="HZT5" s="12" t="s">
        <v>7885</v>
      </c>
      <c r="HZU5" s="12" t="s">
        <v>7886</v>
      </c>
      <c r="HZV5" s="12" t="s">
        <v>7887</v>
      </c>
      <c r="HZW5" s="12" t="s">
        <v>7888</v>
      </c>
      <c r="HZX5" s="12" t="s">
        <v>7889</v>
      </c>
      <c r="HZY5" s="12" t="s">
        <v>7890</v>
      </c>
      <c r="HZZ5" s="12" t="s">
        <v>7891</v>
      </c>
      <c r="IAA5" s="12" t="s">
        <v>7892</v>
      </c>
      <c r="IAB5" s="12" t="s">
        <v>7893</v>
      </c>
      <c r="IAC5" s="12" t="s">
        <v>7894</v>
      </c>
      <c r="IAD5" s="12" t="s">
        <v>7895</v>
      </c>
      <c r="IAE5" s="12" t="s">
        <v>7896</v>
      </c>
      <c r="IAF5" s="12" t="s">
        <v>7897</v>
      </c>
      <c r="IAG5" s="12" t="s">
        <v>7898</v>
      </c>
      <c r="IAH5" s="12" t="s">
        <v>7899</v>
      </c>
      <c r="IAI5" s="12" t="s">
        <v>7900</v>
      </c>
      <c r="IAJ5" s="12" t="s">
        <v>7901</v>
      </c>
      <c r="IAK5" s="12" t="s">
        <v>7902</v>
      </c>
      <c r="IAL5" s="12" t="s">
        <v>7903</v>
      </c>
      <c r="IAM5" s="12" t="s">
        <v>7904</v>
      </c>
      <c r="IAN5" s="12" t="s">
        <v>7905</v>
      </c>
      <c r="IAO5" s="12" t="s">
        <v>7906</v>
      </c>
      <c r="IAP5" s="12" t="s">
        <v>7907</v>
      </c>
      <c r="IAQ5" s="12" t="s">
        <v>7908</v>
      </c>
      <c r="IAR5" s="12" t="s">
        <v>7909</v>
      </c>
      <c r="IAS5" s="12" t="s">
        <v>7910</v>
      </c>
      <c r="IAT5" s="12" t="s">
        <v>7911</v>
      </c>
      <c r="IAU5" s="12" t="s">
        <v>7912</v>
      </c>
      <c r="IAV5" s="12" t="s">
        <v>7913</v>
      </c>
      <c r="IAW5" s="12" t="s">
        <v>7914</v>
      </c>
      <c r="IAX5" s="12" t="s">
        <v>7915</v>
      </c>
      <c r="IAY5" s="12" t="s">
        <v>7916</v>
      </c>
      <c r="IAZ5" s="12" t="s">
        <v>7917</v>
      </c>
      <c r="IBA5" s="12" t="s">
        <v>7918</v>
      </c>
      <c r="IBB5" s="12" t="s">
        <v>7919</v>
      </c>
      <c r="IBC5" s="12" t="s">
        <v>7920</v>
      </c>
      <c r="IBD5" s="12" t="s">
        <v>7921</v>
      </c>
      <c r="IBE5" s="12" t="s">
        <v>7922</v>
      </c>
      <c r="IBF5" s="12" t="s">
        <v>7923</v>
      </c>
      <c r="IBG5" s="12" t="s">
        <v>7924</v>
      </c>
      <c r="IBH5" s="12" t="s">
        <v>7925</v>
      </c>
      <c r="IBI5" s="12" t="s">
        <v>7926</v>
      </c>
      <c r="IBJ5" s="12" t="s">
        <v>7927</v>
      </c>
      <c r="IBK5" s="12" t="s">
        <v>7928</v>
      </c>
      <c r="IBL5" s="12" t="s">
        <v>7929</v>
      </c>
      <c r="IBM5" s="12" t="s">
        <v>7930</v>
      </c>
      <c r="IBN5" s="12" t="s">
        <v>7931</v>
      </c>
      <c r="IBO5" s="12" t="s">
        <v>7932</v>
      </c>
      <c r="IBP5" s="12" t="s">
        <v>7933</v>
      </c>
      <c r="IBQ5" s="12" t="s">
        <v>7934</v>
      </c>
      <c r="IBR5" s="12" t="s">
        <v>7935</v>
      </c>
      <c r="IBS5" s="12" t="s">
        <v>7936</v>
      </c>
      <c r="IBT5" s="12" t="s">
        <v>7937</v>
      </c>
      <c r="IBU5" s="12" t="s">
        <v>7938</v>
      </c>
      <c r="IBV5" s="12" t="s">
        <v>7939</v>
      </c>
      <c r="IBW5" s="12" t="s">
        <v>7940</v>
      </c>
      <c r="IBX5" s="12" t="s">
        <v>7941</v>
      </c>
      <c r="IBY5" s="12" t="s">
        <v>7942</v>
      </c>
      <c r="IBZ5" s="12" t="s">
        <v>7943</v>
      </c>
      <c r="ICA5" s="12" t="s">
        <v>7944</v>
      </c>
      <c r="ICB5" s="12" t="s">
        <v>7945</v>
      </c>
      <c r="ICC5" s="12" t="s">
        <v>7946</v>
      </c>
      <c r="ICD5" s="12" t="s">
        <v>7947</v>
      </c>
      <c r="ICE5" s="12" t="s">
        <v>7948</v>
      </c>
      <c r="ICF5" s="12" t="s">
        <v>7949</v>
      </c>
      <c r="ICG5" s="12" t="s">
        <v>7950</v>
      </c>
      <c r="ICH5" s="12" t="s">
        <v>7951</v>
      </c>
      <c r="ICI5" s="12" t="s">
        <v>7952</v>
      </c>
      <c r="ICJ5" s="12" t="s">
        <v>7953</v>
      </c>
      <c r="ICK5" s="12" t="s">
        <v>7954</v>
      </c>
      <c r="ICL5" s="12" t="s">
        <v>7955</v>
      </c>
      <c r="ICM5" s="12" t="s">
        <v>7956</v>
      </c>
      <c r="ICN5" s="12" t="s">
        <v>7957</v>
      </c>
      <c r="ICO5" s="12" t="s">
        <v>7958</v>
      </c>
      <c r="ICP5" s="12" t="s">
        <v>7959</v>
      </c>
      <c r="ICQ5" s="12" t="s">
        <v>7960</v>
      </c>
      <c r="ICR5" s="12" t="s">
        <v>7961</v>
      </c>
      <c r="ICS5" s="12" t="s">
        <v>7962</v>
      </c>
      <c r="ICT5" s="12" t="s">
        <v>7963</v>
      </c>
      <c r="ICU5" s="12" t="s">
        <v>7964</v>
      </c>
      <c r="ICV5" s="12" t="s">
        <v>7965</v>
      </c>
      <c r="ICW5" s="12" t="s">
        <v>7966</v>
      </c>
      <c r="ICX5" s="12" t="s">
        <v>7967</v>
      </c>
      <c r="ICY5" s="12" t="s">
        <v>7968</v>
      </c>
      <c r="ICZ5" s="12" t="s">
        <v>7969</v>
      </c>
      <c r="IDA5" s="12" t="s">
        <v>7970</v>
      </c>
      <c r="IDB5" s="12" t="s">
        <v>7971</v>
      </c>
      <c r="IDC5" s="12" t="s">
        <v>7972</v>
      </c>
      <c r="IDD5" s="12" t="s">
        <v>7973</v>
      </c>
      <c r="IDE5" s="12" t="s">
        <v>7974</v>
      </c>
      <c r="IDF5" s="12" t="s">
        <v>7975</v>
      </c>
      <c r="IDG5" s="12" t="s">
        <v>7976</v>
      </c>
      <c r="IDH5" s="12" t="s">
        <v>7977</v>
      </c>
      <c r="IDI5" s="12" t="s">
        <v>7978</v>
      </c>
      <c r="IDJ5" s="12" t="s">
        <v>7979</v>
      </c>
      <c r="IDK5" s="12" t="s">
        <v>7980</v>
      </c>
      <c r="IDL5" s="12" t="s">
        <v>7981</v>
      </c>
      <c r="IDM5" s="12" t="s">
        <v>7982</v>
      </c>
      <c r="IDN5" s="12" t="s">
        <v>7983</v>
      </c>
      <c r="IDO5" s="12" t="s">
        <v>7984</v>
      </c>
      <c r="IDP5" s="12" t="s">
        <v>7985</v>
      </c>
      <c r="IDQ5" s="12" t="s">
        <v>7986</v>
      </c>
      <c r="IDR5" s="12" t="s">
        <v>7987</v>
      </c>
      <c r="IDS5" s="12" t="s">
        <v>7988</v>
      </c>
      <c r="IDT5" s="12" t="s">
        <v>7989</v>
      </c>
      <c r="IDU5" s="12" t="s">
        <v>7990</v>
      </c>
      <c r="IDV5" s="12" t="s">
        <v>7991</v>
      </c>
      <c r="IDW5" s="12" t="s">
        <v>7992</v>
      </c>
      <c r="IDX5" s="12" t="s">
        <v>7993</v>
      </c>
      <c r="IDY5" s="12" t="s">
        <v>7994</v>
      </c>
      <c r="IDZ5" s="12" t="s">
        <v>7995</v>
      </c>
      <c r="IEA5" s="12" t="s">
        <v>7996</v>
      </c>
      <c r="IEB5" s="12" t="s">
        <v>7997</v>
      </c>
      <c r="IEC5" s="12" t="s">
        <v>7998</v>
      </c>
      <c r="IED5" s="12" t="s">
        <v>7999</v>
      </c>
      <c r="IEE5" s="12" t="s">
        <v>8000</v>
      </c>
      <c r="IEF5" s="12" t="s">
        <v>8001</v>
      </c>
      <c r="IEG5" s="12" t="s">
        <v>8002</v>
      </c>
      <c r="IEH5" s="12" t="s">
        <v>8003</v>
      </c>
      <c r="IEI5" s="12" t="s">
        <v>8004</v>
      </c>
      <c r="IEJ5" s="12" t="s">
        <v>8005</v>
      </c>
      <c r="IEK5" s="12" t="s">
        <v>8006</v>
      </c>
      <c r="IEL5" s="12" t="s">
        <v>8007</v>
      </c>
      <c r="IEM5" s="12" t="s">
        <v>8008</v>
      </c>
      <c r="IEN5" s="12" t="s">
        <v>8009</v>
      </c>
      <c r="IEO5" s="12" t="s">
        <v>8010</v>
      </c>
      <c r="IEP5" s="12" t="s">
        <v>8011</v>
      </c>
      <c r="IEQ5" s="12" t="s">
        <v>8012</v>
      </c>
      <c r="IER5" s="12" t="s">
        <v>8013</v>
      </c>
      <c r="IES5" s="12" t="s">
        <v>8014</v>
      </c>
      <c r="IET5" s="12" t="s">
        <v>8015</v>
      </c>
      <c r="IEU5" s="12" t="s">
        <v>8016</v>
      </c>
      <c r="IEV5" s="12" t="s">
        <v>8017</v>
      </c>
      <c r="IEW5" s="12" t="s">
        <v>8018</v>
      </c>
      <c r="IEX5" s="12" t="s">
        <v>8019</v>
      </c>
      <c r="IEY5" s="12" t="s">
        <v>8020</v>
      </c>
      <c r="IEZ5" s="12" t="s">
        <v>8021</v>
      </c>
      <c r="IFA5" s="12" t="s">
        <v>8022</v>
      </c>
      <c r="IFB5" s="12" t="s">
        <v>8023</v>
      </c>
      <c r="IFC5" s="12" t="s">
        <v>8024</v>
      </c>
      <c r="IFD5" s="12" t="s">
        <v>8025</v>
      </c>
      <c r="IFE5" s="12" t="s">
        <v>8026</v>
      </c>
      <c r="IFF5" s="12" t="s">
        <v>8027</v>
      </c>
      <c r="IFG5" s="12" t="s">
        <v>8028</v>
      </c>
      <c r="IFH5" s="12" t="s">
        <v>8029</v>
      </c>
      <c r="IFI5" s="12" t="s">
        <v>8030</v>
      </c>
      <c r="IFJ5" s="12" t="s">
        <v>8031</v>
      </c>
      <c r="IFK5" s="12" t="s">
        <v>8032</v>
      </c>
      <c r="IFL5" s="12" t="s">
        <v>8033</v>
      </c>
      <c r="IFM5" s="12" t="s">
        <v>8034</v>
      </c>
      <c r="IFN5" s="12" t="s">
        <v>8035</v>
      </c>
      <c r="IFO5" s="12" t="s">
        <v>8036</v>
      </c>
      <c r="IFP5" s="12" t="s">
        <v>8037</v>
      </c>
      <c r="IFQ5" s="12" t="s">
        <v>8038</v>
      </c>
      <c r="IFR5" s="12" t="s">
        <v>8039</v>
      </c>
      <c r="IFS5" s="12" t="s">
        <v>8040</v>
      </c>
      <c r="IFT5" s="12" t="s">
        <v>8041</v>
      </c>
      <c r="IFU5" s="12" t="s">
        <v>8042</v>
      </c>
      <c r="IFV5" s="12" t="s">
        <v>8043</v>
      </c>
      <c r="IFW5" s="12" t="s">
        <v>8044</v>
      </c>
      <c r="IFX5" s="12" t="s">
        <v>8045</v>
      </c>
      <c r="IFY5" s="12" t="s">
        <v>8046</v>
      </c>
      <c r="IFZ5" s="12" t="s">
        <v>8047</v>
      </c>
      <c r="IGA5" s="12" t="s">
        <v>8048</v>
      </c>
      <c r="IGB5" s="12" t="s">
        <v>8049</v>
      </c>
      <c r="IGC5" s="12" t="s">
        <v>8050</v>
      </c>
      <c r="IGD5" s="12" t="s">
        <v>8051</v>
      </c>
      <c r="IGE5" s="12" t="s">
        <v>8052</v>
      </c>
      <c r="IGF5" s="12" t="s">
        <v>8053</v>
      </c>
      <c r="IGG5" s="12" t="s">
        <v>8054</v>
      </c>
      <c r="IGH5" s="12" t="s">
        <v>8055</v>
      </c>
      <c r="IGI5" s="12" t="s">
        <v>8056</v>
      </c>
      <c r="IGJ5" s="12" t="s">
        <v>8057</v>
      </c>
      <c r="IGK5" s="12" t="s">
        <v>8058</v>
      </c>
      <c r="IGL5" s="12" t="s">
        <v>8059</v>
      </c>
      <c r="IGM5" s="12" t="s">
        <v>8060</v>
      </c>
      <c r="IGN5" s="12" t="s">
        <v>8061</v>
      </c>
      <c r="IGO5" s="12" t="s">
        <v>8062</v>
      </c>
      <c r="IGP5" s="12" t="s">
        <v>8063</v>
      </c>
      <c r="IGQ5" s="12" t="s">
        <v>8064</v>
      </c>
      <c r="IGR5" s="12" t="s">
        <v>8065</v>
      </c>
      <c r="IGS5" s="12" t="s">
        <v>8066</v>
      </c>
      <c r="IGT5" s="12" t="s">
        <v>8067</v>
      </c>
      <c r="IGU5" s="12" t="s">
        <v>8068</v>
      </c>
      <c r="IGV5" s="12" t="s">
        <v>8069</v>
      </c>
      <c r="IGW5" s="12" t="s">
        <v>8070</v>
      </c>
      <c r="IGX5" s="12" t="s">
        <v>8071</v>
      </c>
      <c r="IGY5" s="12" t="s">
        <v>8072</v>
      </c>
      <c r="IGZ5" s="12" t="s">
        <v>8073</v>
      </c>
      <c r="IHA5" s="12" t="s">
        <v>8074</v>
      </c>
      <c r="IHB5" s="12" t="s">
        <v>8075</v>
      </c>
      <c r="IHC5" s="12" t="s">
        <v>8076</v>
      </c>
      <c r="IHD5" s="12" t="s">
        <v>8077</v>
      </c>
      <c r="IHE5" s="12" t="s">
        <v>8078</v>
      </c>
      <c r="IHF5" s="12" t="s">
        <v>8079</v>
      </c>
      <c r="IHG5" s="12" t="s">
        <v>8080</v>
      </c>
      <c r="IHH5" s="12" t="s">
        <v>8081</v>
      </c>
      <c r="IHI5" s="12" t="s">
        <v>8082</v>
      </c>
      <c r="IHJ5" s="12" t="s">
        <v>8083</v>
      </c>
      <c r="IHK5" s="12" t="s">
        <v>8084</v>
      </c>
      <c r="IHL5" s="12" t="s">
        <v>8085</v>
      </c>
      <c r="IHM5" s="12" t="s">
        <v>8086</v>
      </c>
      <c r="IHN5" s="12" t="s">
        <v>8087</v>
      </c>
      <c r="IHO5" s="12" t="s">
        <v>8088</v>
      </c>
      <c r="IHP5" s="12" t="s">
        <v>8089</v>
      </c>
      <c r="IHQ5" s="12" t="s">
        <v>8090</v>
      </c>
      <c r="IHR5" s="12" t="s">
        <v>8091</v>
      </c>
      <c r="IHS5" s="12" t="s">
        <v>8092</v>
      </c>
      <c r="IHT5" s="12" t="s">
        <v>8093</v>
      </c>
      <c r="IHU5" s="12" t="s">
        <v>8094</v>
      </c>
      <c r="IHV5" s="12" t="s">
        <v>8095</v>
      </c>
      <c r="IHW5" s="12" t="s">
        <v>8096</v>
      </c>
      <c r="IHX5" s="12" t="s">
        <v>8097</v>
      </c>
      <c r="IHY5" s="12" t="s">
        <v>8098</v>
      </c>
      <c r="IHZ5" s="12" t="s">
        <v>8099</v>
      </c>
      <c r="IIA5" s="12" t="s">
        <v>8100</v>
      </c>
      <c r="IIB5" s="12" t="s">
        <v>8101</v>
      </c>
      <c r="IIC5" s="12" t="s">
        <v>8102</v>
      </c>
      <c r="IID5" s="12" t="s">
        <v>8103</v>
      </c>
      <c r="IIE5" s="12" t="s">
        <v>8104</v>
      </c>
      <c r="IIF5" s="12" t="s">
        <v>8105</v>
      </c>
      <c r="IIG5" s="12" t="s">
        <v>8106</v>
      </c>
      <c r="IIH5" s="12" t="s">
        <v>8107</v>
      </c>
      <c r="III5" s="12" t="s">
        <v>8108</v>
      </c>
      <c r="IIJ5" s="12" t="s">
        <v>8109</v>
      </c>
      <c r="IIK5" s="12" t="s">
        <v>8110</v>
      </c>
      <c r="IIL5" s="12" t="s">
        <v>8111</v>
      </c>
      <c r="IIM5" s="12" t="s">
        <v>8112</v>
      </c>
      <c r="IIN5" s="12" t="s">
        <v>8113</v>
      </c>
      <c r="IIO5" s="12" t="s">
        <v>8114</v>
      </c>
      <c r="IIP5" s="12" t="s">
        <v>8115</v>
      </c>
      <c r="IIQ5" s="12" t="s">
        <v>8116</v>
      </c>
      <c r="IIR5" s="12" t="s">
        <v>8117</v>
      </c>
      <c r="IIS5" s="12" t="s">
        <v>8118</v>
      </c>
      <c r="IIT5" s="12" t="s">
        <v>8119</v>
      </c>
      <c r="IIU5" s="12" t="s">
        <v>8120</v>
      </c>
      <c r="IIV5" s="12" t="s">
        <v>8121</v>
      </c>
      <c r="IIW5" s="12" t="s">
        <v>8122</v>
      </c>
      <c r="IIX5" s="12" t="s">
        <v>8123</v>
      </c>
      <c r="IIY5" s="12" t="s">
        <v>8124</v>
      </c>
      <c r="IIZ5" s="12" t="s">
        <v>8125</v>
      </c>
      <c r="IJA5" s="12" t="s">
        <v>8126</v>
      </c>
      <c r="IJB5" s="12" t="s">
        <v>8127</v>
      </c>
      <c r="IJC5" s="12" t="s">
        <v>8128</v>
      </c>
      <c r="IJD5" s="12" t="s">
        <v>8129</v>
      </c>
      <c r="IJE5" s="12" t="s">
        <v>8130</v>
      </c>
      <c r="IJF5" s="12" t="s">
        <v>8131</v>
      </c>
      <c r="IJG5" s="12" t="s">
        <v>8132</v>
      </c>
      <c r="IJH5" s="12" t="s">
        <v>8133</v>
      </c>
      <c r="IJI5" s="12" t="s">
        <v>8134</v>
      </c>
      <c r="IJJ5" s="12" t="s">
        <v>8135</v>
      </c>
      <c r="IJK5" s="12" t="s">
        <v>8136</v>
      </c>
      <c r="IJL5" s="12" t="s">
        <v>8137</v>
      </c>
      <c r="IJM5" s="12" t="s">
        <v>8138</v>
      </c>
      <c r="IJN5" s="12" t="s">
        <v>8139</v>
      </c>
      <c r="IJO5" s="12" t="s">
        <v>8140</v>
      </c>
      <c r="IJP5" s="12" t="s">
        <v>8141</v>
      </c>
      <c r="IJQ5" s="12" t="s">
        <v>8142</v>
      </c>
      <c r="IJR5" s="12" t="s">
        <v>8143</v>
      </c>
      <c r="IJS5" s="12" t="s">
        <v>8144</v>
      </c>
      <c r="IJT5" s="12" t="s">
        <v>8145</v>
      </c>
      <c r="IJU5" s="12" t="s">
        <v>8146</v>
      </c>
      <c r="IJV5" s="12" t="s">
        <v>8147</v>
      </c>
      <c r="IJW5" s="12" t="s">
        <v>8148</v>
      </c>
      <c r="IJX5" s="12" t="s">
        <v>8149</v>
      </c>
      <c r="IJY5" s="12" t="s">
        <v>8150</v>
      </c>
      <c r="IJZ5" s="12" t="s">
        <v>8151</v>
      </c>
      <c r="IKA5" s="12" t="s">
        <v>8152</v>
      </c>
      <c r="IKB5" s="12" t="s">
        <v>8153</v>
      </c>
      <c r="IKC5" s="12" t="s">
        <v>8154</v>
      </c>
      <c r="IKD5" s="12" t="s">
        <v>8155</v>
      </c>
      <c r="IKE5" s="12" t="s">
        <v>8156</v>
      </c>
      <c r="IKF5" s="12" t="s">
        <v>8157</v>
      </c>
      <c r="IKG5" s="12" t="s">
        <v>8158</v>
      </c>
      <c r="IKH5" s="12" t="s">
        <v>8159</v>
      </c>
      <c r="IKI5" s="12" t="s">
        <v>8160</v>
      </c>
      <c r="IKJ5" s="12" t="s">
        <v>8161</v>
      </c>
      <c r="IKK5" s="12" t="s">
        <v>8162</v>
      </c>
      <c r="IKL5" s="12" t="s">
        <v>8163</v>
      </c>
      <c r="IKM5" s="12" t="s">
        <v>8164</v>
      </c>
      <c r="IKN5" s="12" t="s">
        <v>8165</v>
      </c>
      <c r="IKO5" s="12" t="s">
        <v>8166</v>
      </c>
      <c r="IKP5" s="12" t="s">
        <v>8167</v>
      </c>
      <c r="IKQ5" s="12" t="s">
        <v>8168</v>
      </c>
      <c r="IKR5" s="12" t="s">
        <v>8169</v>
      </c>
      <c r="IKS5" s="12" t="s">
        <v>8170</v>
      </c>
      <c r="IKT5" s="12" t="s">
        <v>8171</v>
      </c>
      <c r="IKU5" s="12" t="s">
        <v>8172</v>
      </c>
      <c r="IKV5" s="12" t="s">
        <v>8173</v>
      </c>
      <c r="IKW5" s="12" t="s">
        <v>8174</v>
      </c>
      <c r="IKX5" s="12" t="s">
        <v>8175</v>
      </c>
      <c r="IKY5" s="12" t="s">
        <v>8176</v>
      </c>
      <c r="IKZ5" s="12" t="s">
        <v>8177</v>
      </c>
      <c r="ILA5" s="12" t="s">
        <v>8178</v>
      </c>
      <c r="ILB5" s="12" t="s">
        <v>8179</v>
      </c>
      <c r="ILC5" s="12" t="s">
        <v>8180</v>
      </c>
      <c r="ILD5" s="12" t="s">
        <v>8181</v>
      </c>
      <c r="ILE5" s="12" t="s">
        <v>8182</v>
      </c>
      <c r="ILF5" s="12" t="s">
        <v>8183</v>
      </c>
      <c r="ILG5" s="12" t="s">
        <v>8184</v>
      </c>
      <c r="ILH5" s="12" t="s">
        <v>8185</v>
      </c>
      <c r="ILI5" s="12" t="s">
        <v>8186</v>
      </c>
      <c r="ILJ5" s="12" t="s">
        <v>8187</v>
      </c>
      <c r="ILK5" s="12" t="s">
        <v>8188</v>
      </c>
      <c r="ILL5" s="12" t="s">
        <v>8189</v>
      </c>
      <c r="ILM5" s="12" t="s">
        <v>8190</v>
      </c>
      <c r="ILN5" s="12" t="s">
        <v>8191</v>
      </c>
      <c r="ILO5" s="12" t="s">
        <v>8192</v>
      </c>
      <c r="ILP5" s="12" t="s">
        <v>8193</v>
      </c>
      <c r="ILQ5" s="12" t="s">
        <v>8194</v>
      </c>
      <c r="ILR5" s="12" t="s">
        <v>8195</v>
      </c>
      <c r="ILS5" s="12" t="s">
        <v>8196</v>
      </c>
      <c r="ILT5" s="12" t="s">
        <v>8197</v>
      </c>
      <c r="ILU5" s="12" t="s">
        <v>8198</v>
      </c>
      <c r="ILV5" s="12" t="s">
        <v>8199</v>
      </c>
      <c r="ILW5" s="12" t="s">
        <v>8200</v>
      </c>
      <c r="ILX5" s="12" t="s">
        <v>8201</v>
      </c>
      <c r="ILY5" s="12" t="s">
        <v>8202</v>
      </c>
      <c r="ILZ5" s="12" t="s">
        <v>8203</v>
      </c>
      <c r="IMA5" s="12" t="s">
        <v>8204</v>
      </c>
      <c r="IMB5" s="12" t="s">
        <v>8205</v>
      </c>
      <c r="IMC5" s="12" t="s">
        <v>8206</v>
      </c>
      <c r="IMD5" s="12" t="s">
        <v>8207</v>
      </c>
      <c r="IME5" s="12" t="s">
        <v>8208</v>
      </c>
      <c r="IMF5" s="12" t="s">
        <v>8209</v>
      </c>
      <c r="IMG5" s="12" t="s">
        <v>8210</v>
      </c>
      <c r="IMH5" s="12" t="s">
        <v>8211</v>
      </c>
      <c r="IMI5" s="12" t="s">
        <v>8212</v>
      </c>
      <c r="IMJ5" s="12" t="s">
        <v>8213</v>
      </c>
      <c r="IMK5" s="12" t="s">
        <v>8214</v>
      </c>
      <c r="IML5" s="12" t="s">
        <v>8215</v>
      </c>
      <c r="IMM5" s="12" t="s">
        <v>8216</v>
      </c>
      <c r="IMN5" s="12" t="s">
        <v>8217</v>
      </c>
      <c r="IMO5" s="12" t="s">
        <v>8218</v>
      </c>
      <c r="IMP5" s="12" t="s">
        <v>8219</v>
      </c>
      <c r="IMQ5" s="12" t="s">
        <v>8220</v>
      </c>
      <c r="IMR5" s="12" t="s">
        <v>8221</v>
      </c>
      <c r="IMS5" s="12" t="s">
        <v>8222</v>
      </c>
      <c r="IMT5" s="12" t="s">
        <v>8223</v>
      </c>
      <c r="IMU5" s="12" t="s">
        <v>8224</v>
      </c>
      <c r="IMV5" s="12" t="s">
        <v>8225</v>
      </c>
      <c r="IMW5" s="12" t="s">
        <v>8226</v>
      </c>
      <c r="IMX5" s="12" t="s">
        <v>8227</v>
      </c>
      <c r="IMY5" s="12" t="s">
        <v>8228</v>
      </c>
      <c r="IMZ5" s="12" t="s">
        <v>8229</v>
      </c>
      <c r="INA5" s="12" t="s">
        <v>8230</v>
      </c>
      <c r="INB5" s="12" t="s">
        <v>8231</v>
      </c>
      <c r="INC5" s="12" t="s">
        <v>8232</v>
      </c>
      <c r="IND5" s="12" t="s">
        <v>8233</v>
      </c>
      <c r="INE5" s="12" t="s">
        <v>8234</v>
      </c>
      <c r="INF5" s="12" t="s">
        <v>8235</v>
      </c>
      <c r="ING5" s="12" t="s">
        <v>8236</v>
      </c>
      <c r="INH5" s="12" t="s">
        <v>8237</v>
      </c>
      <c r="INI5" s="12" t="s">
        <v>8238</v>
      </c>
      <c r="INJ5" s="12" t="s">
        <v>8239</v>
      </c>
      <c r="INK5" s="12" t="s">
        <v>8240</v>
      </c>
      <c r="INL5" s="12" t="s">
        <v>8241</v>
      </c>
      <c r="INM5" s="12" t="s">
        <v>8242</v>
      </c>
      <c r="INN5" s="12" t="s">
        <v>8243</v>
      </c>
      <c r="INO5" s="12" t="s">
        <v>8244</v>
      </c>
      <c r="INP5" s="12" t="s">
        <v>8245</v>
      </c>
      <c r="INQ5" s="12" t="s">
        <v>8246</v>
      </c>
      <c r="INR5" s="12" t="s">
        <v>8247</v>
      </c>
      <c r="INS5" s="12" t="s">
        <v>8248</v>
      </c>
      <c r="INT5" s="12" t="s">
        <v>8249</v>
      </c>
      <c r="INU5" s="12" t="s">
        <v>8250</v>
      </c>
      <c r="INV5" s="12" t="s">
        <v>8251</v>
      </c>
      <c r="INW5" s="12" t="s">
        <v>8252</v>
      </c>
      <c r="INX5" s="12" t="s">
        <v>8253</v>
      </c>
      <c r="INY5" s="12" t="s">
        <v>8254</v>
      </c>
      <c r="INZ5" s="12" t="s">
        <v>8255</v>
      </c>
      <c r="IOA5" s="12" t="s">
        <v>8256</v>
      </c>
      <c r="IOB5" s="12" t="s">
        <v>8257</v>
      </c>
      <c r="IOC5" s="12" t="s">
        <v>8258</v>
      </c>
      <c r="IOD5" s="12" t="s">
        <v>8259</v>
      </c>
      <c r="IOE5" s="12" t="s">
        <v>8260</v>
      </c>
      <c r="IOF5" s="12" t="s">
        <v>8261</v>
      </c>
      <c r="IOG5" s="12" t="s">
        <v>8262</v>
      </c>
      <c r="IOH5" s="12" t="s">
        <v>8263</v>
      </c>
      <c r="IOI5" s="12" t="s">
        <v>8264</v>
      </c>
      <c r="IOJ5" s="12" t="s">
        <v>8265</v>
      </c>
      <c r="IOK5" s="12" t="s">
        <v>8266</v>
      </c>
      <c r="IOL5" s="12" t="s">
        <v>8267</v>
      </c>
      <c r="IOM5" s="12" t="s">
        <v>8268</v>
      </c>
      <c r="ION5" s="12" t="s">
        <v>8269</v>
      </c>
      <c r="IOO5" s="12" t="s">
        <v>8270</v>
      </c>
      <c r="IOP5" s="12" t="s">
        <v>8271</v>
      </c>
      <c r="IOQ5" s="12" t="s">
        <v>8272</v>
      </c>
      <c r="IOR5" s="12" t="s">
        <v>8273</v>
      </c>
      <c r="IOS5" s="12" t="s">
        <v>8274</v>
      </c>
      <c r="IOT5" s="12" t="s">
        <v>8275</v>
      </c>
      <c r="IOU5" s="12" t="s">
        <v>8276</v>
      </c>
      <c r="IOV5" s="12" t="s">
        <v>8277</v>
      </c>
      <c r="IOW5" s="12" t="s">
        <v>8278</v>
      </c>
      <c r="IOX5" s="12" t="s">
        <v>8279</v>
      </c>
      <c r="IOY5" s="12" t="s">
        <v>8280</v>
      </c>
      <c r="IOZ5" s="12" t="s">
        <v>8281</v>
      </c>
      <c r="IPA5" s="12" t="s">
        <v>8282</v>
      </c>
      <c r="IPB5" s="12" t="s">
        <v>8283</v>
      </c>
      <c r="IPC5" s="12" t="s">
        <v>8284</v>
      </c>
      <c r="IPD5" s="12" t="s">
        <v>8285</v>
      </c>
      <c r="IPE5" s="12" t="s">
        <v>8286</v>
      </c>
      <c r="IPF5" s="12" t="s">
        <v>8287</v>
      </c>
      <c r="IPG5" s="12" t="s">
        <v>8288</v>
      </c>
      <c r="IPH5" s="12" t="s">
        <v>8289</v>
      </c>
      <c r="IPI5" s="12" t="s">
        <v>8290</v>
      </c>
      <c r="IPJ5" s="12" t="s">
        <v>8291</v>
      </c>
      <c r="IPK5" s="12" t="s">
        <v>8292</v>
      </c>
      <c r="IPL5" s="12" t="s">
        <v>8293</v>
      </c>
      <c r="IPM5" s="12" t="s">
        <v>8294</v>
      </c>
      <c r="IPN5" s="12" t="s">
        <v>8295</v>
      </c>
      <c r="IPO5" s="12" t="s">
        <v>8296</v>
      </c>
      <c r="IPP5" s="12" t="s">
        <v>8297</v>
      </c>
      <c r="IPQ5" s="12" t="s">
        <v>8298</v>
      </c>
      <c r="IPR5" s="12" t="s">
        <v>8299</v>
      </c>
      <c r="IPS5" s="12" t="s">
        <v>8300</v>
      </c>
      <c r="IPT5" s="12" t="s">
        <v>8301</v>
      </c>
      <c r="IPU5" s="12" t="s">
        <v>8302</v>
      </c>
      <c r="IPV5" s="12" t="s">
        <v>8303</v>
      </c>
      <c r="IPW5" s="12" t="s">
        <v>8304</v>
      </c>
      <c r="IPX5" s="12" t="s">
        <v>8305</v>
      </c>
      <c r="IPY5" s="12" t="s">
        <v>8306</v>
      </c>
      <c r="IPZ5" s="12" t="s">
        <v>8307</v>
      </c>
      <c r="IQA5" s="12" t="s">
        <v>8308</v>
      </c>
      <c r="IQB5" s="12" t="s">
        <v>8309</v>
      </c>
      <c r="IQC5" s="12" t="s">
        <v>8310</v>
      </c>
      <c r="IQD5" s="12" t="s">
        <v>8311</v>
      </c>
      <c r="IQE5" s="12" t="s">
        <v>8312</v>
      </c>
      <c r="IQF5" s="12" t="s">
        <v>8313</v>
      </c>
      <c r="IQG5" s="12" t="s">
        <v>8314</v>
      </c>
      <c r="IQH5" s="12" t="s">
        <v>8315</v>
      </c>
      <c r="IQI5" s="12" t="s">
        <v>8316</v>
      </c>
      <c r="IQJ5" s="12" t="s">
        <v>8317</v>
      </c>
      <c r="IQK5" s="12" t="s">
        <v>8318</v>
      </c>
      <c r="IQL5" s="12" t="s">
        <v>8319</v>
      </c>
      <c r="IQM5" s="12" t="s">
        <v>8320</v>
      </c>
      <c r="IQN5" s="12" t="s">
        <v>8321</v>
      </c>
      <c r="IQO5" s="12" t="s">
        <v>8322</v>
      </c>
      <c r="IQP5" s="12" t="s">
        <v>8323</v>
      </c>
      <c r="IQQ5" s="12" t="s">
        <v>8324</v>
      </c>
      <c r="IQR5" s="12" t="s">
        <v>8325</v>
      </c>
      <c r="IQS5" s="12" t="s">
        <v>8326</v>
      </c>
      <c r="IQT5" s="12" t="s">
        <v>8327</v>
      </c>
      <c r="IQU5" s="12" t="s">
        <v>8328</v>
      </c>
      <c r="IQV5" s="12" t="s">
        <v>8329</v>
      </c>
      <c r="IQW5" s="12" t="s">
        <v>8330</v>
      </c>
      <c r="IQX5" s="12" t="s">
        <v>8331</v>
      </c>
      <c r="IQY5" s="12" t="s">
        <v>8332</v>
      </c>
      <c r="IQZ5" s="12" t="s">
        <v>8333</v>
      </c>
      <c r="IRA5" s="12" t="s">
        <v>8334</v>
      </c>
      <c r="IRB5" s="12" t="s">
        <v>8335</v>
      </c>
      <c r="IRC5" s="12" t="s">
        <v>8336</v>
      </c>
      <c r="IRD5" s="12" t="s">
        <v>8337</v>
      </c>
      <c r="IRE5" s="12" t="s">
        <v>8338</v>
      </c>
      <c r="IRF5" s="12" t="s">
        <v>8339</v>
      </c>
      <c r="IRG5" s="12" t="s">
        <v>8340</v>
      </c>
      <c r="IRH5" s="12" t="s">
        <v>8341</v>
      </c>
      <c r="IRI5" s="12" t="s">
        <v>8342</v>
      </c>
      <c r="IRJ5" s="12" t="s">
        <v>8343</v>
      </c>
      <c r="IRK5" s="12" t="s">
        <v>8344</v>
      </c>
      <c r="IRL5" s="12" t="s">
        <v>8345</v>
      </c>
      <c r="IRM5" s="12" t="s">
        <v>8346</v>
      </c>
      <c r="IRN5" s="12" t="s">
        <v>8347</v>
      </c>
      <c r="IRO5" s="12" t="s">
        <v>8348</v>
      </c>
      <c r="IRP5" s="12" t="s">
        <v>8349</v>
      </c>
      <c r="IRQ5" s="12" t="s">
        <v>8350</v>
      </c>
      <c r="IRR5" s="12" t="s">
        <v>8351</v>
      </c>
      <c r="IRS5" s="12" t="s">
        <v>8352</v>
      </c>
      <c r="IRT5" s="12" t="s">
        <v>8353</v>
      </c>
      <c r="IRU5" s="12" t="s">
        <v>8354</v>
      </c>
      <c r="IRV5" s="12" t="s">
        <v>8355</v>
      </c>
      <c r="IRW5" s="12" t="s">
        <v>8356</v>
      </c>
      <c r="IRX5" s="12" t="s">
        <v>8357</v>
      </c>
      <c r="IRY5" s="12" t="s">
        <v>8358</v>
      </c>
      <c r="IRZ5" s="12" t="s">
        <v>8359</v>
      </c>
      <c r="ISA5" s="12" t="s">
        <v>8360</v>
      </c>
      <c r="ISB5" s="12" t="s">
        <v>8361</v>
      </c>
      <c r="ISC5" s="12" t="s">
        <v>8362</v>
      </c>
      <c r="ISD5" s="12" t="s">
        <v>8363</v>
      </c>
      <c r="ISE5" s="12" t="s">
        <v>8364</v>
      </c>
      <c r="ISF5" s="12" t="s">
        <v>8365</v>
      </c>
      <c r="ISG5" s="12" t="s">
        <v>8366</v>
      </c>
      <c r="ISH5" s="12" t="s">
        <v>8367</v>
      </c>
      <c r="ISI5" s="12" t="s">
        <v>8368</v>
      </c>
      <c r="ISJ5" s="12" t="s">
        <v>8369</v>
      </c>
      <c r="ISK5" s="12" t="s">
        <v>8370</v>
      </c>
      <c r="ISL5" s="12" t="s">
        <v>8371</v>
      </c>
      <c r="ISM5" s="12" t="s">
        <v>8372</v>
      </c>
      <c r="ISN5" s="12" t="s">
        <v>8373</v>
      </c>
      <c r="ISO5" s="12" t="s">
        <v>8374</v>
      </c>
      <c r="ISP5" s="12" t="s">
        <v>8375</v>
      </c>
      <c r="ISQ5" s="12" t="s">
        <v>8376</v>
      </c>
      <c r="ISR5" s="12" t="s">
        <v>8377</v>
      </c>
      <c r="ISS5" s="12" t="s">
        <v>8378</v>
      </c>
      <c r="IST5" s="12" t="s">
        <v>8379</v>
      </c>
      <c r="ISU5" s="12" t="s">
        <v>8380</v>
      </c>
      <c r="ISV5" s="12" t="s">
        <v>8381</v>
      </c>
      <c r="ISW5" s="12" t="s">
        <v>8382</v>
      </c>
      <c r="ISX5" s="12" t="s">
        <v>8383</v>
      </c>
      <c r="ISY5" s="12" t="s">
        <v>8384</v>
      </c>
      <c r="ISZ5" s="12" t="s">
        <v>8385</v>
      </c>
      <c r="ITA5" s="12" t="s">
        <v>8386</v>
      </c>
      <c r="ITB5" s="12" t="s">
        <v>8387</v>
      </c>
      <c r="ITC5" s="12" t="s">
        <v>8388</v>
      </c>
      <c r="ITD5" s="12" t="s">
        <v>8389</v>
      </c>
      <c r="ITE5" s="12" t="s">
        <v>8390</v>
      </c>
      <c r="ITF5" s="12" t="s">
        <v>8391</v>
      </c>
      <c r="ITG5" s="12" t="s">
        <v>8392</v>
      </c>
      <c r="ITH5" s="12" t="s">
        <v>8393</v>
      </c>
      <c r="ITI5" s="12" t="s">
        <v>8394</v>
      </c>
      <c r="ITJ5" s="12" t="s">
        <v>8395</v>
      </c>
      <c r="ITK5" s="12" t="s">
        <v>8396</v>
      </c>
      <c r="ITL5" s="12" t="s">
        <v>8397</v>
      </c>
      <c r="ITM5" s="12" t="s">
        <v>8398</v>
      </c>
      <c r="ITN5" s="12" t="s">
        <v>8399</v>
      </c>
      <c r="ITO5" s="12" t="s">
        <v>8400</v>
      </c>
      <c r="ITP5" s="12" t="s">
        <v>8401</v>
      </c>
      <c r="ITQ5" s="12" t="s">
        <v>8402</v>
      </c>
      <c r="ITR5" s="12" t="s">
        <v>8403</v>
      </c>
      <c r="ITS5" s="12" t="s">
        <v>8404</v>
      </c>
      <c r="ITT5" s="12" t="s">
        <v>8405</v>
      </c>
      <c r="ITU5" s="12" t="s">
        <v>8406</v>
      </c>
      <c r="ITV5" s="12" t="s">
        <v>8407</v>
      </c>
      <c r="ITW5" s="12" t="s">
        <v>8408</v>
      </c>
      <c r="ITX5" s="12" t="s">
        <v>8409</v>
      </c>
      <c r="ITY5" s="12" t="s">
        <v>8410</v>
      </c>
      <c r="ITZ5" s="12" t="s">
        <v>8411</v>
      </c>
      <c r="IUA5" s="12" t="s">
        <v>8412</v>
      </c>
      <c r="IUB5" s="12" t="s">
        <v>8413</v>
      </c>
      <c r="IUC5" s="12" t="s">
        <v>8414</v>
      </c>
      <c r="IUD5" s="12" t="s">
        <v>8415</v>
      </c>
      <c r="IUE5" s="12" t="s">
        <v>8416</v>
      </c>
      <c r="IUF5" s="12" t="s">
        <v>8417</v>
      </c>
      <c r="IUG5" s="12" t="s">
        <v>8418</v>
      </c>
      <c r="IUH5" s="12" t="s">
        <v>8419</v>
      </c>
      <c r="IUI5" s="12" t="s">
        <v>8420</v>
      </c>
      <c r="IUJ5" s="12" t="s">
        <v>8421</v>
      </c>
      <c r="IUK5" s="12" t="s">
        <v>8422</v>
      </c>
      <c r="IUL5" s="12" t="s">
        <v>8423</v>
      </c>
      <c r="IUM5" s="12" t="s">
        <v>8424</v>
      </c>
      <c r="IUN5" s="12" t="s">
        <v>8425</v>
      </c>
      <c r="IUO5" s="12" t="s">
        <v>8426</v>
      </c>
      <c r="IUP5" s="12" t="s">
        <v>8427</v>
      </c>
      <c r="IUQ5" s="12" t="s">
        <v>8428</v>
      </c>
      <c r="IUR5" s="12" t="s">
        <v>8429</v>
      </c>
      <c r="IUS5" s="12" t="s">
        <v>8430</v>
      </c>
      <c r="IUT5" s="12" t="s">
        <v>8431</v>
      </c>
      <c r="IUU5" s="12" t="s">
        <v>8432</v>
      </c>
      <c r="IUV5" s="12" t="s">
        <v>8433</v>
      </c>
      <c r="IUW5" s="12" t="s">
        <v>8434</v>
      </c>
      <c r="IUX5" s="12" t="s">
        <v>8435</v>
      </c>
      <c r="IUY5" s="12" t="s">
        <v>8436</v>
      </c>
      <c r="IUZ5" s="12" t="s">
        <v>8437</v>
      </c>
      <c r="IVA5" s="12" t="s">
        <v>8438</v>
      </c>
      <c r="IVB5" s="12" t="s">
        <v>8439</v>
      </c>
      <c r="IVC5" s="12" t="s">
        <v>8440</v>
      </c>
      <c r="IVD5" s="12" t="s">
        <v>8441</v>
      </c>
      <c r="IVE5" s="12" t="s">
        <v>8442</v>
      </c>
      <c r="IVF5" s="12" t="s">
        <v>8443</v>
      </c>
      <c r="IVG5" s="12" t="s">
        <v>8444</v>
      </c>
      <c r="IVH5" s="12" t="s">
        <v>8445</v>
      </c>
      <c r="IVI5" s="12" t="s">
        <v>8446</v>
      </c>
      <c r="IVJ5" s="12" t="s">
        <v>8447</v>
      </c>
      <c r="IVK5" s="12" t="s">
        <v>8448</v>
      </c>
      <c r="IVL5" s="12" t="s">
        <v>8449</v>
      </c>
      <c r="IVM5" s="12" t="s">
        <v>8450</v>
      </c>
      <c r="IVN5" s="12" t="s">
        <v>8451</v>
      </c>
      <c r="IVO5" s="12" t="s">
        <v>8452</v>
      </c>
      <c r="IVP5" s="12" t="s">
        <v>8453</v>
      </c>
      <c r="IVQ5" s="12" t="s">
        <v>8454</v>
      </c>
      <c r="IVR5" s="12" t="s">
        <v>8455</v>
      </c>
      <c r="IVS5" s="12" t="s">
        <v>8456</v>
      </c>
      <c r="IVT5" s="12" t="s">
        <v>8457</v>
      </c>
      <c r="IVU5" s="12" t="s">
        <v>8458</v>
      </c>
      <c r="IVV5" s="12" t="s">
        <v>8459</v>
      </c>
      <c r="IVW5" s="12" t="s">
        <v>8460</v>
      </c>
      <c r="IVX5" s="12" t="s">
        <v>8461</v>
      </c>
      <c r="IVY5" s="12" t="s">
        <v>8462</v>
      </c>
      <c r="IVZ5" s="12" t="s">
        <v>8463</v>
      </c>
      <c r="IWA5" s="12" t="s">
        <v>8464</v>
      </c>
      <c r="IWB5" s="12" t="s">
        <v>8465</v>
      </c>
      <c r="IWC5" s="12" t="s">
        <v>8466</v>
      </c>
      <c r="IWD5" s="12" t="s">
        <v>8467</v>
      </c>
      <c r="IWE5" s="12" t="s">
        <v>8468</v>
      </c>
      <c r="IWF5" s="12" t="s">
        <v>8469</v>
      </c>
      <c r="IWG5" s="12" t="s">
        <v>8470</v>
      </c>
      <c r="IWH5" s="12" t="s">
        <v>8471</v>
      </c>
      <c r="IWI5" s="12" t="s">
        <v>8472</v>
      </c>
      <c r="IWJ5" s="12" t="s">
        <v>8473</v>
      </c>
      <c r="IWK5" s="12" t="s">
        <v>8474</v>
      </c>
      <c r="IWL5" s="12" t="s">
        <v>8475</v>
      </c>
      <c r="IWM5" s="12" t="s">
        <v>8476</v>
      </c>
      <c r="IWN5" s="12" t="s">
        <v>8477</v>
      </c>
      <c r="IWO5" s="12" t="s">
        <v>8478</v>
      </c>
      <c r="IWP5" s="12" t="s">
        <v>8479</v>
      </c>
      <c r="IWQ5" s="12" t="s">
        <v>8480</v>
      </c>
      <c r="IWR5" s="12" t="s">
        <v>8481</v>
      </c>
      <c r="IWS5" s="12" t="s">
        <v>8482</v>
      </c>
      <c r="IWT5" s="12" t="s">
        <v>8483</v>
      </c>
      <c r="IWU5" s="12" t="s">
        <v>8484</v>
      </c>
      <c r="IWV5" s="12" t="s">
        <v>8485</v>
      </c>
      <c r="IWW5" s="12" t="s">
        <v>8486</v>
      </c>
      <c r="IWX5" s="12" t="s">
        <v>8487</v>
      </c>
      <c r="IWY5" s="12" t="s">
        <v>8488</v>
      </c>
      <c r="IWZ5" s="12" t="s">
        <v>8489</v>
      </c>
      <c r="IXA5" s="12" t="s">
        <v>8490</v>
      </c>
      <c r="IXB5" s="12" t="s">
        <v>8491</v>
      </c>
      <c r="IXC5" s="12" t="s">
        <v>8492</v>
      </c>
      <c r="IXD5" s="12" t="s">
        <v>8493</v>
      </c>
      <c r="IXE5" s="12" t="s">
        <v>8494</v>
      </c>
      <c r="IXF5" s="12" t="s">
        <v>8495</v>
      </c>
      <c r="IXG5" s="12" t="s">
        <v>8496</v>
      </c>
      <c r="IXH5" s="12" t="s">
        <v>8497</v>
      </c>
      <c r="IXI5" s="12" t="s">
        <v>8498</v>
      </c>
      <c r="IXJ5" s="12" t="s">
        <v>8499</v>
      </c>
      <c r="IXK5" s="12" t="s">
        <v>8500</v>
      </c>
      <c r="IXL5" s="12" t="s">
        <v>8501</v>
      </c>
      <c r="IXM5" s="12" t="s">
        <v>8502</v>
      </c>
      <c r="IXN5" s="12" t="s">
        <v>8503</v>
      </c>
      <c r="IXO5" s="12" t="s">
        <v>8504</v>
      </c>
      <c r="IXP5" s="12" t="s">
        <v>8505</v>
      </c>
      <c r="IXQ5" s="12" t="s">
        <v>8506</v>
      </c>
      <c r="IXR5" s="12" t="s">
        <v>8507</v>
      </c>
      <c r="IXS5" s="12" t="s">
        <v>8508</v>
      </c>
      <c r="IXT5" s="12" t="s">
        <v>8509</v>
      </c>
      <c r="IXU5" s="12" t="s">
        <v>8510</v>
      </c>
      <c r="IXV5" s="12" t="s">
        <v>8511</v>
      </c>
      <c r="IXW5" s="12" t="s">
        <v>8512</v>
      </c>
      <c r="IXX5" s="12" t="s">
        <v>8513</v>
      </c>
      <c r="IXY5" s="12" t="s">
        <v>8514</v>
      </c>
      <c r="IXZ5" s="12" t="s">
        <v>8515</v>
      </c>
      <c r="IYA5" s="12" t="s">
        <v>8516</v>
      </c>
      <c r="IYB5" s="12" t="s">
        <v>8517</v>
      </c>
      <c r="IYC5" s="12" t="s">
        <v>8518</v>
      </c>
      <c r="IYD5" s="12" t="s">
        <v>8519</v>
      </c>
      <c r="IYE5" s="12" t="s">
        <v>8520</v>
      </c>
      <c r="IYF5" s="12" t="s">
        <v>8521</v>
      </c>
      <c r="IYG5" s="12" t="s">
        <v>8522</v>
      </c>
      <c r="IYH5" s="12" t="s">
        <v>8523</v>
      </c>
      <c r="IYI5" s="12" t="s">
        <v>8524</v>
      </c>
      <c r="IYJ5" s="12" t="s">
        <v>8525</v>
      </c>
      <c r="IYK5" s="12" t="s">
        <v>8526</v>
      </c>
      <c r="IYL5" s="12" t="s">
        <v>8527</v>
      </c>
      <c r="IYM5" s="12" t="s">
        <v>8528</v>
      </c>
      <c r="IYN5" s="12" t="s">
        <v>8529</v>
      </c>
      <c r="IYO5" s="12" t="s">
        <v>8530</v>
      </c>
      <c r="IYP5" s="12" t="s">
        <v>8531</v>
      </c>
      <c r="IYQ5" s="12" t="s">
        <v>8532</v>
      </c>
      <c r="IYR5" s="12" t="s">
        <v>8533</v>
      </c>
      <c r="IYS5" s="12" t="s">
        <v>8534</v>
      </c>
      <c r="IYT5" s="12" t="s">
        <v>8535</v>
      </c>
      <c r="IYU5" s="12" t="s">
        <v>8536</v>
      </c>
      <c r="IYV5" s="12" t="s">
        <v>8537</v>
      </c>
      <c r="IYW5" s="12" t="s">
        <v>8538</v>
      </c>
      <c r="IYX5" s="12" t="s">
        <v>8539</v>
      </c>
      <c r="IYY5" s="12" t="s">
        <v>8540</v>
      </c>
      <c r="IYZ5" s="12" t="s">
        <v>8541</v>
      </c>
      <c r="IZA5" s="12" t="s">
        <v>8542</v>
      </c>
      <c r="IZB5" s="12" t="s">
        <v>8543</v>
      </c>
      <c r="IZC5" s="12" t="s">
        <v>8544</v>
      </c>
      <c r="IZD5" s="12" t="s">
        <v>8545</v>
      </c>
      <c r="IZE5" s="12" t="s">
        <v>8546</v>
      </c>
      <c r="IZF5" s="12" t="s">
        <v>8547</v>
      </c>
      <c r="IZG5" s="12" t="s">
        <v>8548</v>
      </c>
      <c r="IZH5" s="12" t="s">
        <v>8549</v>
      </c>
      <c r="IZI5" s="12" t="s">
        <v>8550</v>
      </c>
      <c r="IZJ5" s="12" t="s">
        <v>8551</v>
      </c>
      <c r="IZK5" s="12" t="s">
        <v>8552</v>
      </c>
      <c r="IZL5" s="12" t="s">
        <v>8553</v>
      </c>
      <c r="IZM5" s="12" t="s">
        <v>8554</v>
      </c>
      <c r="IZN5" s="12" t="s">
        <v>8555</v>
      </c>
      <c r="IZO5" s="12" t="s">
        <v>8556</v>
      </c>
      <c r="IZP5" s="12" t="s">
        <v>8557</v>
      </c>
      <c r="IZQ5" s="12" t="s">
        <v>8558</v>
      </c>
      <c r="IZR5" s="12" t="s">
        <v>8559</v>
      </c>
      <c r="IZS5" s="12" t="s">
        <v>8560</v>
      </c>
      <c r="IZT5" s="12" t="s">
        <v>8561</v>
      </c>
      <c r="IZU5" s="12" t="s">
        <v>8562</v>
      </c>
      <c r="IZV5" s="12" t="s">
        <v>8563</v>
      </c>
      <c r="IZW5" s="12" t="s">
        <v>8564</v>
      </c>
      <c r="IZX5" s="12" t="s">
        <v>8565</v>
      </c>
      <c r="IZY5" s="12" t="s">
        <v>8566</v>
      </c>
      <c r="IZZ5" s="12" t="s">
        <v>8567</v>
      </c>
      <c r="JAA5" s="12" t="s">
        <v>8568</v>
      </c>
      <c r="JAB5" s="12" t="s">
        <v>8569</v>
      </c>
      <c r="JAC5" s="12" t="s">
        <v>8570</v>
      </c>
      <c r="JAD5" s="12" t="s">
        <v>8571</v>
      </c>
      <c r="JAE5" s="12" t="s">
        <v>8572</v>
      </c>
      <c r="JAF5" s="12" t="s">
        <v>8573</v>
      </c>
      <c r="JAG5" s="12" t="s">
        <v>8574</v>
      </c>
      <c r="JAH5" s="12" t="s">
        <v>8575</v>
      </c>
      <c r="JAI5" s="12" t="s">
        <v>8576</v>
      </c>
      <c r="JAJ5" s="12" t="s">
        <v>8577</v>
      </c>
      <c r="JAK5" s="12" t="s">
        <v>8578</v>
      </c>
      <c r="JAL5" s="12" t="s">
        <v>8579</v>
      </c>
      <c r="JAM5" s="12" t="s">
        <v>8580</v>
      </c>
      <c r="JAN5" s="12" t="s">
        <v>8581</v>
      </c>
      <c r="JAO5" s="12" t="s">
        <v>8582</v>
      </c>
      <c r="JAP5" s="12" t="s">
        <v>8583</v>
      </c>
      <c r="JAQ5" s="12" t="s">
        <v>8584</v>
      </c>
      <c r="JAR5" s="12" t="s">
        <v>8585</v>
      </c>
      <c r="JAS5" s="12" t="s">
        <v>8586</v>
      </c>
      <c r="JAT5" s="12" t="s">
        <v>8587</v>
      </c>
      <c r="JAU5" s="12" t="s">
        <v>8588</v>
      </c>
      <c r="JAV5" s="12" t="s">
        <v>8589</v>
      </c>
      <c r="JAW5" s="12" t="s">
        <v>8590</v>
      </c>
      <c r="JAX5" s="12" t="s">
        <v>8591</v>
      </c>
      <c r="JAY5" s="12" t="s">
        <v>8592</v>
      </c>
      <c r="JAZ5" s="12" t="s">
        <v>8593</v>
      </c>
      <c r="JBA5" s="12" t="s">
        <v>8594</v>
      </c>
      <c r="JBB5" s="12" t="s">
        <v>8595</v>
      </c>
      <c r="JBC5" s="12" t="s">
        <v>8596</v>
      </c>
      <c r="JBD5" s="12" t="s">
        <v>8597</v>
      </c>
      <c r="JBE5" s="12" t="s">
        <v>8598</v>
      </c>
      <c r="JBF5" s="12" t="s">
        <v>8599</v>
      </c>
      <c r="JBG5" s="12" t="s">
        <v>8600</v>
      </c>
      <c r="JBH5" s="12" t="s">
        <v>8601</v>
      </c>
      <c r="JBI5" s="12" t="s">
        <v>8602</v>
      </c>
      <c r="JBJ5" s="12" t="s">
        <v>8603</v>
      </c>
      <c r="JBK5" s="12" t="s">
        <v>8604</v>
      </c>
      <c r="JBL5" s="12" t="s">
        <v>8605</v>
      </c>
      <c r="JBM5" s="12" t="s">
        <v>8606</v>
      </c>
      <c r="JBN5" s="12" t="s">
        <v>8607</v>
      </c>
      <c r="JBO5" s="12" t="s">
        <v>8608</v>
      </c>
      <c r="JBP5" s="12" t="s">
        <v>8609</v>
      </c>
      <c r="JBQ5" s="12" t="s">
        <v>8610</v>
      </c>
      <c r="JBR5" s="12" t="s">
        <v>8611</v>
      </c>
      <c r="JBS5" s="12" t="s">
        <v>8612</v>
      </c>
      <c r="JBT5" s="12" t="s">
        <v>8613</v>
      </c>
      <c r="JBU5" s="12" t="s">
        <v>8614</v>
      </c>
      <c r="JBV5" s="12" t="s">
        <v>8615</v>
      </c>
      <c r="JBW5" s="12" t="s">
        <v>8616</v>
      </c>
      <c r="JBX5" s="12" t="s">
        <v>8617</v>
      </c>
      <c r="JBY5" s="12" t="s">
        <v>8618</v>
      </c>
      <c r="JBZ5" s="12" t="s">
        <v>8619</v>
      </c>
      <c r="JCA5" s="12" t="s">
        <v>8620</v>
      </c>
      <c r="JCB5" s="12" t="s">
        <v>8621</v>
      </c>
      <c r="JCC5" s="12" t="s">
        <v>8622</v>
      </c>
      <c r="JCD5" s="12" t="s">
        <v>8623</v>
      </c>
      <c r="JCE5" s="12" t="s">
        <v>8624</v>
      </c>
      <c r="JCF5" s="12" t="s">
        <v>8625</v>
      </c>
      <c r="JCG5" s="12" t="s">
        <v>8626</v>
      </c>
      <c r="JCH5" s="12" t="s">
        <v>8627</v>
      </c>
      <c r="JCI5" s="12" t="s">
        <v>8628</v>
      </c>
      <c r="JCJ5" s="12" t="s">
        <v>8629</v>
      </c>
      <c r="JCK5" s="12" t="s">
        <v>8630</v>
      </c>
      <c r="JCL5" s="12" t="s">
        <v>8631</v>
      </c>
      <c r="JCM5" s="12" t="s">
        <v>8632</v>
      </c>
      <c r="JCN5" s="12" t="s">
        <v>8633</v>
      </c>
      <c r="JCO5" s="12" t="s">
        <v>8634</v>
      </c>
      <c r="JCP5" s="12" t="s">
        <v>8635</v>
      </c>
      <c r="JCQ5" s="12" t="s">
        <v>8636</v>
      </c>
      <c r="JCR5" s="12" t="s">
        <v>8637</v>
      </c>
      <c r="JCS5" s="12" t="s">
        <v>8638</v>
      </c>
      <c r="JCT5" s="12" t="s">
        <v>8639</v>
      </c>
      <c r="JCU5" s="12" t="s">
        <v>8640</v>
      </c>
      <c r="JCV5" s="12" t="s">
        <v>8641</v>
      </c>
      <c r="JCW5" s="12" t="s">
        <v>8642</v>
      </c>
      <c r="JCX5" s="12" t="s">
        <v>8643</v>
      </c>
      <c r="JCY5" s="12" t="s">
        <v>8644</v>
      </c>
      <c r="JCZ5" s="12" t="s">
        <v>8645</v>
      </c>
      <c r="JDA5" s="12" t="s">
        <v>8646</v>
      </c>
      <c r="JDB5" s="12" t="s">
        <v>8647</v>
      </c>
      <c r="JDC5" s="12" t="s">
        <v>8648</v>
      </c>
      <c r="JDD5" s="12" t="s">
        <v>8649</v>
      </c>
      <c r="JDE5" s="12" t="s">
        <v>8650</v>
      </c>
      <c r="JDF5" s="12" t="s">
        <v>8651</v>
      </c>
      <c r="JDG5" s="12" t="s">
        <v>8652</v>
      </c>
      <c r="JDH5" s="12" t="s">
        <v>8653</v>
      </c>
      <c r="JDI5" s="12" t="s">
        <v>8654</v>
      </c>
      <c r="JDJ5" s="12" t="s">
        <v>8655</v>
      </c>
      <c r="JDK5" s="12" t="s">
        <v>8656</v>
      </c>
      <c r="JDL5" s="12" t="s">
        <v>8657</v>
      </c>
      <c r="JDM5" s="12" t="s">
        <v>8658</v>
      </c>
      <c r="JDN5" s="12" t="s">
        <v>8659</v>
      </c>
      <c r="JDO5" s="12" t="s">
        <v>8660</v>
      </c>
      <c r="JDP5" s="12" t="s">
        <v>8661</v>
      </c>
      <c r="JDQ5" s="12" t="s">
        <v>8662</v>
      </c>
      <c r="JDR5" s="12" t="s">
        <v>8663</v>
      </c>
      <c r="JDS5" s="12" t="s">
        <v>8664</v>
      </c>
      <c r="JDT5" s="12" t="s">
        <v>8665</v>
      </c>
      <c r="JDU5" s="12" t="s">
        <v>8666</v>
      </c>
      <c r="JDV5" s="12" t="s">
        <v>8667</v>
      </c>
      <c r="JDW5" s="12" t="s">
        <v>8668</v>
      </c>
      <c r="JDX5" s="12" t="s">
        <v>8669</v>
      </c>
      <c r="JDY5" s="12" t="s">
        <v>8670</v>
      </c>
      <c r="JDZ5" s="12" t="s">
        <v>8671</v>
      </c>
      <c r="JEA5" s="12" t="s">
        <v>8672</v>
      </c>
      <c r="JEB5" s="12" t="s">
        <v>8673</v>
      </c>
      <c r="JEC5" s="12" t="s">
        <v>8674</v>
      </c>
      <c r="JED5" s="12" t="s">
        <v>8675</v>
      </c>
      <c r="JEE5" s="12" t="s">
        <v>8676</v>
      </c>
      <c r="JEF5" s="12" t="s">
        <v>8677</v>
      </c>
      <c r="JEG5" s="12" t="s">
        <v>8678</v>
      </c>
      <c r="JEH5" s="12" t="s">
        <v>8679</v>
      </c>
      <c r="JEI5" s="12" t="s">
        <v>8680</v>
      </c>
      <c r="JEJ5" s="12" t="s">
        <v>8681</v>
      </c>
      <c r="JEK5" s="12" t="s">
        <v>8682</v>
      </c>
      <c r="JEL5" s="12" t="s">
        <v>8683</v>
      </c>
      <c r="JEM5" s="12" t="s">
        <v>8684</v>
      </c>
      <c r="JEN5" s="12" t="s">
        <v>8685</v>
      </c>
      <c r="JEO5" s="12" t="s">
        <v>8686</v>
      </c>
      <c r="JEP5" s="12" t="s">
        <v>8687</v>
      </c>
      <c r="JEQ5" s="12" t="s">
        <v>8688</v>
      </c>
      <c r="JER5" s="12" t="s">
        <v>8689</v>
      </c>
      <c r="JES5" s="12" t="s">
        <v>8690</v>
      </c>
      <c r="JET5" s="12" t="s">
        <v>8691</v>
      </c>
      <c r="JEU5" s="12" t="s">
        <v>8692</v>
      </c>
      <c r="JEV5" s="12" t="s">
        <v>8693</v>
      </c>
      <c r="JEW5" s="12" t="s">
        <v>8694</v>
      </c>
      <c r="JEX5" s="12" t="s">
        <v>8695</v>
      </c>
      <c r="JEY5" s="12" t="s">
        <v>8696</v>
      </c>
      <c r="JEZ5" s="12" t="s">
        <v>8697</v>
      </c>
      <c r="JFA5" s="12" t="s">
        <v>8698</v>
      </c>
      <c r="JFB5" s="12" t="s">
        <v>8699</v>
      </c>
      <c r="JFC5" s="12" t="s">
        <v>8700</v>
      </c>
      <c r="JFD5" s="12" t="s">
        <v>8701</v>
      </c>
      <c r="JFE5" s="12" t="s">
        <v>8702</v>
      </c>
      <c r="JFF5" s="12" t="s">
        <v>8703</v>
      </c>
      <c r="JFG5" s="12" t="s">
        <v>8704</v>
      </c>
      <c r="JFH5" s="12" t="s">
        <v>8705</v>
      </c>
      <c r="JFI5" s="12" t="s">
        <v>8706</v>
      </c>
      <c r="JFJ5" s="12" t="s">
        <v>8707</v>
      </c>
      <c r="JFK5" s="12" t="s">
        <v>8708</v>
      </c>
      <c r="JFL5" s="12" t="s">
        <v>8709</v>
      </c>
      <c r="JFM5" s="12" t="s">
        <v>8710</v>
      </c>
      <c r="JFN5" s="12" t="s">
        <v>8711</v>
      </c>
      <c r="JFO5" s="12" t="s">
        <v>8712</v>
      </c>
      <c r="JFP5" s="12" t="s">
        <v>8713</v>
      </c>
      <c r="JFQ5" s="12" t="s">
        <v>8714</v>
      </c>
      <c r="JFR5" s="12" t="s">
        <v>8715</v>
      </c>
      <c r="JFS5" s="12" t="s">
        <v>8716</v>
      </c>
      <c r="JFT5" s="12" t="s">
        <v>8717</v>
      </c>
      <c r="JFU5" s="12" t="s">
        <v>8718</v>
      </c>
      <c r="JFV5" s="12" t="s">
        <v>8719</v>
      </c>
      <c r="JFW5" s="12" t="s">
        <v>8720</v>
      </c>
      <c r="JFX5" s="12" t="s">
        <v>8721</v>
      </c>
      <c r="JFY5" s="12" t="s">
        <v>8722</v>
      </c>
      <c r="JFZ5" s="12" t="s">
        <v>8723</v>
      </c>
      <c r="JGA5" s="12" t="s">
        <v>8724</v>
      </c>
      <c r="JGB5" s="12" t="s">
        <v>8725</v>
      </c>
      <c r="JGC5" s="12" t="s">
        <v>8726</v>
      </c>
      <c r="JGD5" s="12" t="s">
        <v>8727</v>
      </c>
      <c r="JGE5" s="12" t="s">
        <v>8728</v>
      </c>
      <c r="JGF5" s="12" t="s">
        <v>8729</v>
      </c>
      <c r="JGG5" s="12" t="s">
        <v>8730</v>
      </c>
      <c r="JGH5" s="12" t="s">
        <v>8731</v>
      </c>
      <c r="JGI5" s="12" t="s">
        <v>8732</v>
      </c>
      <c r="JGJ5" s="12" t="s">
        <v>8733</v>
      </c>
      <c r="JGK5" s="12" t="s">
        <v>8734</v>
      </c>
      <c r="JGL5" s="12" t="s">
        <v>8735</v>
      </c>
      <c r="JGM5" s="12" t="s">
        <v>8736</v>
      </c>
      <c r="JGN5" s="12" t="s">
        <v>8737</v>
      </c>
      <c r="JGO5" s="12" t="s">
        <v>8738</v>
      </c>
      <c r="JGP5" s="12" t="s">
        <v>8739</v>
      </c>
      <c r="JGQ5" s="12" t="s">
        <v>8740</v>
      </c>
      <c r="JGR5" s="12" t="s">
        <v>8741</v>
      </c>
      <c r="JGS5" s="12" t="s">
        <v>8742</v>
      </c>
      <c r="JGT5" s="12" t="s">
        <v>8743</v>
      </c>
      <c r="JGU5" s="12" t="s">
        <v>8744</v>
      </c>
      <c r="JGV5" s="12" t="s">
        <v>8745</v>
      </c>
      <c r="JGW5" s="12" t="s">
        <v>8746</v>
      </c>
      <c r="JGX5" s="12" t="s">
        <v>8747</v>
      </c>
      <c r="JGY5" s="12" t="s">
        <v>8748</v>
      </c>
      <c r="JGZ5" s="12" t="s">
        <v>8749</v>
      </c>
      <c r="JHA5" s="12" t="s">
        <v>8750</v>
      </c>
      <c r="JHB5" s="12" t="s">
        <v>8751</v>
      </c>
      <c r="JHC5" s="12" t="s">
        <v>8752</v>
      </c>
      <c r="JHD5" s="12" t="s">
        <v>8753</v>
      </c>
      <c r="JHE5" s="12" t="s">
        <v>8754</v>
      </c>
      <c r="JHF5" s="12" t="s">
        <v>8755</v>
      </c>
      <c r="JHG5" s="12" t="s">
        <v>8756</v>
      </c>
      <c r="JHH5" s="12" t="s">
        <v>8757</v>
      </c>
      <c r="JHI5" s="12" t="s">
        <v>8758</v>
      </c>
      <c r="JHJ5" s="12" t="s">
        <v>8759</v>
      </c>
      <c r="JHK5" s="12" t="s">
        <v>8760</v>
      </c>
      <c r="JHL5" s="12" t="s">
        <v>8761</v>
      </c>
      <c r="JHM5" s="12" t="s">
        <v>8762</v>
      </c>
      <c r="JHN5" s="12" t="s">
        <v>8763</v>
      </c>
      <c r="JHO5" s="12" t="s">
        <v>8764</v>
      </c>
      <c r="JHP5" s="12" t="s">
        <v>8765</v>
      </c>
      <c r="JHQ5" s="12" t="s">
        <v>8766</v>
      </c>
      <c r="JHR5" s="12" t="s">
        <v>8767</v>
      </c>
      <c r="JHS5" s="12" t="s">
        <v>8768</v>
      </c>
      <c r="JHT5" s="12" t="s">
        <v>8769</v>
      </c>
      <c r="JHU5" s="12" t="s">
        <v>8770</v>
      </c>
      <c r="JHV5" s="12" t="s">
        <v>8771</v>
      </c>
      <c r="JHW5" s="12" t="s">
        <v>8772</v>
      </c>
      <c r="JHX5" s="12" t="s">
        <v>8773</v>
      </c>
      <c r="JHY5" s="12" t="s">
        <v>8774</v>
      </c>
      <c r="JHZ5" s="12" t="s">
        <v>8775</v>
      </c>
      <c r="JIA5" s="12" t="s">
        <v>8776</v>
      </c>
      <c r="JIB5" s="12" t="s">
        <v>8777</v>
      </c>
      <c r="JIC5" s="12" t="s">
        <v>8778</v>
      </c>
      <c r="JID5" s="12" t="s">
        <v>8779</v>
      </c>
      <c r="JIE5" s="12" t="s">
        <v>8780</v>
      </c>
      <c r="JIF5" s="12" t="s">
        <v>8781</v>
      </c>
      <c r="JIG5" s="12" t="s">
        <v>8782</v>
      </c>
      <c r="JIH5" s="12" t="s">
        <v>8783</v>
      </c>
      <c r="JII5" s="12" t="s">
        <v>8784</v>
      </c>
      <c r="JIJ5" s="12" t="s">
        <v>8785</v>
      </c>
      <c r="JIK5" s="12" t="s">
        <v>8786</v>
      </c>
      <c r="JIL5" s="12" t="s">
        <v>8787</v>
      </c>
      <c r="JIM5" s="12" t="s">
        <v>8788</v>
      </c>
      <c r="JIN5" s="12" t="s">
        <v>8789</v>
      </c>
      <c r="JIO5" s="12" t="s">
        <v>8790</v>
      </c>
      <c r="JIP5" s="12" t="s">
        <v>8791</v>
      </c>
      <c r="JIQ5" s="12" t="s">
        <v>8792</v>
      </c>
      <c r="JIR5" s="12" t="s">
        <v>8793</v>
      </c>
      <c r="JIS5" s="12" t="s">
        <v>8794</v>
      </c>
      <c r="JIT5" s="12" t="s">
        <v>8795</v>
      </c>
      <c r="JIU5" s="12" t="s">
        <v>8796</v>
      </c>
      <c r="JIV5" s="12" t="s">
        <v>8797</v>
      </c>
      <c r="JIW5" s="12" t="s">
        <v>8798</v>
      </c>
      <c r="JIX5" s="12" t="s">
        <v>8799</v>
      </c>
      <c r="JIY5" s="12" t="s">
        <v>8800</v>
      </c>
      <c r="JIZ5" s="12" t="s">
        <v>8801</v>
      </c>
      <c r="JJA5" s="12" t="s">
        <v>8802</v>
      </c>
      <c r="JJB5" s="12" t="s">
        <v>8803</v>
      </c>
      <c r="JJC5" s="12" t="s">
        <v>8804</v>
      </c>
      <c r="JJD5" s="12" t="s">
        <v>8805</v>
      </c>
      <c r="JJE5" s="12" t="s">
        <v>8806</v>
      </c>
      <c r="JJF5" s="12" t="s">
        <v>8807</v>
      </c>
      <c r="JJG5" s="12" t="s">
        <v>8808</v>
      </c>
      <c r="JJH5" s="12" t="s">
        <v>8809</v>
      </c>
      <c r="JJI5" s="12" t="s">
        <v>8810</v>
      </c>
      <c r="JJJ5" s="12" t="s">
        <v>8811</v>
      </c>
      <c r="JJK5" s="12" t="s">
        <v>8812</v>
      </c>
      <c r="JJL5" s="12" t="s">
        <v>8813</v>
      </c>
      <c r="JJM5" s="12" t="s">
        <v>8814</v>
      </c>
      <c r="JJN5" s="12" t="s">
        <v>8815</v>
      </c>
      <c r="JJO5" s="12" t="s">
        <v>8816</v>
      </c>
      <c r="JJP5" s="12" t="s">
        <v>8817</v>
      </c>
      <c r="JJQ5" s="12" t="s">
        <v>8818</v>
      </c>
      <c r="JJR5" s="12" t="s">
        <v>8819</v>
      </c>
      <c r="JJS5" s="12" t="s">
        <v>8820</v>
      </c>
      <c r="JJT5" s="12" t="s">
        <v>8821</v>
      </c>
      <c r="JJU5" s="12" t="s">
        <v>8822</v>
      </c>
      <c r="JJV5" s="12" t="s">
        <v>8823</v>
      </c>
      <c r="JJW5" s="12" t="s">
        <v>8824</v>
      </c>
      <c r="JJX5" s="12" t="s">
        <v>8825</v>
      </c>
      <c r="JJY5" s="12" t="s">
        <v>8826</v>
      </c>
      <c r="JJZ5" s="12" t="s">
        <v>8827</v>
      </c>
      <c r="JKA5" s="12" t="s">
        <v>8828</v>
      </c>
      <c r="JKB5" s="12" t="s">
        <v>8829</v>
      </c>
      <c r="JKC5" s="12" t="s">
        <v>8830</v>
      </c>
      <c r="JKD5" s="12" t="s">
        <v>8831</v>
      </c>
      <c r="JKE5" s="12" t="s">
        <v>8832</v>
      </c>
      <c r="JKF5" s="12" t="s">
        <v>8833</v>
      </c>
      <c r="JKG5" s="12" t="s">
        <v>8834</v>
      </c>
      <c r="JKH5" s="12" t="s">
        <v>8835</v>
      </c>
      <c r="JKI5" s="12" t="s">
        <v>8836</v>
      </c>
      <c r="JKJ5" s="12" t="s">
        <v>8837</v>
      </c>
      <c r="JKK5" s="12" t="s">
        <v>8838</v>
      </c>
      <c r="JKL5" s="12" t="s">
        <v>8839</v>
      </c>
      <c r="JKM5" s="12" t="s">
        <v>8840</v>
      </c>
      <c r="JKN5" s="12" t="s">
        <v>8841</v>
      </c>
      <c r="JKO5" s="12" t="s">
        <v>8842</v>
      </c>
      <c r="JKP5" s="12" t="s">
        <v>8843</v>
      </c>
      <c r="JKQ5" s="12" t="s">
        <v>8844</v>
      </c>
      <c r="JKR5" s="12" t="s">
        <v>8845</v>
      </c>
      <c r="JKS5" s="12" t="s">
        <v>8846</v>
      </c>
      <c r="JKT5" s="12" t="s">
        <v>8847</v>
      </c>
      <c r="JKU5" s="12" t="s">
        <v>8848</v>
      </c>
      <c r="JKV5" s="12" t="s">
        <v>8849</v>
      </c>
      <c r="JKW5" s="12" t="s">
        <v>8850</v>
      </c>
      <c r="JKX5" s="12" t="s">
        <v>8851</v>
      </c>
      <c r="JKY5" s="12" t="s">
        <v>8852</v>
      </c>
      <c r="JKZ5" s="12" t="s">
        <v>8853</v>
      </c>
      <c r="JLA5" s="12" t="s">
        <v>8854</v>
      </c>
      <c r="JLB5" s="12" t="s">
        <v>8855</v>
      </c>
      <c r="JLC5" s="12" t="s">
        <v>8856</v>
      </c>
      <c r="JLD5" s="12" t="s">
        <v>8857</v>
      </c>
      <c r="JLE5" s="12" t="s">
        <v>8858</v>
      </c>
      <c r="JLF5" s="12" t="s">
        <v>8859</v>
      </c>
      <c r="JLG5" s="12" t="s">
        <v>8860</v>
      </c>
      <c r="JLH5" s="12" t="s">
        <v>8861</v>
      </c>
      <c r="JLI5" s="12" t="s">
        <v>8862</v>
      </c>
      <c r="JLJ5" s="12" t="s">
        <v>8863</v>
      </c>
      <c r="JLK5" s="12" t="s">
        <v>8864</v>
      </c>
      <c r="JLL5" s="12" t="s">
        <v>8865</v>
      </c>
      <c r="JLM5" s="12" t="s">
        <v>8866</v>
      </c>
      <c r="JLN5" s="12" t="s">
        <v>8867</v>
      </c>
      <c r="JLO5" s="12" t="s">
        <v>8868</v>
      </c>
      <c r="JLP5" s="12" t="s">
        <v>8869</v>
      </c>
      <c r="JLQ5" s="12" t="s">
        <v>8870</v>
      </c>
      <c r="JLR5" s="12" t="s">
        <v>8871</v>
      </c>
      <c r="JLS5" s="12" t="s">
        <v>8872</v>
      </c>
      <c r="JLT5" s="12" t="s">
        <v>8873</v>
      </c>
      <c r="JLU5" s="12" t="s">
        <v>8874</v>
      </c>
      <c r="JLV5" s="12" t="s">
        <v>8875</v>
      </c>
      <c r="JLW5" s="12" t="s">
        <v>8876</v>
      </c>
      <c r="JLX5" s="12" t="s">
        <v>8877</v>
      </c>
      <c r="JLY5" s="12" t="s">
        <v>8878</v>
      </c>
      <c r="JLZ5" s="12" t="s">
        <v>8879</v>
      </c>
      <c r="JMA5" s="12" t="s">
        <v>8880</v>
      </c>
      <c r="JMB5" s="12" t="s">
        <v>8881</v>
      </c>
      <c r="JMC5" s="12" t="s">
        <v>8882</v>
      </c>
      <c r="JMD5" s="12" t="s">
        <v>8883</v>
      </c>
      <c r="JME5" s="12" t="s">
        <v>8884</v>
      </c>
      <c r="JMF5" s="12" t="s">
        <v>8885</v>
      </c>
      <c r="JMG5" s="12" t="s">
        <v>8886</v>
      </c>
      <c r="JMH5" s="12" t="s">
        <v>8887</v>
      </c>
      <c r="JMI5" s="12" t="s">
        <v>8888</v>
      </c>
      <c r="JMJ5" s="12" t="s">
        <v>8889</v>
      </c>
      <c r="JMK5" s="12" t="s">
        <v>8890</v>
      </c>
      <c r="JML5" s="12" t="s">
        <v>8891</v>
      </c>
      <c r="JMM5" s="12" t="s">
        <v>8892</v>
      </c>
      <c r="JMN5" s="12" t="s">
        <v>8893</v>
      </c>
      <c r="JMO5" s="12" t="s">
        <v>8894</v>
      </c>
      <c r="JMP5" s="12" t="s">
        <v>8895</v>
      </c>
      <c r="JMQ5" s="12" t="s">
        <v>8896</v>
      </c>
      <c r="JMR5" s="12" t="s">
        <v>8897</v>
      </c>
      <c r="JMS5" s="12" t="s">
        <v>8898</v>
      </c>
      <c r="JMT5" s="12" t="s">
        <v>8899</v>
      </c>
      <c r="JMU5" s="12" t="s">
        <v>8900</v>
      </c>
      <c r="JMV5" s="12" t="s">
        <v>8901</v>
      </c>
      <c r="JMW5" s="12" t="s">
        <v>8902</v>
      </c>
      <c r="JMX5" s="12" t="s">
        <v>8903</v>
      </c>
      <c r="JMY5" s="12" t="s">
        <v>8904</v>
      </c>
      <c r="JMZ5" s="12" t="s">
        <v>8905</v>
      </c>
      <c r="JNA5" s="12" t="s">
        <v>8906</v>
      </c>
      <c r="JNB5" s="12" t="s">
        <v>8907</v>
      </c>
      <c r="JNC5" s="12" t="s">
        <v>8908</v>
      </c>
      <c r="JND5" s="12" t="s">
        <v>8909</v>
      </c>
      <c r="JNE5" s="12" t="s">
        <v>8910</v>
      </c>
      <c r="JNF5" s="12" t="s">
        <v>8911</v>
      </c>
      <c r="JNG5" s="12" t="s">
        <v>8912</v>
      </c>
      <c r="JNH5" s="12" t="s">
        <v>8913</v>
      </c>
      <c r="JNI5" s="12" t="s">
        <v>8914</v>
      </c>
      <c r="JNJ5" s="12" t="s">
        <v>8915</v>
      </c>
      <c r="JNK5" s="12" t="s">
        <v>8916</v>
      </c>
      <c r="JNL5" s="12" t="s">
        <v>8917</v>
      </c>
      <c r="JNM5" s="12" t="s">
        <v>8918</v>
      </c>
      <c r="JNN5" s="12" t="s">
        <v>8919</v>
      </c>
      <c r="JNO5" s="12" t="s">
        <v>8920</v>
      </c>
      <c r="JNP5" s="12" t="s">
        <v>8921</v>
      </c>
      <c r="JNQ5" s="12" t="s">
        <v>8922</v>
      </c>
      <c r="JNR5" s="12" t="s">
        <v>8923</v>
      </c>
      <c r="JNS5" s="12" t="s">
        <v>8924</v>
      </c>
      <c r="JNT5" s="12" t="s">
        <v>8925</v>
      </c>
      <c r="JNU5" s="12" t="s">
        <v>8926</v>
      </c>
      <c r="JNV5" s="12" t="s">
        <v>8927</v>
      </c>
      <c r="JNW5" s="12" t="s">
        <v>8928</v>
      </c>
      <c r="JNX5" s="12" t="s">
        <v>8929</v>
      </c>
      <c r="JNY5" s="12" t="s">
        <v>8930</v>
      </c>
      <c r="JNZ5" s="12" t="s">
        <v>8931</v>
      </c>
      <c r="JOA5" s="12" t="s">
        <v>8932</v>
      </c>
      <c r="JOB5" s="12" t="s">
        <v>8933</v>
      </c>
      <c r="JOC5" s="12" t="s">
        <v>8934</v>
      </c>
      <c r="JOD5" s="12" t="s">
        <v>8935</v>
      </c>
      <c r="JOE5" s="12" t="s">
        <v>8936</v>
      </c>
      <c r="JOF5" s="12" t="s">
        <v>8937</v>
      </c>
      <c r="JOG5" s="12" t="s">
        <v>8938</v>
      </c>
      <c r="JOH5" s="12" t="s">
        <v>8939</v>
      </c>
      <c r="JOI5" s="12" t="s">
        <v>8940</v>
      </c>
      <c r="JOJ5" s="12" t="s">
        <v>8941</v>
      </c>
      <c r="JOK5" s="12" t="s">
        <v>8942</v>
      </c>
      <c r="JOL5" s="12" t="s">
        <v>8943</v>
      </c>
      <c r="JOM5" s="12" t="s">
        <v>8944</v>
      </c>
      <c r="JON5" s="12" t="s">
        <v>8945</v>
      </c>
      <c r="JOO5" s="12" t="s">
        <v>8946</v>
      </c>
      <c r="JOP5" s="12" t="s">
        <v>8947</v>
      </c>
      <c r="JOQ5" s="12" t="s">
        <v>8948</v>
      </c>
      <c r="JOR5" s="12" t="s">
        <v>8949</v>
      </c>
      <c r="JOS5" s="12" t="s">
        <v>8950</v>
      </c>
      <c r="JOT5" s="12" t="s">
        <v>8951</v>
      </c>
      <c r="JOU5" s="12" t="s">
        <v>8952</v>
      </c>
      <c r="JOV5" s="12" t="s">
        <v>8953</v>
      </c>
      <c r="JOW5" s="12" t="s">
        <v>8954</v>
      </c>
      <c r="JOX5" s="12" t="s">
        <v>8955</v>
      </c>
      <c r="JOY5" s="12" t="s">
        <v>8956</v>
      </c>
      <c r="JOZ5" s="12" t="s">
        <v>8957</v>
      </c>
      <c r="JPA5" s="12" t="s">
        <v>8958</v>
      </c>
      <c r="JPB5" s="12" t="s">
        <v>8959</v>
      </c>
      <c r="JPC5" s="12" t="s">
        <v>8960</v>
      </c>
      <c r="JPD5" s="12" t="s">
        <v>8961</v>
      </c>
      <c r="JPE5" s="12" t="s">
        <v>8962</v>
      </c>
      <c r="JPF5" s="12" t="s">
        <v>8963</v>
      </c>
      <c r="JPG5" s="12" t="s">
        <v>8964</v>
      </c>
      <c r="JPH5" s="12" t="s">
        <v>8965</v>
      </c>
      <c r="JPI5" s="12" t="s">
        <v>8966</v>
      </c>
      <c r="JPJ5" s="12" t="s">
        <v>8967</v>
      </c>
      <c r="JPK5" s="12" t="s">
        <v>8968</v>
      </c>
      <c r="JPL5" s="12" t="s">
        <v>8969</v>
      </c>
      <c r="JPM5" s="12" t="s">
        <v>8970</v>
      </c>
      <c r="JPN5" s="12" t="s">
        <v>8971</v>
      </c>
      <c r="JPO5" s="12" t="s">
        <v>8972</v>
      </c>
      <c r="JPP5" s="12" t="s">
        <v>8973</v>
      </c>
      <c r="JPQ5" s="12" t="s">
        <v>8974</v>
      </c>
      <c r="JPR5" s="12" t="s">
        <v>8975</v>
      </c>
      <c r="JPS5" s="12" t="s">
        <v>8976</v>
      </c>
      <c r="JPT5" s="12" t="s">
        <v>8977</v>
      </c>
      <c r="JPU5" s="12" t="s">
        <v>8978</v>
      </c>
      <c r="JPV5" s="12" t="s">
        <v>8979</v>
      </c>
      <c r="JPW5" s="12" t="s">
        <v>8980</v>
      </c>
      <c r="JPX5" s="12" t="s">
        <v>8981</v>
      </c>
      <c r="JPY5" s="12" t="s">
        <v>8982</v>
      </c>
      <c r="JPZ5" s="12" t="s">
        <v>8983</v>
      </c>
      <c r="JQA5" s="12" t="s">
        <v>8984</v>
      </c>
      <c r="JQB5" s="12" t="s">
        <v>8985</v>
      </c>
      <c r="JQC5" s="12" t="s">
        <v>8986</v>
      </c>
      <c r="JQD5" s="12" t="s">
        <v>8987</v>
      </c>
      <c r="JQE5" s="12" t="s">
        <v>8988</v>
      </c>
      <c r="JQF5" s="12" t="s">
        <v>8989</v>
      </c>
      <c r="JQG5" s="12" t="s">
        <v>8990</v>
      </c>
      <c r="JQH5" s="12" t="s">
        <v>8991</v>
      </c>
      <c r="JQI5" s="12" t="s">
        <v>8992</v>
      </c>
      <c r="JQJ5" s="12" t="s">
        <v>8993</v>
      </c>
      <c r="JQK5" s="12" t="s">
        <v>8994</v>
      </c>
      <c r="JQL5" s="12" t="s">
        <v>8995</v>
      </c>
      <c r="JQM5" s="12" t="s">
        <v>8996</v>
      </c>
      <c r="JQN5" s="12" t="s">
        <v>8997</v>
      </c>
      <c r="JQO5" s="12" t="s">
        <v>8998</v>
      </c>
      <c r="JQP5" s="12" t="s">
        <v>8999</v>
      </c>
      <c r="JQQ5" s="12" t="s">
        <v>9000</v>
      </c>
      <c r="JQR5" s="12" t="s">
        <v>9001</v>
      </c>
      <c r="JQS5" s="12" t="s">
        <v>9002</v>
      </c>
      <c r="JQT5" s="12" t="s">
        <v>9003</v>
      </c>
      <c r="JQU5" s="12" t="s">
        <v>9004</v>
      </c>
      <c r="JQV5" s="12" t="s">
        <v>9005</v>
      </c>
      <c r="JQW5" s="12" t="s">
        <v>9006</v>
      </c>
      <c r="JQX5" s="12" t="s">
        <v>9007</v>
      </c>
      <c r="JQY5" s="12" t="s">
        <v>9008</v>
      </c>
      <c r="JQZ5" s="12" t="s">
        <v>9009</v>
      </c>
      <c r="JRA5" s="12" t="s">
        <v>9010</v>
      </c>
      <c r="JRB5" s="12" t="s">
        <v>9011</v>
      </c>
      <c r="JRC5" s="12" t="s">
        <v>9012</v>
      </c>
      <c r="JRD5" s="12" t="s">
        <v>9013</v>
      </c>
      <c r="JRE5" s="12" t="s">
        <v>9014</v>
      </c>
      <c r="JRF5" s="12" t="s">
        <v>9015</v>
      </c>
      <c r="JRG5" s="12" t="s">
        <v>9016</v>
      </c>
      <c r="JRH5" s="12" t="s">
        <v>9017</v>
      </c>
      <c r="JRI5" s="12" t="s">
        <v>9018</v>
      </c>
      <c r="JRJ5" s="12" t="s">
        <v>9019</v>
      </c>
      <c r="JRK5" s="12" t="s">
        <v>9020</v>
      </c>
      <c r="JRL5" s="12" t="s">
        <v>9021</v>
      </c>
      <c r="JRM5" s="12" t="s">
        <v>9022</v>
      </c>
      <c r="JRN5" s="12" t="s">
        <v>9023</v>
      </c>
      <c r="JRO5" s="12" t="s">
        <v>9024</v>
      </c>
      <c r="JRP5" s="12" t="s">
        <v>9025</v>
      </c>
      <c r="JRQ5" s="12" t="s">
        <v>9026</v>
      </c>
      <c r="JRR5" s="12" t="s">
        <v>9027</v>
      </c>
      <c r="JRS5" s="12" t="s">
        <v>9028</v>
      </c>
      <c r="JRT5" s="12" t="s">
        <v>9029</v>
      </c>
      <c r="JRU5" s="12" t="s">
        <v>9030</v>
      </c>
      <c r="JRV5" s="12" t="s">
        <v>9031</v>
      </c>
      <c r="JRW5" s="12" t="s">
        <v>9032</v>
      </c>
      <c r="JRX5" s="12" t="s">
        <v>9033</v>
      </c>
      <c r="JRY5" s="12" t="s">
        <v>9034</v>
      </c>
      <c r="JRZ5" s="12" t="s">
        <v>9035</v>
      </c>
      <c r="JSA5" s="12" t="s">
        <v>9036</v>
      </c>
      <c r="JSB5" s="12" t="s">
        <v>9037</v>
      </c>
      <c r="JSC5" s="12" t="s">
        <v>9038</v>
      </c>
      <c r="JSD5" s="12" t="s">
        <v>9039</v>
      </c>
      <c r="JSE5" s="12" t="s">
        <v>9040</v>
      </c>
      <c r="JSF5" s="12" t="s">
        <v>9041</v>
      </c>
      <c r="JSG5" s="12" t="s">
        <v>9042</v>
      </c>
      <c r="JSH5" s="12" t="s">
        <v>9043</v>
      </c>
      <c r="JSI5" s="12" t="s">
        <v>9044</v>
      </c>
      <c r="JSJ5" s="12" t="s">
        <v>9045</v>
      </c>
      <c r="JSK5" s="12" t="s">
        <v>9046</v>
      </c>
      <c r="JSL5" s="12" t="s">
        <v>9047</v>
      </c>
      <c r="JSM5" s="12" t="s">
        <v>9048</v>
      </c>
      <c r="JSN5" s="12" t="s">
        <v>9049</v>
      </c>
      <c r="JSO5" s="12" t="s">
        <v>9050</v>
      </c>
      <c r="JSP5" s="12" t="s">
        <v>9051</v>
      </c>
      <c r="JSQ5" s="12" t="s">
        <v>9052</v>
      </c>
      <c r="JSR5" s="12" t="s">
        <v>9053</v>
      </c>
      <c r="JSS5" s="12" t="s">
        <v>9054</v>
      </c>
      <c r="JST5" s="12" t="s">
        <v>9055</v>
      </c>
      <c r="JSU5" s="12" t="s">
        <v>9056</v>
      </c>
      <c r="JSV5" s="12" t="s">
        <v>9057</v>
      </c>
      <c r="JSW5" s="12" t="s">
        <v>9058</v>
      </c>
      <c r="JSX5" s="12" t="s">
        <v>9059</v>
      </c>
      <c r="JSY5" s="12" t="s">
        <v>9060</v>
      </c>
      <c r="JSZ5" s="12" t="s">
        <v>9061</v>
      </c>
      <c r="JTA5" s="12" t="s">
        <v>9062</v>
      </c>
      <c r="JTB5" s="12" t="s">
        <v>9063</v>
      </c>
      <c r="JTC5" s="12" t="s">
        <v>9064</v>
      </c>
      <c r="JTD5" s="12" t="s">
        <v>9065</v>
      </c>
      <c r="JTE5" s="12" t="s">
        <v>9066</v>
      </c>
      <c r="JTF5" s="12" t="s">
        <v>9067</v>
      </c>
      <c r="JTG5" s="12" t="s">
        <v>9068</v>
      </c>
      <c r="JTH5" s="12" t="s">
        <v>9069</v>
      </c>
      <c r="JTI5" s="12" t="s">
        <v>9070</v>
      </c>
      <c r="JTJ5" s="12" t="s">
        <v>9071</v>
      </c>
      <c r="JTK5" s="12" t="s">
        <v>9072</v>
      </c>
      <c r="JTL5" s="12" t="s">
        <v>9073</v>
      </c>
      <c r="JTM5" s="12" t="s">
        <v>9074</v>
      </c>
      <c r="JTN5" s="12" t="s">
        <v>9075</v>
      </c>
      <c r="JTO5" s="12" t="s">
        <v>9076</v>
      </c>
      <c r="JTP5" s="12" t="s">
        <v>9077</v>
      </c>
      <c r="JTQ5" s="12" t="s">
        <v>9078</v>
      </c>
      <c r="JTR5" s="12" t="s">
        <v>9079</v>
      </c>
      <c r="JTS5" s="12" t="s">
        <v>9080</v>
      </c>
      <c r="JTT5" s="12" t="s">
        <v>9081</v>
      </c>
      <c r="JTU5" s="12" t="s">
        <v>9082</v>
      </c>
      <c r="JTV5" s="12" t="s">
        <v>9083</v>
      </c>
      <c r="JTW5" s="12" t="s">
        <v>9084</v>
      </c>
      <c r="JTX5" s="12" t="s">
        <v>9085</v>
      </c>
      <c r="JTY5" s="12" t="s">
        <v>9086</v>
      </c>
      <c r="JTZ5" s="12" t="s">
        <v>9087</v>
      </c>
      <c r="JUA5" s="12" t="s">
        <v>9088</v>
      </c>
      <c r="JUB5" s="12" t="s">
        <v>9089</v>
      </c>
      <c r="JUC5" s="12" t="s">
        <v>9090</v>
      </c>
      <c r="JUD5" s="12" t="s">
        <v>9091</v>
      </c>
      <c r="JUE5" s="12" t="s">
        <v>9092</v>
      </c>
      <c r="JUF5" s="12" t="s">
        <v>9093</v>
      </c>
      <c r="JUG5" s="12" t="s">
        <v>9094</v>
      </c>
      <c r="JUH5" s="12" t="s">
        <v>9095</v>
      </c>
      <c r="JUI5" s="12" t="s">
        <v>9096</v>
      </c>
      <c r="JUJ5" s="12" t="s">
        <v>9097</v>
      </c>
      <c r="JUK5" s="12" t="s">
        <v>9098</v>
      </c>
      <c r="JUL5" s="12" t="s">
        <v>9099</v>
      </c>
      <c r="JUM5" s="12" t="s">
        <v>9100</v>
      </c>
      <c r="JUN5" s="12" t="s">
        <v>9101</v>
      </c>
      <c r="JUO5" s="12" t="s">
        <v>9102</v>
      </c>
      <c r="JUP5" s="12" t="s">
        <v>9103</v>
      </c>
      <c r="JUQ5" s="12" t="s">
        <v>9104</v>
      </c>
      <c r="JUR5" s="12" t="s">
        <v>9105</v>
      </c>
      <c r="JUS5" s="12" t="s">
        <v>9106</v>
      </c>
      <c r="JUT5" s="12" t="s">
        <v>9107</v>
      </c>
      <c r="JUU5" s="12" t="s">
        <v>9108</v>
      </c>
      <c r="JUV5" s="12" t="s">
        <v>9109</v>
      </c>
      <c r="JUW5" s="12" t="s">
        <v>9110</v>
      </c>
      <c r="JUX5" s="12" t="s">
        <v>9111</v>
      </c>
      <c r="JUY5" s="12" t="s">
        <v>9112</v>
      </c>
      <c r="JUZ5" s="12" t="s">
        <v>9113</v>
      </c>
      <c r="JVA5" s="12" t="s">
        <v>9114</v>
      </c>
      <c r="JVB5" s="12" t="s">
        <v>9115</v>
      </c>
      <c r="JVC5" s="12" t="s">
        <v>9116</v>
      </c>
      <c r="JVD5" s="12" t="s">
        <v>9117</v>
      </c>
      <c r="JVE5" s="12" t="s">
        <v>9118</v>
      </c>
      <c r="JVF5" s="12" t="s">
        <v>9119</v>
      </c>
      <c r="JVG5" s="12" t="s">
        <v>9120</v>
      </c>
      <c r="JVH5" s="12" t="s">
        <v>9121</v>
      </c>
      <c r="JVI5" s="12" t="s">
        <v>9122</v>
      </c>
      <c r="JVJ5" s="12" t="s">
        <v>9123</v>
      </c>
      <c r="JVK5" s="12" t="s">
        <v>9124</v>
      </c>
      <c r="JVL5" s="12" t="s">
        <v>9125</v>
      </c>
      <c r="JVM5" s="12" t="s">
        <v>9126</v>
      </c>
      <c r="JVN5" s="12" t="s">
        <v>9127</v>
      </c>
      <c r="JVO5" s="12" t="s">
        <v>9128</v>
      </c>
      <c r="JVP5" s="12" t="s">
        <v>9129</v>
      </c>
      <c r="JVQ5" s="12" t="s">
        <v>9130</v>
      </c>
      <c r="JVR5" s="12" t="s">
        <v>9131</v>
      </c>
      <c r="JVS5" s="12" t="s">
        <v>9132</v>
      </c>
      <c r="JVT5" s="12" t="s">
        <v>9133</v>
      </c>
      <c r="JVU5" s="12" t="s">
        <v>9134</v>
      </c>
      <c r="JVV5" s="12" t="s">
        <v>9135</v>
      </c>
      <c r="JVW5" s="12" t="s">
        <v>9136</v>
      </c>
      <c r="JVX5" s="12" t="s">
        <v>9137</v>
      </c>
      <c r="JVY5" s="12" t="s">
        <v>9138</v>
      </c>
      <c r="JVZ5" s="12" t="s">
        <v>9139</v>
      </c>
      <c r="JWA5" s="12" t="s">
        <v>9140</v>
      </c>
      <c r="JWB5" s="12" t="s">
        <v>9141</v>
      </c>
      <c r="JWC5" s="12" t="s">
        <v>9142</v>
      </c>
      <c r="JWD5" s="12" t="s">
        <v>9143</v>
      </c>
      <c r="JWE5" s="12" t="s">
        <v>9144</v>
      </c>
      <c r="JWF5" s="12" t="s">
        <v>9145</v>
      </c>
      <c r="JWG5" s="12" t="s">
        <v>9146</v>
      </c>
      <c r="JWH5" s="12" t="s">
        <v>9147</v>
      </c>
      <c r="JWI5" s="12" t="s">
        <v>9148</v>
      </c>
      <c r="JWJ5" s="12" t="s">
        <v>9149</v>
      </c>
      <c r="JWK5" s="12" t="s">
        <v>9150</v>
      </c>
      <c r="JWL5" s="12" t="s">
        <v>9151</v>
      </c>
      <c r="JWM5" s="12" t="s">
        <v>9152</v>
      </c>
      <c r="JWN5" s="12" t="s">
        <v>9153</v>
      </c>
      <c r="JWO5" s="12" t="s">
        <v>9154</v>
      </c>
      <c r="JWP5" s="12" t="s">
        <v>9155</v>
      </c>
      <c r="JWQ5" s="12" t="s">
        <v>9156</v>
      </c>
      <c r="JWR5" s="12" t="s">
        <v>9157</v>
      </c>
      <c r="JWS5" s="12" t="s">
        <v>9158</v>
      </c>
      <c r="JWT5" s="12" t="s">
        <v>9159</v>
      </c>
      <c r="JWU5" s="12" t="s">
        <v>9160</v>
      </c>
      <c r="JWV5" s="12" t="s">
        <v>9161</v>
      </c>
      <c r="JWW5" s="12" t="s">
        <v>9162</v>
      </c>
      <c r="JWX5" s="12" t="s">
        <v>9163</v>
      </c>
      <c r="JWY5" s="12" t="s">
        <v>9164</v>
      </c>
      <c r="JWZ5" s="12" t="s">
        <v>9165</v>
      </c>
      <c r="JXA5" s="12" t="s">
        <v>9166</v>
      </c>
      <c r="JXB5" s="12" t="s">
        <v>9167</v>
      </c>
      <c r="JXC5" s="12" t="s">
        <v>9168</v>
      </c>
      <c r="JXD5" s="12" t="s">
        <v>9169</v>
      </c>
      <c r="JXE5" s="12" t="s">
        <v>9170</v>
      </c>
      <c r="JXF5" s="12" t="s">
        <v>9171</v>
      </c>
      <c r="JXG5" s="12" t="s">
        <v>9172</v>
      </c>
      <c r="JXH5" s="12" t="s">
        <v>9173</v>
      </c>
      <c r="JXI5" s="12" t="s">
        <v>9174</v>
      </c>
      <c r="JXJ5" s="12" t="s">
        <v>9175</v>
      </c>
      <c r="JXK5" s="12" t="s">
        <v>9176</v>
      </c>
      <c r="JXL5" s="12" t="s">
        <v>9177</v>
      </c>
      <c r="JXM5" s="12" t="s">
        <v>9178</v>
      </c>
      <c r="JXN5" s="12" t="s">
        <v>9179</v>
      </c>
      <c r="JXO5" s="12" t="s">
        <v>9180</v>
      </c>
      <c r="JXP5" s="12" t="s">
        <v>9181</v>
      </c>
      <c r="JXQ5" s="12" t="s">
        <v>9182</v>
      </c>
      <c r="JXR5" s="12" t="s">
        <v>9183</v>
      </c>
      <c r="JXS5" s="12" t="s">
        <v>9184</v>
      </c>
      <c r="JXT5" s="12" t="s">
        <v>9185</v>
      </c>
      <c r="JXU5" s="12" t="s">
        <v>9186</v>
      </c>
      <c r="JXV5" s="12" t="s">
        <v>9187</v>
      </c>
      <c r="JXW5" s="12" t="s">
        <v>9188</v>
      </c>
      <c r="JXX5" s="12" t="s">
        <v>9189</v>
      </c>
      <c r="JXY5" s="12" t="s">
        <v>9190</v>
      </c>
      <c r="JXZ5" s="12" t="s">
        <v>9191</v>
      </c>
      <c r="JYA5" s="12" t="s">
        <v>9192</v>
      </c>
      <c r="JYB5" s="12" t="s">
        <v>9193</v>
      </c>
      <c r="JYC5" s="12" t="s">
        <v>9194</v>
      </c>
      <c r="JYD5" s="12" t="s">
        <v>9195</v>
      </c>
      <c r="JYE5" s="12" t="s">
        <v>9196</v>
      </c>
      <c r="JYF5" s="12" t="s">
        <v>9197</v>
      </c>
      <c r="JYG5" s="12" t="s">
        <v>9198</v>
      </c>
      <c r="JYH5" s="12" t="s">
        <v>9199</v>
      </c>
      <c r="JYI5" s="12" t="s">
        <v>9200</v>
      </c>
      <c r="JYJ5" s="12" t="s">
        <v>9201</v>
      </c>
      <c r="JYK5" s="12" t="s">
        <v>9202</v>
      </c>
      <c r="JYL5" s="12" t="s">
        <v>9203</v>
      </c>
      <c r="JYM5" s="12" t="s">
        <v>9204</v>
      </c>
      <c r="JYN5" s="12" t="s">
        <v>9205</v>
      </c>
      <c r="JYO5" s="12" t="s">
        <v>9206</v>
      </c>
      <c r="JYP5" s="12" t="s">
        <v>9207</v>
      </c>
      <c r="JYQ5" s="12" t="s">
        <v>9208</v>
      </c>
      <c r="JYR5" s="12" t="s">
        <v>9209</v>
      </c>
      <c r="JYS5" s="12" t="s">
        <v>9210</v>
      </c>
      <c r="JYT5" s="12" t="s">
        <v>9211</v>
      </c>
      <c r="JYU5" s="12" t="s">
        <v>9212</v>
      </c>
      <c r="JYV5" s="12" t="s">
        <v>9213</v>
      </c>
      <c r="JYW5" s="12" t="s">
        <v>9214</v>
      </c>
      <c r="JYX5" s="12" t="s">
        <v>9215</v>
      </c>
      <c r="JYY5" s="12" t="s">
        <v>9216</v>
      </c>
      <c r="JYZ5" s="12" t="s">
        <v>9217</v>
      </c>
      <c r="JZA5" s="12" t="s">
        <v>9218</v>
      </c>
      <c r="JZB5" s="12" t="s">
        <v>9219</v>
      </c>
      <c r="JZC5" s="12" t="s">
        <v>9220</v>
      </c>
      <c r="JZD5" s="12" t="s">
        <v>9221</v>
      </c>
      <c r="JZE5" s="12" t="s">
        <v>9222</v>
      </c>
      <c r="JZF5" s="12" t="s">
        <v>9223</v>
      </c>
      <c r="JZG5" s="12" t="s">
        <v>9224</v>
      </c>
      <c r="JZH5" s="12" t="s">
        <v>9225</v>
      </c>
      <c r="JZI5" s="12" t="s">
        <v>9226</v>
      </c>
      <c r="JZJ5" s="12" t="s">
        <v>9227</v>
      </c>
      <c r="JZK5" s="12" t="s">
        <v>9228</v>
      </c>
      <c r="JZL5" s="12" t="s">
        <v>9229</v>
      </c>
      <c r="JZM5" s="12" t="s">
        <v>9230</v>
      </c>
      <c r="JZN5" s="12" t="s">
        <v>9231</v>
      </c>
      <c r="JZO5" s="12" t="s">
        <v>9232</v>
      </c>
      <c r="JZP5" s="12" t="s">
        <v>9233</v>
      </c>
      <c r="JZQ5" s="12" t="s">
        <v>9234</v>
      </c>
      <c r="JZR5" s="12" t="s">
        <v>9235</v>
      </c>
      <c r="JZS5" s="12" t="s">
        <v>9236</v>
      </c>
      <c r="JZT5" s="12" t="s">
        <v>9237</v>
      </c>
      <c r="JZU5" s="12" t="s">
        <v>9238</v>
      </c>
      <c r="JZV5" s="12" t="s">
        <v>9239</v>
      </c>
      <c r="JZW5" s="12" t="s">
        <v>9240</v>
      </c>
      <c r="JZX5" s="12" t="s">
        <v>9241</v>
      </c>
      <c r="JZY5" s="12" t="s">
        <v>9242</v>
      </c>
      <c r="JZZ5" s="12" t="s">
        <v>9243</v>
      </c>
      <c r="KAA5" s="12" t="s">
        <v>9244</v>
      </c>
      <c r="KAB5" s="12" t="s">
        <v>9245</v>
      </c>
      <c r="KAC5" s="12" t="s">
        <v>9246</v>
      </c>
      <c r="KAD5" s="12" t="s">
        <v>9247</v>
      </c>
      <c r="KAE5" s="12" t="s">
        <v>9248</v>
      </c>
      <c r="KAF5" s="12" t="s">
        <v>9249</v>
      </c>
      <c r="KAG5" s="12" t="s">
        <v>9250</v>
      </c>
      <c r="KAH5" s="12" t="s">
        <v>9251</v>
      </c>
      <c r="KAI5" s="12" t="s">
        <v>9252</v>
      </c>
      <c r="KAJ5" s="12" t="s">
        <v>9253</v>
      </c>
      <c r="KAK5" s="12" t="s">
        <v>9254</v>
      </c>
      <c r="KAL5" s="12" t="s">
        <v>9255</v>
      </c>
      <c r="KAM5" s="12" t="s">
        <v>9256</v>
      </c>
      <c r="KAN5" s="12" t="s">
        <v>9257</v>
      </c>
      <c r="KAO5" s="12" t="s">
        <v>9258</v>
      </c>
      <c r="KAP5" s="12" t="s">
        <v>9259</v>
      </c>
      <c r="KAQ5" s="12" t="s">
        <v>9260</v>
      </c>
      <c r="KAR5" s="12" t="s">
        <v>9261</v>
      </c>
      <c r="KAS5" s="12" t="s">
        <v>9262</v>
      </c>
      <c r="KAT5" s="12" t="s">
        <v>9263</v>
      </c>
      <c r="KAU5" s="12" t="s">
        <v>9264</v>
      </c>
      <c r="KAV5" s="12" t="s">
        <v>9265</v>
      </c>
      <c r="KAW5" s="12" t="s">
        <v>9266</v>
      </c>
      <c r="KAX5" s="12" t="s">
        <v>9267</v>
      </c>
      <c r="KAY5" s="12" t="s">
        <v>9268</v>
      </c>
      <c r="KAZ5" s="12" t="s">
        <v>9269</v>
      </c>
      <c r="KBA5" s="12" t="s">
        <v>9270</v>
      </c>
      <c r="KBB5" s="12" t="s">
        <v>9271</v>
      </c>
      <c r="KBC5" s="12" t="s">
        <v>9272</v>
      </c>
      <c r="KBD5" s="12" t="s">
        <v>9273</v>
      </c>
      <c r="KBE5" s="12" t="s">
        <v>9274</v>
      </c>
      <c r="KBF5" s="12" t="s">
        <v>9275</v>
      </c>
      <c r="KBG5" s="12" t="s">
        <v>9276</v>
      </c>
      <c r="KBH5" s="12" t="s">
        <v>9277</v>
      </c>
      <c r="KBI5" s="12" t="s">
        <v>9278</v>
      </c>
      <c r="KBJ5" s="12" t="s">
        <v>9279</v>
      </c>
      <c r="KBK5" s="12" t="s">
        <v>9280</v>
      </c>
      <c r="KBL5" s="12" t="s">
        <v>9281</v>
      </c>
      <c r="KBM5" s="12" t="s">
        <v>9282</v>
      </c>
      <c r="KBN5" s="12" t="s">
        <v>9283</v>
      </c>
      <c r="KBO5" s="12" t="s">
        <v>9284</v>
      </c>
      <c r="KBP5" s="12" t="s">
        <v>9285</v>
      </c>
      <c r="KBQ5" s="12" t="s">
        <v>9286</v>
      </c>
      <c r="KBR5" s="12" t="s">
        <v>9287</v>
      </c>
      <c r="KBS5" s="12" t="s">
        <v>9288</v>
      </c>
      <c r="KBT5" s="12" t="s">
        <v>9289</v>
      </c>
      <c r="KBU5" s="12" t="s">
        <v>9290</v>
      </c>
      <c r="KBV5" s="12" t="s">
        <v>9291</v>
      </c>
      <c r="KBW5" s="12" t="s">
        <v>9292</v>
      </c>
      <c r="KBX5" s="12" t="s">
        <v>9293</v>
      </c>
      <c r="KBY5" s="12" t="s">
        <v>9294</v>
      </c>
      <c r="KBZ5" s="12" t="s">
        <v>9295</v>
      </c>
      <c r="KCA5" s="12" t="s">
        <v>9296</v>
      </c>
      <c r="KCB5" s="12" t="s">
        <v>9297</v>
      </c>
      <c r="KCC5" s="12" t="s">
        <v>9298</v>
      </c>
      <c r="KCD5" s="12" t="s">
        <v>9299</v>
      </c>
      <c r="KCE5" s="12" t="s">
        <v>9300</v>
      </c>
      <c r="KCF5" s="12" t="s">
        <v>9301</v>
      </c>
      <c r="KCG5" s="12" t="s">
        <v>9302</v>
      </c>
      <c r="KCH5" s="12" t="s">
        <v>9303</v>
      </c>
      <c r="KCI5" s="12" t="s">
        <v>9304</v>
      </c>
      <c r="KCJ5" s="12" t="s">
        <v>9305</v>
      </c>
      <c r="KCK5" s="12" t="s">
        <v>9306</v>
      </c>
      <c r="KCL5" s="12" t="s">
        <v>9307</v>
      </c>
      <c r="KCM5" s="12" t="s">
        <v>9308</v>
      </c>
      <c r="KCN5" s="12" t="s">
        <v>9309</v>
      </c>
      <c r="KCO5" s="12" t="s">
        <v>9310</v>
      </c>
      <c r="KCP5" s="12" t="s">
        <v>9311</v>
      </c>
      <c r="KCQ5" s="12" t="s">
        <v>9312</v>
      </c>
      <c r="KCR5" s="12" t="s">
        <v>9313</v>
      </c>
      <c r="KCS5" s="12" t="s">
        <v>9314</v>
      </c>
      <c r="KCT5" s="12" t="s">
        <v>9315</v>
      </c>
      <c r="KCU5" s="12" t="s">
        <v>9316</v>
      </c>
      <c r="KCV5" s="12" t="s">
        <v>9317</v>
      </c>
      <c r="KCW5" s="12" t="s">
        <v>9318</v>
      </c>
      <c r="KCX5" s="12" t="s">
        <v>9319</v>
      </c>
      <c r="KCY5" s="12" t="s">
        <v>9320</v>
      </c>
      <c r="KCZ5" s="12" t="s">
        <v>9321</v>
      </c>
      <c r="KDA5" s="12" t="s">
        <v>9322</v>
      </c>
      <c r="KDB5" s="12" t="s">
        <v>9323</v>
      </c>
      <c r="KDC5" s="12" t="s">
        <v>9324</v>
      </c>
      <c r="KDD5" s="12" t="s">
        <v>9325</v>
      </c>
      <c r="KDE5" s="12" t="s">
        <v>9326</v>
      </c>
      <c r="KDF5" s="12" t="s">
        <v>9327</v>
      </c>
      <c r="KDG5" s="12" t="s">
        <v>9328</v>
      </c>
      <c r="KDH5" s="12" t="s">
        <v>9329</v>
      </c>
      <c r="KDI5" s="12" t="s">
        <v>9330</v>
      </c>
      <c r="KDJ5" s="12" t="s">
        <v>9331</v>
      </c>
      <c r="KDK5" s="12" t="s">
        <v>9332</v>
      </c>
      <c r="KDL5" s="12" t="s">
        <v>9333</v>
      </c>
      <c r="KDM5" s="12" t="s">
        <v>9334</v>
      </c>
      <c r="KDN5" s="12" t="s">
        <v>9335</v>
      </c>
      <c r="KDO5" s="12" t="s">
        <v>9336</v>
      </c>
      <c r="KDP5" s="12" t="s">
        <v>9337</v>
      </c>
      <c r="KDQ5" s="12" t="s">
        <v>9338</v>
      </c>
      <c r="KDR5" s="12" t="s">
        <v>9339</v>
      </c>
      <c r="KDS5" s="12" t="s">
        <v>9340</v>
      </c>
      <c r="KDT5" s="12" t="s">
        <v>9341</v>
      </c>
      <c r="KDU5" s="12" t="s">
        <v>9342</v>
      </c>
      <c r="KDV5" s="12" t="s">
        <v>9343</v>
      </c>
      <c r="KDW5" s="12" t="s">
        <v>9344</v>
      </c>
      <c r="KDX5" s="12" t="s">
        <v>9345</v>
      </c>
      <c r="KDY5" s="12" t="s">
        <v>9346</v>
      </c>
      <c r="KDZ5" s="12" t="s">
        <v>9347</v>
      </c>
      <c r="KEA5" s="12" t="s">
        <v>9348</v>
      </c>
      <c r="KEB5" s="12" t="s">
        <v>9349</v>
      </c>
      <c r="KEC5" s="12" t="s">
        <v>9350</v>
      </c>
      <c r="KED5" s="12" t="s">
        <v>9351</v>
      </c>
      <c r="KEE5" s="12" t="s">
        <v>9352</v>
      </c>
      <c r="KEF5" s="12" t="s">
        <v>9353</v>
      </c>
      <c r="KEG5" s="12" t="s">
        <v>9354</v>
      </c>
      <c r="KEH5" s="12" t="s">
        <v>9355</v>
      </c>
      <c r="KEI5" s="12" t="s">
        <v>9356</v>
      </c>
      <c r="KEJ5" s="12" t="s">
        <v>9357</v>
      </c>
      <c r="KEK5" s="12" t="s">
        <v>9358</v>
      </c>
      <c r="KEL5" s="12" t="s">
        <v>9359</v>
      </c>
      <c r="KEM5" s="12" t="s">
        <v>9360</v>
      </c>
      <c r="KEN5" s="12" t="s">
        <v>9361</v>
      </c>
      <c r="KEO5" s="12" t="s">
        <v>9362</v>
      </c>
      <c r="KEP5" s="12" t="s">
        <v>9363</v>
      </c>
      <c r="KEQ5" s="12" t="s">
        <v>9364</v>
      </c>
      <c r="KER5" s="12" t="s">
        <v>9365</v>
      </c>
      <c r="KES5" s="12" t="s">
        <v>9366</v>
      </c>
      <c r="KET5" s="12" t="s">
        <v>9367</v>
      </c>
      <c r="KEU5" s="12" t="s">
        <v>9368</v>
      </c>
      <c r="KEV5" s="12" t="s">
        <v>9369</v>
      </c>
      <c r="KEW5" s="12" t="s">
        <v>9370</v>
      </c>
      <c r="KEX5" s="12" t="s">
        <v>9371</v>
      </c>
      <c r="KEY5" s="12" t="s">
        <v>9372</v>
      </c>
      <c r="KEZ5" s="12" t="s">
        <v>9373</v>
      </c>
      <c r="KFA5" s="12" t="s">
        <v>9374</v>
      </c>
      <c r="KFB5" s="12" t="s">
        <v>9375</v>
      </c>
      <c r="KFC5" s="12" t="s">
        <v>9376</v>
      </c>
      <c r="KFD5" s="12" t="s">
        <v>9377</v>
      </c>
      <c r="KFE5" s="12" t="s">
        <v>9378</v>
      </c>
      <c r="KFF5" s="12" t="s">
        <v>9379</v>
      </c>
      <c r="KFG5" s="12" t="s">
        <v>9380</v>
      </c>
      <c r="KFH5" s="12" t="s">
        <v>9381</v>
      </c>
      <c r="KFI5" s="12" t="s">
        <v>9382</v>
      </c>
      <c r="KFJ5" s="12" t="s">
        <v>9383</v>
      </c>
      <c r="KFK5" s="12" t="s">
        <v>9384</v>
      </c>
      <c r="KFL5" s="12" t="s">
        <v>9385</v>
      </c>
      <c r="KFM5" s="12" t="s">
        <v>9386</v>
      </c>
      <c r="KFN5" s="12" t="s">
        <v>9387</v>
      </c>
      <c r="KFO5" s="12" t="s">
        <v>9388</v>
      </c>
      <c r="KFP5" s="12" t="s">
        <v>9389</v>
      </c>
      <c r="KFQ5" s="12" t="s">
        <v>9390</v>
      </c>
      <c r="KFR5" s="12" t="s">
        <v>9391</v>
      </c>
      <c r="KFS5" s="12" t="s">
        <v>9392</v>
      </c>
      <c r="KFT5" s="12" t="s">
        <v>9393</v>
      </c>
      <c r="KFU5" s="12" t="s">
        <v>9394</v>
      </c>
      <c r="KFV5" s="12" t="s">
        <v>9395</v>
      </c>
      <c r="KFW5" s="12" t="s">
        <v>9396</v>
      </c>
      <c r="KFX5" s="12" t="s">
        <v>9397</v>
      </c>
      <c r="KFY5" s="12" t="s">
        <v>9398</v>
      </c>
      <c r="KFZ5" s="12" t="s">
        <v>9399</v>
      </c>
      <c r="KGA5" s="12" t="s">
        <v>9400</v>
      </c>
      <c r="KGB5" s="12" t="s">
        <v>9401</v>
      </c>
      <c r="KGC5" s="12" t="s">
        <v>9402</v>
      </c>
      <c r="KGD5" s="12" t="s">
        <v>9403</v>
      </c>
      <c r="KGE5" s="12" t="s">
        <v>9404</v>
      </c>
      <c r="KGF5" s="12" t="s">
        <v>9405</v>
      </c>
      <c r="KGG5" s="12" t="s">
        <v>9406</v>
      </c>
      <c r="KGH5" s="12" t="s">
        <v>9407</v>
      </c>
      <c r="KGI5" s="12" t="s">
        <v>9408</v>
      </c>
      <c r="KGJ5" s="12" t="s">
        <v>9409</v>
      </c>
      <c r="KGK5" s="12" t="s">
        <v>9410</v>
      </c>
      <c r="KGL5" s="12" t="s">
        <v>9411</v>
      </c>
      <c r="KGM5" s="12" t="s">
        <v>9412</v>
      </c>
      <c r="KGN5" s="12" t="s">
        <v>9413</v>
      </c>
      <c r="KGO5" s="12" t="s">
        <v>9414</v>
      </c>
      <c r="KGP5" s="12" t="s">
        <v>9415</v>
      </c>
      <c r="KGQ5" s="12" t="s">
        <v>9416</v>
      </c>
      <c r="KGR5" s="12" t="s">
        <v>9417</v>
      </c>
      <c r="KGS5" s="12" t="s">
        <v>9418</v>
      </c>
      <c r="KGT5" s="12" t="s">
        <v>9419</v>
      </c>
      <c r="KGU5" s="12" t="s">
        <v>9420</v>
      </c>
      <c r="KGV5" s="12" t="s">
        <v>9421</v>
      </c>
      <c r="KGW5" s="12" t="s">
        <v>9422</v>
      </c>
      <c r="KGX5" s="12" t="s">
        <v>9423</v>
      </c>
      <c r="KGY5" s="12" t="s">
        <v>9424</v>
      </c>
      <c r="KGZ5" s="12" t="s">
        <v>9425</v>
      </c>
      <c r="KHA5" s="12" t="s">
        <v>9426</v>
      </c>
      <c r="KHB5" s="12" t="s">
        <v>9427</v>
      </c>
      <c r="KHC5" s="12" t="s">
        <v>9428</v>
      </c>
      <c r="KHD5" s="12" t="s">
        <v>9429</v>
      </c>
      <c r="KHE5" s="12" t="s">
        <v>9430</v>
      </c>
      <c r="KHF5" s="12" t="s">
        <v>9431</v>
      </c>
      <c r="KHG5" s="12" t="s">
        <v>9432</v>
      </c>
      <c r="KHH5" s="12" t="s">
        <v>9433</v>
      </c>
      <c r="KHI5" s="12" t="s">
        <v>9434</v>
      </c>
      <c r="KHJ5" s="12" t="s">
        <v>9435</v>
      </c>
      <c r="KHK5" s="12" t="s">
        <v>9436</v>
      </c>
      <c r="KHL5" s="12" t="s">
        <v>9437</v>
      </c>
      <c r="KHM5" s="12" t="s">
        <v>9438</v>
      </c>
      <c r="KHN5" s="12" t="s">
        <v>9439</v>
      </c>
      <c r="KHO5" s="12" t="s">
        <v>9440</v>
      </c>
      <c r="KHP5" s="12" t="s">
        <v>9441</v>
      </c>
      <c r="KHQ5" s="12" t="s">
        <v>9442</v>
      </c>
      <c r="KHR5" s="12" t="s">
        <v>9443</v>
      </c>
      <c r="KHS5" s="12" t="s">
        <v>9444</v>
      </c>
      <c r="KHT5" s="12" t="s">
        <v>9445</v>
      </c>
      <c r="KHU5" s="12" t="s">
        <v>9446</v>
      </c>
      <c r="KHV5" s="12" t="s">
        <v>9447</v>
      </c>
      <c r="KHW5" s="12" t="s">
        <v>9448</v>
      </c>
      <c r="KHX5" s="12" t="s">
        <v>9449</v>
      </c>
      <c r="KHY5" s="12" t="s">
        <v>9450</v>
      </c>
      <c r="KHZ5" s="12" t="s">
        <v>9451</v>
      </c>
      <c r="KIA5" s="12" t="s">
        <v>9452</v>
      </c>
      <c r="KIB5" s="12" t="s">
        <v>9453</v>
      </c>
      <c r="KIC5" s="12" t="s">
        <v>9454</v>
      </c>
      <c r="KID5" s="12" t="s">
        <v>9455</v>
      </c>
      <c r="KIE5" s="12" t="s">
        <v>9456</v>
      </c>
      <c r="KIF5" s="12" t="s">
        <v>9457</v>
      </c>
      <c r="KIG5" s="12" t="s">
        <v>9458</v>
      </c>
      <c r="KIH5" s="12" t="s">
        <v>9459</v>
      </c>
      <c r="KII5" s="12" t="s">
        <v>9460</v>
      </c>
      <c r="KIJ5" s="12" t="s">
        <v>9461</v>
      </c>
      <c r="KIK5" s="12" t="s">
        <v>9462</v>
      </c>
      <c r="KIL5" s="12" t="s">
        <v>9463</v>
      </c>
      <c r="KIM5" s="12" t="s">
        <v>9464</v>
      </c>
      <c r="KIN5" s="12" t="s">
        <v>9465</v>
      </c>
      <c r="KIO5" s="12" t="s">
        <v>9466</v>
      </c>
      <c r="KIP5" s="12" t="s">
        <v>9467</v>
      </c>
      <c r="KIQ5" s="12" t="s">
        <v>9468</v>
      </c>
      <c r="KIR5" s="12" t="s">
        <v>9469</v>
      </c>
      <c r="KIS5" s="12" t="s">
        <v>9470</v>
      </c>
      <c r="KIT5" s="12" t="s">
        <v>9471</v>
      </c>
      <c r="KIU5" s="12" t="s">
        <v>9472</v>
      </c>
      <c r="KIV5" s="12" t="s">
        <v>9473</v>
      </c>
      <c r="KIW5" s="12" t="s">
        <v>9474</v>
      </c>
      <c r="KIX5" s="12" t="s">
        <v>9475</v>
      </c>
      <c r="KIY5" s="12" t="s">
        <v>9476</v>
      </c>
      <c r="KIZ5" s="12" t="s">
        <v>9477</v>
      </c>
      <c r="KJA5" s="12" t="s">
        <v>9478</v>
      </c>
      <c r="KJB5" s="12" t="s">
        <v>9479</v>
      </c>
      <c r="KJC5" s="12" t="s">
        <v>9480</v>
      </c>
      <c r="KJD5" s="12" t="s">
        <v>9481</v>
      </c>
      <c r="KJE5" s="12" t="s">
        <v>9482</v>
      </c>
      <c r="KJF5" s="12" t="s">
        <v>9483</v>
      </c>
      <c r="KJG5" s="12" t="s">
        <v>9484</v>
      </c>
      <c r="KJH5" s="12" t="s">
        <v>9485</v>
      </c>
      <c r="KJI5" s="12" t="s">
        <v>9486</v>
      </c>
      <c r="KJJ5" s="12" t="s">
        <v>9487</v>
      </c>
      <c r="KJK5" s="12" t="s">
        <v>9488</v>
      </c>
      <c r="KJL5" s="12" t="s">
        <v>9489</v>
      </c>
      <c r="KJM5" s="12" t="s">
        <v>9490</v>
      </c>
      <c r="KJN5" s="12" t="s">
        <v>9491</v>
      </c>
      <c r="KJO5" s="12" t="s">
        <v>9492</v>
      </c>
      <c r="KJP5" s="12" t="s">
        <v>9493</v>
      </c>
      <c r="KJQ5" s="12" t="s">
        <v>9494</v>
      </c>
      <c r="KJR5" s="12" t="s">
        <v>9495</v>
      </c>
      <c r="KJS5" s="12" t="s">
        <v>9496</v>
      </c>
      <c r="KJT5" s="12" t="s">
        <v>9497</v>
      </c>
      <c r="KJU5" s="12" t="s">
        <v>9498</v>
      </c>
      <c r="KJV5" s="12" t="s">
        <v>9499</v>
      </c>
      <c r="KJW5" s="12" t="s">
        <v>9500</v>
      </c>
      <c r="KJX5" s="12" t="s">
        <v>9501</v>
      </c>
      <c r="KJY5" s="12" t="s">
        <v>9502</v>
      </c>
      <c r="KJZ5" s="12" t="s">
        <v>9503</v>
      </c>
      <c r="KKA5" s="12" t="s">
        <v>9504</v>
      </c>
      <c r="KKB5" s="12" t="s">
        <v>9505</v>
      </c>
      <c r="KKC5" s="12" t="s">
        <v>9506</v>
      </c>
      <c r="KKD5" s="12" t="s">
        <v>9507</v>
      </c>
      <c r="KKE5" s="12" t="s">
        <v>9508</v>
      </c>
      <c r="KKF5" s="12" t="s">
        <v>9509</v>
      </c>
      <c r="KKG5" s="12" t="s">
        <v>9510</v>
      </c>
      <c r="KKH5" s="12" t="s">
        <v>9511</v>
      </c>
      <c r="KKI5" s="12" t="s">
        <v>9512</v>
      </c>
      <c r="KKJ5" s="12" t="s">
        <v>9513</v>
      </c>
      <c r="KKK5" s="12" t="s">
        <v>9514</v>
      </c>
      <c r="KKL5" s="12" t="s">
        <v>9515</v>
      </c>
      <c r="KKM5" s="12" t="s">
        <v>9516</v>
      </c>
      <c r="KKN5" s="12" t="s">
        <v>9517</v>
      </c>
      <c r="KKO5" s="12" t="s">
        <v>9518</v>
      </c>
      <c r="KKP5" s="12" t="s">
        <v>9519</v>
      </c>
      <c r="KKQ5" s="12" t="s">
        <v>9520</v>
      </c>
      <c r="KKR5" s="12" t="s">
        <v>9521</v>
      </c>
      <c r="KKS5" s="12" t="s">
        <v>9522</v>
      </c>
      <c r="KKT5" s="12" t="s">
        <v>9523</v>
      </c>
      <c r="KKU5" s="12" t="s">
        <v>9524</v>
      </c>
      <c r="KKV5" s="12" t="s">
        <v>9525</v>
      </c>
      <c r="KKW5" s="12" t="s">
        <v>9526</v>
      </c>
      <c r="KKX5" s="12" t="s">
        <v>9527</v>
      </c>
      <c r="KKY5" s="12" t="s">
        <v>9528</v>
      </c>
      <c r="KKZ5" s="12" t="s">
        <v>9529</v>
      </c>
      <c r="KLA5" s="12" t="s">
        <v>9530</v>
      </c>
      <c r="KLB5" s="12" t="s">
        <v>9531</v>
      </c>
      <c r="KLC5" s="12" t="s">
        <v>9532</v>
      </c>
      <c r="KLD5" s="12" t="s">
        <v>9533</v>
      </c>
      <c r="KLE5" s="12" t="s">
        <v>9534</v>
      </c>
      <c r="KLF5" s="12" t="s">
        <v>9535</v>
      </c>
      <c r="KLG5" s="12" t="s">
        <v>9536</v>
      </c>
      <c r="KLH5" s="12" t="s">
        <v>9537</v>
      </c>
      <c r="KLI5" s="12" t="s">
        <v>9538</v>
      </c>
      <c r="KLJ5" s="12" t="s">
        <v>9539</v>
      </c>
      <c r="KLK5" s="12" t="s">
        <v>9540</v>
      </c>
      <c r="KLL5" s="12" t="s">
        <v>9541</v>
      </c>
      <c r="KLM5" s="12" t="s">
        <v>9542</v>
      </c>
      <c r="KLN5" s="12" t="s">
        <v>9543</v>
      </c>
      <c r="KLO5" s="12" t="s">
        <v>9544</v>
      </c>
      <c r="KLP5" s="12" t="s">
        <v>9545</v>
      </c>
      <c r="KLQ5" s="12" t="s">
        <v>9546</v>
      </c>
      <c r="KLR5" s="12" t="s">
        <v>9547</v>
      </c>
      <c r="KLS5" s="12" t="s">
        <v>9548</v>
      </c>
      <c r="KLT5" s="12" t="s">
        <v>9549</v>
      </c>
      <c r="KLU5" s="12" t="s">
        <v>9550</v>
      </c>
      <c r="KLV5" s="12" t="s">
        <v>9551</v>
      </c>
      <c r="KLW5" s="12" t="s">
        <v>9552</v>
      </c>
      <c r="KLX5" s="12" t="s">
        <v>9553</v>
      </c>
      <c r="KLY5" s="12" t="s">
        <v>9554</v>
      </c>
      <c r="KLZ5" s="12" t="s">
        <v>9555</v>
      </c>
      <c r="KMA5" s="12" t="s">
        <v>9556</v>
      </c>
      <c r="KMB5" s="12" t="s">
        <v>9557</v>
      </c>
      <c r="KMC5" s="12" t="s">
        <v>9558</v>
      </c>
      <c r="KMD5" s="12" t="s">
        <v>9559</v>
      </c>
      <c r="KME5" s="12" t="s">
        <v>9560</v>
      </c>
      <c r="KMF5" s="12" t="s">
        <v>9561</v>
      </c>
      <c r="KMG5" s="12" t="s">
        <v>9562</v>
      </c>
      <c r="KMH5" s="12" t="s">
        <v>9563</v>
      </c>
      <c r="KMI5" s="12" t="s">
        <v>9564</v>
      </c>
      <c r="KMJ5" s="12" t="s">
        <v>9565</v>
      </c>
      <c r="KMK5" s="12" t="s">
        <v>9566</v>
      </c>
      <c r="KML5" s="12" t="s">
        <v>9567</v>
      </c>
      <c r="KMM5" s="12" t="s">
        <v>9568</v>
      </c>
      <c r="KMN5" s="12" t="s">
        <v>9569</v>
      </c>
      <c r="KMO5" s="12" t="s">
        <v>9570</v>
      </c>
      <c r="KMP5" s="12" t="s">
        <v>9571</v>
      </c>
      <c r="KMQ5" s="12" t="s">
        <v>9572</v>
      </c>
      <c r="KMR5" s="12" t="s">
        <v>9573</v>
      </c>
      <c r="KMS5" s="12" t="s">
        <v>9574</v>
      </c>
      <c r="KMT5" s="12" t="s">
        <v>9575</v>
      </c>
      <c r="KMU5" s="12" t="s">
        <v>9576</v>
      </c>
      <c r="KMV5" s="12" t="s">
        <v>9577</v>
      </c>
      <c r="KMW5" s="12" t="s">
        <v>9578</v>
      </c>
      <c r="KMX5" s="12" t="s">
        <v>9579</v>
      </c>
      <c r="KMY5" s="12" t="s">
        <v>9580</v>
      </c>
      <c r="KMZ5" s="12" t="s">
        <v>9581</v>
      </c>
      <c r="KNA5" s="12" t="s">
        <v>9582</v>
      </c>
      <c r="KNB5" s="12" t="s">
        <v>9583</v>
      </c>
      <c r="KNC5" s="12" t="s">
        <v>9584</v>
      </c>
      <c r="KND5" s="12" t="s">
        <v>9585</v>
      </c>
      <c r="KNE5" s="12" t="s">
        <v>9586</v>
      </c>
      <c r="KNF5" s="12" t="s">
        <v>9587</v>
      </c>
      <c r="KNG5" s="12" t="s">
        <v>9588</v>
      </c>
      <c r="KNH5" s="12" t="s">
        <v>9589</v>
      </c>
      <c r="KNI5" s="12" t="s">
        <v>9590</v>
      </c>
      <c r="KNJ5" s="12" t="s">
        <v>9591</v>
      </c>
      <c r="KNK5" s="12" t="s">
        <v>9592</v>
      </c>
      <c r="KNL5" s="12" t="s">
        <v>9593</v>
      </c>
      <c r="KNM5" s="12" t="s">
        <v>9594</v>
      </c>
      <c r="KNN5" s="12" t="s">
        <v>9595</v>
      </c>
      <c r="KNO5" s="12" t="s">
        <v>9596</v>
      </c>
      <c r="KNP5" s="12" t="s">
        <v>9597</v>
      </c>
      <c r="KNQ5" s="12" t="s">
        <v>9598</v>
      </c>
      <c r="KNR5" s="12" t="s">
        <v>9599</v>
      </c>
      <c r="KNS5" s="12" t="s">
        <v>9600</v>
      </c>
      <c r="KNT5" s="12" t="s">
        <v>9601</v>
      </c>
      <c r="KNU5" s="12" t="s">
        <v>9602</v>
      </c>
      <c r="KNV5" s="12" t="s">
        <v>9603</v>
      </c>
      <c r="KNW5" s="12" t="s">
        <v>9604</v>
      </c>
      <c r="KNX5" s="12" t="s">
        <v>9605</v>
      </c>
      <c r="KNY5" s="12" t="s">
        <v>9606</v>
      </c>
      <c r="KNZ5" s="12" t="s">
        <v>9607</v>
      </c>
      <c r="KOA5" s="12" t="s">
        <v>9608</v>
      </c>
      <c r="KOB5" s="12" t="s">
        <v>9609</v>
      </c>
      <c r="KOC5" s="12" t="s">
        <v>9610</v>
      </c>
      <c r="KOD5" s="12" t="s">
        <v>9611</v>
      </c>
      <c r="KOE5" s="12" t="s">
        <v>9612</v>
      </c>
      <c r="KOF5" s="12" t="s">
        <v>9613</v>
      </c>
      <c r="KOG5" s="12" t="s">
        <v>9614</v>
      </c>
      <c r="KOH5" s="12" t="s">
        <v>9615</v>
      </c>
      <c r="KOI5" s="12" t="s">
        <v>9616</v>
      </c>
      <c r="KOJ5" s="12" t="s">
        <v>9617</v>
      </c>
      <c r="KOK5" s="12" t="s">
        <v>9618</v>
      </c>
      <c r="KOL5" s="12" t="s">
        <v>9619</v>
      </c>
      <c r="KOM5" s="12" t="s">
        <v>9620</v>
      </c>
      <c r="KON5" s="12" t="s">
        <v>9621</v>
      </c>
      <c r="KOO5" s="12" t="s">
        <v>9622</v>
      </c>
      <c r="KOP5" s="12" t="s">
        <v>9623</v>
      </c>
      <c r="KOQ5" s="12" t="s">
        <v>9624</v>
      </c>
      <c r="KOR5" s="12" t="s">
        <v>9625</v>
      </c>
      <c r="KOS5" s="12" t="s">
        <v>9626</v>
      </c>
      <c r="KOT5" s="12" t="s">
        <v>9627</v>
      </c>
      <c r="KOU5" s="12" t="s">
        <v>9628</v>
      </c>
      <c r="KOV5" s="12" t="s">
        <v>9629</v>
      </c>
      <c r="KOW5" s="12" t="s">
        <v>9630</v>
      </c>
      <c r="KOX5" s="12" t="s">
        <v>9631</v>
      </c>
      <c r="KOY5" s="12" t="s">
        <v>9632</v>
      </c>
      <c r="KOZ5" s="12" t="s">
        <v>9633</v>
      </c>
      <c r="KPA5" s="12" t="s">
        <v>9634</v>
      </c>
      <c r="KPB5" s="12" t="s">
        <v>9635</v>
      </c>
      <c r="KPC5" s="12" t="s">
        <v>9636</v>
      </c>
      <c r="KPD5" s="12" t="s">
        <v>9637</v>
      </c>
      <c r="KPE5" s="12" t="s">
        <v>9638</v>
      </c>
      <c r="KPF5" s="12" t="s">
        <v>9639</v>
      </c>
      <c r="KPG5" s="12" t="s">
        <v>9640</v>
      </c>
      <c r="KPH5" s="12" t="s">
        <v>9641</v>
      </c>
      <c r="KPI5" s="12" t="s">
        <v>9642</v>
      </c>
      <c r="KPJ5" s="12" t="s">
        <v>9643</v>
      </c>
      <c r="KPK5" s="12" t="s">
        <v>9644</v>
      </c>
      <c r="KPL5" s="12" t="s">
        <v>9645</v>
      </c>
      <c r="KPM5" s="12" t="s">
        <v>9646</v>
      </c>
      <c r="KPN5" s="12" t="s">
        <v>9647</v>
      </c>
      <c r="KPO5" s="12" t="s">
        <v>9648</v>
      </c>
      <c r="KPP5" s="12" t="s">
        <v>9649</v>
      </c>
      <c r="KPQ5" s="12" t="s">
        <v>9650</v>
      </c>
      <c r="KPR5" s="12" t="s">
        <v>9651</v>
      </c>
      <c r="KPS5" s="12" t="s">
        <v>9652</v>
      </c>
      <c r="KPT5" s="12" t="s">
        <v>9653</v>
      </c>
      <c r="KPU5" s="12" t="s">
        <v>9654</v>
      </c>
      <c r="KPV5" s="12" t="s">
        <v>9655</v>
      </c>
      <c r="KPW5" s="12" t="s">
        <v>9656</v>
      </c>
      <c r="KPX5" s="12" t="s">
        <v>9657</v>
      </c>
      <c r="KPY5" s="12" t="s">
        <v>9658</v>
      </c>
      <c r="KPZ5" s="12" t="s">
        <v>9659</v>
      </c>
      <c r="KQA5" s="12" t="s">
        <v>9660</v>
      </c>
      <c r="KQB5" s="12" t="s">
        <v>9661</v>
      </c>
      <c r="KQC5" s="12" t="s">
        <v>9662</v>
      </c>
      <c r="KQD5" s="12" t="s">
        <v>9663</v>
      </c>
      <c r="KQE5" s="12" t="s">
        <v>9664</v>
      </c>
      <c r="KQF5" s="12" t="s">
        <v>9665</v>
      </c>
      <c r="KQG5" s="12" t="s">
        <v>9666</v>
      </c>
      <c r="KQH5" s="12" t="s">
        <v>9667</v>
      </c>
      <c r="KQI5" s="12" t="s">
        <v>9668</v>
      </c>
      <c r="KQJ5" s="12" t="s">
        <v>9669</v>
      </c>
      <c r="KQK5" s="12" t="s">
        <v>9670</v>
      </c>
      <c r="KQL5" s="12" t="s">
        <v>9671</v>
      </c>
      <c r="KQM5" s="12" t="s">
        <v>9672</v>
      </c>
      <c r="KQN5" s="12" t="s">
        <v>9673</v>
      </c>
      <c r="KQO5" s="12" t="s">
        <v>9674</v>
      </c>
      <c r="KQP5" s="12" t="s">
        <v>9675</v>
      </c>
      <c r="KQQ5" s="12" t="s">
        <v>9676</v>
      </c>
      <c r="KQR5" s="12" t="s">
        <v>9677</v>
      </c>
      <c r="KQS5" s="12" t="s">
        <v>9678</v>
      </c>
      <c r="KQT5" s="12" t="s">
        <v>9679</v>
      </c>
      <c r="KQU5" s="12" t="s">
        <v>9680</v>
      </c>
      <c r="KQV5" s="12" t="s">
        <v>9681</v>
      </c>
      <c r="KQW5" s="12" t="s">
        <v>9682</v>
      </c>
      <c r="KQX5" s="12" t="s">
        <v>9683</v>
      </c>
      <c r="KQY5" s="12" t="s">
        <v>9684</v>
      </c>
      <c r="KQZ5" s="12" t="s">
        <v>9685</v>
      </c>
      <c r="KRA5" s="12" t="s">
        <v>9686</v>
      </c>
      <c r="KRB5" s="12" t="s">
        <v>9687</v>
      </c>
      <c r="KRC5" s="12" t="s">
        <v>9688</v>
      </c>
      <c r="KRD5" s="12" t="s">
        <v>9689</v>
      </c>
      <c r="KRE5" s="12" t="s">
        <v>9690</v>
      </c>
      <c r="KRF5" s="12" t="s">
        <v>9691</v>
      </c>
      <c r="KRG5" s="12" t="s">
        <v>9692</v>
      </c>
      <c r="KRH5" s="12" t="s">
        <v>9693</v>
      </c>
      <c r="KRI5" s="12" t="s">
        <v>9694</v>
      </c>
      <c r="KRJ5" s="12" t="s">
        <v>9695</v>
      </c>
      <c r="KRK5" s="12" t="s">
        <v>9696</v>
      </c>
      <c r="KRL5" s="12" t="s">
        <v>9697</v>
      </c>
      <c r="KRM5" s="12" t="s">
        <v>9698</v>
      </c>
      <c r="KRN5" s="12" t="s">
        <v>9699</v>
      </c>
      <c r="KRO5" s="12" t="s">
        <v>9700</v>
      </c>
      <c r="KRP5" s="12" t="s">
        <v>9701</v>
      </c>
      <c r="KRQ5" s="12" t="s">
        <v>9702</v>
      </c>
      <c r="KRR5" s="12" t="s">
        <v>9703</v>
      </c>
      <c r="KRS5" s="12" t="s">
        <v>9704</v>
      </c>
      <c r="KRT5" s="12" t="s">
        <v>9705</v>
      </c>
      <c r="KRU5" s="12" t="s">
        <v>9706</v>
      </c>
      <c r="KRV5" s="12" t="s">
        <v>9707</v>
      </c>
      <c r="KRW5" s="12" t="s">
        <v>9708</v>
      </c>
      <c r="KRX5" s="12" t="s">
        <v>9709</v>
      </c>
      <c r="KRY5" s="12" t="s">
        <v>9710</v>
      </c>
      <c r="KRZ5" s="12" t="s">
        <v>9711</v>
      </c>
      <c r="KSA5" s="12" t="s">
        <v>9712</v>
      </c>
      <c r="KSB5" s="12" t="s">
        <v>9713</v>
      </c>
      <c r="KSC5" s="12" t="s">
        <v>9714</v>
      </c>
      <c r="KSD5" s="12" t="s">
        <v>9715</v>
      </c>
      <c r="KSE5" s="12" t="s">
        <v>9716</v>
      </c>
      <c r="KSF5" s="12" t="s">
        <v>9717</v>
      </c>
      <c r="KSG5" s="12" t="s">
        <v>9718</v>
      </c>
      <c r="KSH5" s="12" t="s">
        <v>9719</v>
      </c>
      <c r="KSI5" s="12" t="s">
        <v>9720</v>
      </c>
      <c r="KSJ5" s="12" t="s">
        <v>9721</v>
      </c>
      <c r="KSK5" s="12" t="s">
        <v>9722</v>
      </c>
      <c r="KSL5" s="12" t="s">
        <v>9723</v>
      </c>
      <c r="KSM5" s="12" t="s">
        <v>9724</v>
      </c>
      <c r="KSN5" s="12" t="s">
        <v>9725</v>
      </c>
      <c r="KSO5" s="12" t="s">
        <v>9726</v>
      </c>
      <c r="KSP5" s="12" t="s">
        <v>9727</v>
      </c>
      <c r="KSQ5" s="12" t="s">
        <v>9728</v>
      </c>
      <c r="KSR5" s="12" t="s">
        <v>9729</v>
      </c>
      <c r="KSS5" s="12" t="s">
        <v>9730</v>
      </c>
      <c r="KST5" s="12" t="s">
        <v>9731</v>
      </c>
      <c r="KSU5" s="12" t="s">
        <v>9732</v>
      </c>
      <c r="KSV5" s="12" t="s">
        <v>9733</v>
      </c>
      <c r="KSW5" s="12" t="s">
        <v>9734</v>
      </c>
      <c r="KSX5" s="12" t="s">
        <v>9735</v>
      </c>
      <c r="KSY5" s="12" t="s">
        <v>9736</v>
      </c>
      <c r="KSZ5" s="12" t="s">
        <v>9737</v>
      </c>
      <c r="KTA5" s="12" t="s">
        <v>9738</v>
      </c>
      <c r="KTB5" s="12" t="s">
        <v>9739</v>
      </c>
      <c r="KTC5" s="12" t="s">
        <v>9740</v>
      </c>
      <c r="KTD5" s="12" t="s">
        <v>9741</v>
      </c>
      <c r="KTE5" s="12" t="s">
        <v>9742</v>
      </c>
      <c r="KTF5" s="12" t="s">
        <v>9743</v>
      </c>
      <c r="KTG5" s="12" t="s">
        <v>9744</v>
      </c>
      <c r="KTH5" s="12" t="s">
        <v>9745</v>
      </c>
      <c r="KTI5" s="12" t="s">
        <v>9746</v>
      </c>
      <c r="KTJ5" s="12" t="s">
        <v>9747</v>
      </c>
      <c r="KTK5" s="12" t="s">
        <v>9748</v>
      </c>
      <c r="KTL5" s="12" t="s">
        <v>9749</v>
      </c>
      <c r="KTM5" s="12" t="s">
        <v>9750</v>
      </c>
      <c r="KTN5" s="12" t="s">
        <v>9751</v>
      </c>
      <c r="KTO5" s="12" t="s">
        <v>9752</v>
      </c>
      <c r="KTP5" s="12" t="s">
        <v>9753</v>
      </c>
      <c r="KTQ5" s="12" t="s">
        <v>9754</v>
      </c>
      <c r="KTR5" s="12" t="s">
        <v>9755</v>
      </c>
      <c r="KTS5" s="12" t="s">
        <v>9756</v>
      </c>
      <c r="KTT5" s="12" t="s">
        <v>9757</v>
      </c>
      <c r="KTU5" s="12" t="s">
        <v>9758</v>
      </c>
      <c r="KTV5" s="12" t="s">
        <v>9759</v>
      </c>
      <c r="KTW5" s="12" t="s">
        <v>9760</v>
      </c>
      <c r="KTX5" s="12" t="s">
        <v>9761</v>
      </c>
      <c r="KTY5" s="12" t="s">
        <v>9762</v>
      </c>
      <c r="KTZ5" s="12" t="s">
        <v>9763</v>
      </c>
      <c r="KUA5" s="12" t="s">
        <v>9764</v>
      </c>
      <c r="KUB5" s="12" t="s">
        <v>9765</v>
      </c>
      <c r="KUC5" s="12" t="s">
        <v>9766</v>
      </c>
      <c r="KUD5" s="12" t="s">
        <v>9767</v>
      </c>
      <c r="KUE5" s="12" t="s">
        <v>9768</v>
      </c>
      <c r="KUF5" s="12" t="s">
        <v>9769</v>
      </c>
      <c r="KUG5" s="12" t="s">
        <v>9770</v>
      </c>
      <c r="KUH5" s="12" t="s">
        <v>9771</v>
      </c>
      <c r="KUI5" s="12" t="s">
        <v>9772</v>
      </c>
      <c r="KUJ5" s="12" t="s">
        <v>9773</v>
      </c>
      <c r="KUK5" s="12" t="s">
        <v>9774</v>
      </c>
      <c r="KUL5" s="12" t="s">
        <v>9775</v>
      </c>
      <c r="KUM5" s="12" t="s">
        <v>9776</v>
      </c>
      <c r="KUN5" s="12" t="s">
        <v>9777</v>
      </c>
      <c r="KUO5" s="12" t="s">
        <v>9778</v>
      </c>
      <c r="KUP5" s="12" t="s">
        <v>9779</v>
      </c>
      <c r="KUQ5" s="12" t="s">
        <v>9780</v>
      </c>
      <c r="KUR5" s="12" t="s">
        <v>9781</v>
      </c>
      <c r="KUS5" s="12" t="s">
        <v>9782</v>
      </c>
      <c r="KUT5" s="12" t="s">
        <v>9783</v>
      </c>
      <c r="KUU5" s="12" t="s">
        <v>9784</v>
      </c>
      <c r="KUV5" s="12" t="s">
        <v>9785</v>
      </c>
      <c r="KUW5" s="12" t="s">
        <v>9786</v>
      </c>
      <c r="KUX5" s="12" t="s">
        <v>9787</v>
      </c>
      <c r="KUY5" s="12" t="s">
        <v>9788</v>
      </c>
      <c r="KUZ5" s="12" t="s">
        <v>9789</v>
      </c>
      <c r="KVA5" s="12" t="s">
        <v>9790</v>
      </c>
      <c r="KVB5" s="12" t="s">
        <v>9791</v>
      </c>
      <c r="KVC5" s="12" t="s">
        <v>9792</v>
      </c>
      <c r="KVD5" s="12" t="s">
        <v>9793</v>
      </c>
      <c r="KVE5" s="12" t="s">
        <v>9794</v>
      </c>
      <c r="KVF5" s="12" t="s">
        <v>9795</v>
      </c>
      <c r="KVG5" s="12" t="s">
        <v>9796</v>
      </c>
      <c r="KVH5" s="12" t="s">
        <v>9797</v>
      </c>
      <c r="KVI5" s="12" t="s">
        <v>9798</v>
      </c>
      <c r="KVJ5" s="12" t="s">
        <v>9799</v>
      </c>
      <c r="KVK5" s="12" t="s">
        <v>9800</v>
      </c>
      <c r="KVL5" s="12" t="s">
        <v>9801</v>
      </c>
      <c r="KVM5" s="12" t="s">
        <v>9802</v>
      </c>
      <c r="KVN5" s="12" t="s">
        <v>9803</v>
      </c>
      <c r="KVO5" s="12" t="s">
        <v>9804</v>
      </c>
      <c r="KVP5" s="12" t="s">
        <v>9805</v>
      </c>
      <c r="KVQ5" s="12" t="s">
        <v>9806</v>
      </c>
      <c r="KVR5" s="12" t="s">
        <v>9807</v>
      </c>
      <c r="KVS5" s="12" t="s">
        <v>9808</v>
      </c>
      <c r="KVT5" s="12" t="s">
        <v>9809</v>
      </c>
      <c r="KVU5" s="12" t="s">
        <v>9810</v>
      </c>
      <c r="KVV5" s="12" t="s">
        <v>9811</v>
      </c>
      <c r="KVW5" s="12" t="s">
        <v>9812</v>
      </c>
      <c r="KVX5" s="12" t="s">
        <v>9813</v>
      </c>
      <c r="KVY5" s="12" t="s">
        <v>9814</v>
      </c>
      <c r="KVZ5" s="12" t="s">
        <v>9815</v>
      </c>
      <c r="KWA5" s="12" t="s">
        <v>9816</v>
      </c>
      <c r="KWB5" s="12" t="s">
        <v>9817</v>
      </c>
      <c r="KWC5" s="12" t="s">
        <v>9818</v>
      </c>
      <c r="KWD5" s="12" t="s">
        <v>9819</v>
      </c>
      <c r="KWE5" s="12" t="s">
        <v>9820</v>
      </c>
      <c r="KWF5" s="12" t="s">
        <v>9821</v>
      </c>
      <c r="KWG5" s="12" t="s">
        <v>9822</v>
      </c>
      <c r="KWH5" s="12" t="s">
        <v>9823</v>
      </c>
      <c r="KWI5" s="12" t="s">
        <v>9824</v>
      </c>
      <c r="KWJ5" s="12" t="s">
        <v>9825</v>
      </c>
      <c r="KWK5" s="12" t="s">
        <v>9826</v>
      </c>
      <c r="KWL5" s="12" t="s">
        <v>9827</v>
      </c>
      <c r="KWM5" s="12" t="s">
        <v>9828</v>
      </c>
      <c r="KWN5" s="12" t="s">
        <v>9829</v>
      </c>
      <c r="KWO5" s="12" t="s">
        <v>9830</v>
      </c>
      <c r="KWP5" s="12" t="s">
        <v>9831</v>
      </c>
      <c r="KWQ5" s="12" t="s">
        <v>9832</v>
      </c>
      <c r="KWR5" s="12" t="s">
        <v>9833</v>
      </c>
      <c r="KWS5" s="12" t="s">
        <v>9834</v>
      </c>
      <c r="KWT5" s="12" t="s">
        <v>9835</v>
      </c>
      <c r="KWU5" s="12" t="s">
        <v>9836</v>
      </c>
      <c r="KWV5" s="12" t="s">
        <v>9837</v>
      </c>
      <c r="KWW5" s="12" t="s">
        <v>9838</v>
      </c>
      <c r="KWX5" s="12" t="s">
        <v>9839</v>
      </c>
      <c r="KWY5" s="12" t="s">
        <v>9840</v>
      </c>
      <c r="KWZ5" s="12" t="s">
        <v>9841</v>
      </c>
      <c r="KXA5" s="12" t="s">
        <v>9842</v>
      </c>
      <c r="KXB5" s="12" t="s">
        <v>9843</v>
      </c>
      <c r="KXC5" s="12" t="s">
        <v>9844</v>
      </c>
      <c r="KXD5" s="12" t="s">
        <v>9845</v>
      </c>
      <c r="KXE5" s="12" t="s">
        <v>9846</v>
      </c>
      <c r="KXF5" s="12" t="s">
        <v>9847</v>
      </c>
      <c r="KXG5" s="12" t="s">
        <v>9848</v>
      </c>
      <c r="KXH5" s="12" t="s">
        <v>9849</v>
      </c>
      <c r="KXI5" s="12" t="s">
        <v>9850</v>
      </c>
      <c r="KXJ5" s="12" t="s">
        <v>9851</v>
      </c>
      <c r="KXK5" s="12" t="s">
        <v>9852</v>
      </c>
      <c r="KXL5" s="12" t="s">
        <v>9853</v>
      </c>
      <c r="KXM5" s="12" t="s">
        <v>9854</v>
      </c>
      <c r="KXN5" s="12" t="s">
        <v>9855</v>
      </c>
      <c r="KXO5" s="12" t="s">
        <v>9856</v>
      </c>
      <c r="KXP5" s="12" t="s">
        <v>9857</v>
      </c>
      <c r="KXQ5" s="12" t="s">
        <v>9858</v>
      </c>
      <c r="KXR5" s="12" t="s">
        <v>9859</v>
      </c>
      <c r="KXS5" s="12" t="s">
        <v>9860</v>
      </c>
      <c r="KXT5" s="12" t="s">
        <v>9861</v>
      </c>
      <c r="KXU5" s="12" t="s">
        <v>9862</v>
      </c>
      <c r="KXV5" s="12" t="s">
        <v>9863</v>
      </c>
      <c r="KXW5" s="12" t="s">
        <v>9864</v>
      </c>
      <c r="KXX5" s="12" t="s">
        <v>9865</v>
      </c>
      <c r="KXY5" s="12" t="s">
        <v>9866</v>
      </c>
      <c r="KXZ5" s="12" t="s">
        <v>9867</v>
      </c>
      <c r="KYA5" s="12" t="s">
        <v>9868</v>
      </c>
      <c r="KYB5" s="12" t="s">
        <v>9869</v>
      </c>
      <c r="KYC5" s="12" t="s">
        <v>9870</v>
      </c>
      <c r="KYD5" s="12" t="s">
        <v>9871</v>
      </c>
      <c r="KYE5" s="12" t="s">
        <v>9872</v>
      </c>
      <c r="KYF5" s="12" t="s">
        <v>9873</v>
      </c>
      <c r="KYG5" s="12" t="s">
        <v>9874</v>
      </c>
      <c r="KYH5" s="12" t="s">
        <v>9875</v>
      </c>
      <c r="KYI5" s="12" t="s">
        <v>9876</v>
      </c>
      <c r="KYJ5" s="12" t="s">
        <v>9877</v>
      </c>
      <c r="KYK5" s="12" t="s">
        <v>9878</v>
      </c>
      <c r="KYL5" s="12" t="s">
        <v>9879</v>
      </c>
      <c r="KYM5" s="12" t="s">
        <v>9880</v>
      </c>
      <c r="KYN5" s="12" t="s">
        <v>9881</v>
      </c>
      <c r="KYO5" s="12" t="s">
        <v>9882</v>
      </c>
      <c r="KYP5" s="12" t="s">
        <v>9883</v>
      </c>
      <c r="KYQ5" s="12" t="s">
        <v>9884</v>
      </c>
      <c r="KYR5" s="12" t="s">
        <v>9885</v>
      </c>
      <c r="KYS5" s="12" t="s">
        <v>9886</v>
      </c>
      <c r="KYT5" s="12" t="s">
        <v>9887</v>
      </c>
      <c r="KYU5" s="12" t="s">
        <v>9888</v>
      </c>
      <c r="KYV5" s="12" t="s">
        <v>9889</v>
      </c>
      <c r="KYW5" s="12" t="s">
        <v>9890</v>
      </c>
      <c r="KYX5" s="12" t="s">
        <v>9891</v>
      </c>
      <c r="KYY5" s="12" t="s">
        <v>9892</v>
      </c>
      <c r="KYZ5" s="12" t="s">
        <v>9893</v>
      </c>
      <c r="KZA5" s="12" t="s">
        <v>9894</v>
      </c>
      <c r="KZB5" s="12" t="s">
        <v>9895</v>
      </c>
      <c r="KZC5" s="12" t="s">
        <v>9896</v>
      </c>
      <c r="KZD5" s="12" t="s">
        <v>9897</v>
      </c>
      <c r="KZE5" s="12" t="s">
        <v>9898</v>
      </c>
      <c r="KZF5" s="12" t="s">
        <v>9899</v>
      </c>
      <c r="KZG5" s="12" t="s">
        <v>9900</v>
      </c>
      <c r="KZH5" s="12" t="s">
        <v>9901</v>
      </c>
      <c r="KZI5" s="12" t="s">
        <v>9902</v>
      </c>
      <c r="KZJ5" s="12" t="s">
        <v>9903</v>
      </c>
      <c r="KZK5" s="12" t="s">
        <v>9904</v>
      </c>
      <c r="KZL5" s="12" t="s">
        <v>9905</v>
      </c>
      <c r="KZM5" s="12" t="s">
        <v>9906</v>
      </c>
      <c r="KZN5" s="12" t="s">
        <v>9907</v>
      </c>
      <c r="KZO5" s="12" t="s">
        <v>9908</v>
      </c>
      <c r="KZP5" s="12" t="s">
        <v>9909</v>
      </c>
      <c r="KZQ5" s="12" t="s">
        <v>9910</v>
      </c>
      <c r="KZR5" s="12" t="s">
        <v>9911</v>
      </c>
      <c r="KZS5" s="12" t="s">
        <v>9912</v>
      </c>
      <c r="KZT5" s="12" t="s">
        <v>9913</v>
      </c>
      <c r="KZU5" s="12" t="s">
        <v>9914</v>
      </c>
      <c r="KZV5" s="12" t="s">
        <v>9915</v>
      </c>
      <c r="KZW5" s="12" t="s">
        <v>9916</v>
      </c>
      <c r="KZX5" s="12" t="s">
        <v>9917</v>
      </c>
      <c r="KZY5" s="12" t="s">
        <v>9918</v>
      </c>
      <c r="KZZ5" s="12" t="s">
        <v>9919</v>
      </c>
      <c r="LAA5" s="12" t="s">
        <v>9920</v>
      </c>
      <c r="LAB5" s="12" t="s">
        <v>9921</v>
      </c>
      <c r="LAC5" s="12" t="s">
        <v>9922</v>
      </c>
      <c r="LAD5" s="12" t="s">
        <v>9923</v>
      </c>
      <c r="LAE5" s="12" t="s">
        <v>9924</v>
      </c>
      <c r="LAF5" s="12" t="s">
        <v>9925</v>
      </c>
      <c r="LAG5" s="12" t="s">
        <v>9926</v>
      </c>
      <c r="LAH5" s="12" t="s">
        <v>9927</v>
      </c>
      <c r="LAI5" s="12" t="s">
        <v>9928</v>
      </c>
      <c r="LAJ5" s="12" t="s">
        <v>9929</v>
      </c>
      <c r="LAK5" s="12" t="s">
        <v>9930</v>
      </c>
      <c r="LAL5" s="12" t="s">
        <v>9931</v>
      </c>
      <c r="LAM5" s="12" t="s">
        <v>9932</v>
      </c>
      <c r="LAN5" s="12" t="s">
        <v>9933</v>
      </c>
      <c r="LAO5" s="12" t="s">
        <v>9934</v>
      </c>
      <c r="LAP5" s="12" t="s">
        <v>9935</v>
      </c>
      <c r="LAQ5" s="12" t="s">
        <v>9936</v>
      </c>
      <c r="LAR5" s="12" t="s">
        <v>9937</v>
      </c>
      <c r="LAS5" s="12" t="s">
        <v>9938</v>
      </c>
      <c r="LAT5" s="12" t="s">
        <v>9939</v>
      </c>
      <c r="LAU5" s="12" t="s">
        <v>9940</v>
      </c>
      <c r="LAV5" s="12" t="s">
        <v>9941</v>
      </c>
      <c r="LAW5" s="12" t="s">
        <v>9942</v>
      </c>
      <c r="LAX5" s="12" t="s">
        <v>9943</v>
      </c>
      <c r="LAY5" s="12" t="s">
        <v>9944</v>
      </c>
      <c r="LAZ5" s="12" t="s">
        <v>9945</v>
      </c>
      <c r="LBA5" s="12" t="s">
        <v>9946</v>
      </c>
      <c r="LBB5" s="12" t="s">
        <v>9947</v>
      </c>
      <c r="LBC5" s="12" t="s">
        <v>9948</v>
      </c>
      <c r="LBD5" s="12" t="s">
        <v>9949</v>
      </c>
      <c r="LBE5" s="12" t="s">
        <v>9950</v>
      </c>
      <c r="LBF5" s="12" t="s">
        <v>9951</v>
      </c>
      <c r="LBG5" s="12" t="s">
        <v>9952</v>
      </c>
      <c r="LBH5" s="12" t="s">
        <v>9953</v>
      </c>
      <c r="LBI5" s="12" t="s">
        <v>9954</v>
      </c>
      <c r="LBJ5" s="12" t="s">
        <v>9955</v>
      </c>
      <c r="LBK5" s="12" t="s">
        <v>9956</v>
      </c>
      <c r="LBL5" s="12" t="s">
        <v>9957</v>
      </c>
      <c r="LBM5" s="12" t="s">
        <v>9958</v>
      </c>
      <c r="LBN5" s="12" t="s">
        <v>9959</v>
      </c>
      <c r="LBO5" s="12" t="s">
        <v>9960</v>
      </c>
      <c r="LBP5" s="12" t="s">
        <v>9961</v>
      </c>
      <c r="LBQ5" s="12" t="s">
        <v>9962</v>
      </c>
      <c r="LBR5" s="12" t="s">
        <v>9963</v>
      </c>
      <c r="LBS5" s="12" t="s">
        <v>9964</v>
      </c>
      <c r="LBT5" s="12" t="s">
        <v>9965</v>
      </c>
      <c r="LBU5" s="12" t="s">
        <v>9966</v>
      </c>
      <c r="LBV5" s="12" t="s">
        <v>9967</v>
      </c>
      <c r="LBW5" s="12" t="s">
        <v>9968</v>
      </c>
      <c r="LBX5" s="12" t="s">
        <v>9969</v>
      </c>
      <c r="LBY5" s="12" t="s">
        <v>9970</v>
      </c>
      <c r="LBZ5" s="12" t="s">
        <v>9971</v>
      </c>
      <c r="LCA5" s="12" t="s">
        <v>9972</v>
      </c>
      <c r="LCB5" s="12" t="s">
        <v>9973</v>
      </c>
      <c r="LCC5" s="12" t="s">
        <v>9974</v>
      </c>
      <c r="LCD5" s="12" t="s">
        <v>9975</v>
      </c>
      <c r="LCE5" s="12" t="s">
        <v>9976</v>
      </c>
      <c r="LCF5" s="12" t="s">
        <v>9977</v>
      </c>
      <c r="LCG5" s="12" t="s">
        <v>9978</v>
      </c>
      <c r="LCH5" s="12" t="s">
        <v>9979</v>
      </c>
      <c r="LCI5" s="12" t="s">
        <v>9980</v>
      </c>
      <c r="LCJ5" s="12" t="s">
        <v>9981</v>
      </c>
      <c r="LCK5" s="12" t="s">
        <v>9982</v>
      </c>
      <c r="LCL5" s="12" t="s">
        <v>9983</v>
      </c>
      <c r="LCM5" s="12" t="s">
        <v>9984</v>
      </c>
      <c r="LCN5" s="12" t="s">
        <v>9985</v>
      </c>
      <c r="LCO5" s="12" t="s">
        <v>9986</v>
      </c>
      <c r="LCP5" s="12" t="s">
        <v>9987</v>
      </c>
      <c r="LCQ5" s="12" t="s">
        <v>9988</v>
      </c>
      <c r="LCR5" s="12" t="s">
        <v>9989</v>
      </c>
      <c r="LCS5" s="12" t="s">
        <v>9990</v>
      </c>
      <c r="LCT5" s="12" t="s">
        <v>9991</v>
      </c>
      <c r="LCU5" s="12" t="s">
        <v>9992</v>
      </c>
      <c r="LCV5" s="12" t="s">
        <v>9993</v>
      </c>
      <c r="LCW5" s="12" t="s">
        <v>9994</v>
      </c>
      <c r="LCX5" s="12" t="s">
        <v>9995</v>
      </c>
      <c r="LCY5" s="12" t="s">
        <v>9996</v>
      </c>
      <c r="LCZ5" s="12" t="s">
        <v>9997</v>
      </c>
      <c r="LDA5" s="12" t="s">
        <v>9998</v>
      </c>
      <c r="LDB5" s="12" t="s">
        <v>9999</v>
      </c>
      <c r="LDC5" s="12" t="s">
        <v>10000</v>
      </c>
      <c r="LDD5" s="12" t="s">
        <v>10001</v>
      </c>
      <c r="LDE5" s="12" t="s">
        <v>10002</v>
      </c>
      <c r="LDF5" s="12" t="s">
        <v>10003</v>
      </c>
      <c r="LDG5" s="12" t="s">
        <v>10004</v>
      </c>
      <c r="LDH5" s="12" t="s">
        <v>10005</v>
      </c>
      <c r="LDI5" s="12" t="s">
        <v>10006</v>
      </c>
      <c r="LDJ5" s="12" t="s">
        <v>10007</v>
      </c>
      <c r="LDK5" s="12" t="s">
        <v>10008</v>
      </c>
      <c r="LDL5" s="12" t="s">
        <v>10009</v>
      </c>
      <c r="LDM5" s="12" t="s">
        <v>10010</v>
      </c>
      <c r="LDN5" s="12" t="s">
        <v>10011</v>
      </c>
      <c r="LDO5" s="12" t="s">
        <v>10012</v>
      </c>
      <c r="LDP5" s="12" t="s">
        <v>10013</v>
      </c>
      <c r="LDQ5" s="12" t="s">
        <v>10014</v>
      </c>
      <c r="LDR5" s="12" t="s">
        <v>10015</v>
      </c>
      <c r="LDS5" s="12" t="s">
        <v>10016</v>
      </c>
      <c r="LDT5" s="12" t="s">
        <v>10017</v>
      </c>
      <c r="LDU5" s="12" t="s">
        <v>10018</v>
      </c>
      <c r="LDV5" s="12" t="s">
        <v>10019</v>
      </c>
      <c r="LDW5" s="12" t="s">
        <v>10020</v>
      </c>
      <c r="LDX5" s="12" t="s">
        <v>10021</v>
      </c>
      <c r="LDY5" s="12" t="s">
        <v>10022</v>
      </c>
      <c r="LDZ5" s="12" t="s">
        <v>10023</v>
      </c>
      <c r="LEA5" s="12" t="s">
        <v>10024</v>
      </c>
      <c r="LEB5" s="12" t="s">
        <v>10025</v>
      </c>
      <c r="LEC5" s="12" t="s">
        <v>10026</v>
      </c>
      <c r="LED5" s="12" t="s">
        <v>10027</v>
      </c>
      <c r="LEE5" s="12" t="s">
        <v>10028</v>
      </c>
      <c r="LEF5" s="12" t="s">
        <v>10029</v>
      </c>
      <c r="LEG5" s="12" t="s">
        <v>10030</v>
      </c>
      <c r="LEH5" s="12" t="s">
        <v>10031</v>
      </c>
      <c r="LEI5" s="12" t="s">
        <v>10032</v>
      </c>
      <c r="LEJ5" s="12" t="s">
        <v>10033</v>
      </c>
      <c r="LEK5" s="12" t="s">
        <v>10034</v>
      </c>
      <c r="LEL5" s="12" t="s">
        <v>10035</v>
      </c>
      <c r="LEM5" s="12" t="s">
        <v>10036</v>
      </c>
      <c r="LEN5" s="12" t="s">
        <v>10037</v>
      </c>
      <c r="LEO5" s="12" t="s">
        <v>10038</v>
      </c>
      <c r="LEP5" s="12" t="s">
        <v>10039</v>
      </c>
      <c r="LEQ5" s="12" t="s">
        <v>10040</v>
      </c>
      <c r="LER5" s="12" t="s">
        <v>10041</v>
      </c>
      <c r="LES5" s="12" t="s">
        <v>10042</v>
      </c>
      <c r="LET5" s="12" t="s">
        <v>10043</v>
      </c>
      <c r="LEU5" s="12" t="s">
        <v>10044</v>
      </c>
      <c r="LEV5" s="12" t="s">
        <v>10045</v>
      </c>
      <c r="LEW5" s="12" t="s">
        <v>10046</v>
      </c>
      <c r="LEX5" s="12" t="s">
        <v>10047</v>
      </c>
      <c r="LEY5" s="12" t="s">
        <v>10048</v>
      </c>
      <c r="LEZ5" s="12" t="s">
        <v>10049</v>
      </c>
      <c r="LFA5" s="12" t="s">
        <v>10050</v>
      </c>
      <c r="LFB5" s="12" t="s">
        <v>10051</v>
      </c>
      <c r="LFC5" s="12" t="s">
        <v>10052</v>
      </c>
      <c r="LFD5" s="12" t="s">
        <v>10053</v>
      </c>
      <c r="LFE5" s="12" t="s">
        <v>10054</v>
      </c>
      <c r="LFF5" s="12" t="s">
        <v>10055</v>
      </c>
      <c r="LFG5" s="12" t="s">
        <v>10056</v>
      </c>
      <c r="LFH5" s="12" t="s">
        <v>10057</v>
      </c>
      <c r="LFI5" s="12" t="s">
        <v>10058</v>
      </c>
      <c r="LFJ5" s="12" t="s">
        <v>10059</v>
      </c>
      <c r="LFK5" s="12" t="s">
        <v>10060</v>
      </c>
      <c r="LFL5" s="12" t="s">
        <v>10061</v>
      </c>
      <c r="LFM5" s="12" t="s">
        <v>10062</v>
      </c>
      <c r="LFN5" s="12" t="s">
        <v>10063</v>
      </c>
      <c r="LFO5" s="12" t="s">
        <v>10064</v>
      </c>
      <c r="LFP5" s="12" t="s">
        <v>10065</v>
      </c>
      <c r="LFQ5" s="12" t="s">
        <v>10066</v>
      </c>
      <c r="LFR5" s="12" t="s">
        <v>10067</v>
      </c>
      <c r="LFS5" s="12" t="s">
        <v>10068</v>
      </c>
      <c r="LFT5" s="12" t="s">
        <v>10069</v>
      </c>
      <c r="LFU5" s="12" t="s">
        <v>10070</v>
      </c>
      <c r="LFV5" s="12" t="s">
        <v>10071</v>
      </c>
      <c r="LFW5" s="12" t="s">
        <v>10072</v>
      </c>
      <c r="LFX5" s="12" t="s">
        <v>10073</v>
      </c>
      <c r="LFY5" s="12" t="s">
        <v>10074</v>
      </c>
      <c r="LFZ5" s="12" t="s">
        <v>10075</v>
      </c>
      <c r="LGA5" s="12" t="s">
        <v>10076</v>
      </c>
      <c r="LGB5" s="12" t="s">
        <v>10077</v>
      </c>
      <c r="LGC5" s="12" t="s">
        <v>10078</v>
      </c>
      <c r="LGD5" s="12" t="s">
        <v>10079</v>
      </c>
      <c r="LGE5" s="12" t="s">
        <v>10080</v>
      </c>
      <c r="LGF5" s="12" t="s">
        <v>10081</v>
      </c>
      <c r="LGG5" s="12" t="s">
        <v>10082</v>
      </c>
      <c r="LGH5" s="12" t="s">
        <v>10083</v>
      </c>
      <c r="LGI5" s="12" t="s">
        <v>10084</v>
      </c>
      <c r="LGJ5" s="12" t="s">
        <v>10085</v>
      </c>
      <c r="LGK5" s="12" t="s">
        <v>10086</v>
      </c>
      <c r="LGL5" s="12" t="s">
        <v>10087</v>
      </c>
      <c r="LGM5" s="12" t="s">
        <v>10088</v>
      </c>
      <c r="LGN5" s="12" t="s">
        <v>10089</v>
      </c>
      <c r="LGO5" s="12" t="s">
        <v>10090</v>
      </c>
      <c r="LGP5" s="12" t="s">
        <v>10091</v>
      </c>
      <c r="LGQ5" s="12" t="s">
        <v>10092</v>
      </c>
      <c r="LGR5" s="12" t="s">
        <v>10093</v>
      </c>
      <c r="LGS5" s="12" t="s">
        <v>10094</v>
      </c>
      <c r="LGT5" s="12" t="s">
        <v>10095</v>
      </c>
      <c r="LGU5" s="12" t="s">
        <v>10096</v>
      </c>
      <c r="LGV5" s="12" t="s">
        <v>10097</v>
      </c>
      <c r="LGW5" s="12" t="s">
        <v>10098</v>
      </c>
      <c r="LGX5" s="12" t="s">
        <v>10099</v>
      </c>
      <c r="LGY5" s="12" t="s">
        <v>10100</v>
      </c>
      <c r="LGZ5" s="12" t="s">
        <v>10101</v>
      </c>
      <c r="LHA5" s="12" t="s">
        <v>10102</v>
      </c>
      <c r="LHB5" s="12" t="s">
        <v>10103</v>
      </c>
      <c r="LHC5" s="12" t="s">
        <v>10104</v>
      </c>
      <c r="LHD5" s="12" t="s">
        <v>10105</v>
      </c>
      <c r="LHE5" s="12" t="s">
        <v>10106</v>
      </c>
      <c r="LHF5" s="12" t="s">
        <v>10107</v>
      </c>
      <c r="LHG5" s="12" t="s">
        <v>10108</v>
      </c>
      <c r="LHH5" s="12" t="s">
        <v>10109</v>
      </c>
      <c r="LHI5" s="12" t="s">
        <v>10110</v>
      </c>
      <c r="LHJ5" s="12" t="s">
        <v>10111</v>
      </c>
      <c r="LHK5" s="12" t="s">
        <v>10112</v>
      </c>
      <c r="LHL5" s="12" t="s">
        <v>10113</v>
      </c>
      <c r="LHM5" s="12" t="s">
        <v>10114</v>
      </c>
      <c r="LHN5" s="12" t="s">
        <v>10115</v>
      </c>
      <c r="LHO5" s="12" t="s">
        <v>10116</v>
      </c>
      <c r="LHP5" s="12" t="s">
        <v>10117</v>
      </c>
      <c r="LHQ5" s="12" t="s">
        <v>10118</v>
      </c>
      <c r="LHR5" s="12" t="s">
        <v>10119</v>
      </c>
      <c r="LHS5" s="12" t="s">
        <v>10120</v>
      </c>
      <c r="LHT5" s="12" t="s">
        <v>10121</v>
      </c>
      <c r="LHU5" s="12" t="s">
        <v>10122</v>
      </c>
      <c r="LHV5" s="12" t="s">
        <v>10123</v>
      </c>
      <c r="LHW5" s="12" t="s">
        <v>10124</v>
      </c>
      <c r="LHX5" s="12" t="s">
        <v>10125</v>
      </c>
      <c r="LHY5" s="12" t="s">
        <v>10126</v>
      </c>
      <c r="LHZ5" s="12" t="s">
        <v>10127</v>
      </c>
      <c r="LIA5" s="12" t="s">
        <v>10128</v>
      </c>
      <c r="LIB5" s="12" t="s">
        <v>10129</v>
      </c>
      <c r="LIC5" s="12" t="s">
        <v>10130</v>
      </c>
      <c r="LID5" s="12" t="s">
        <v>10131</v>
      </c>
      <c r="LIE5" s="12" t="s">
        <v>10132</v>
      </c>
      <c r="LIF5" s="12" t="s">
        <v>10133</v>
      </c>
      <c r="LIG5" s="12" t="s">
        <v>10134</v>
      </c>
      <c r="LIH5" s="12" t="s">
        <v>10135</v>
      </c>
      <c r="LII5" s="12" t="s">
        <v>10136</v>
      </c>
      <c r="LIJ5" s="12" t="s">
        <v>10137</v>
      </c>
      <c r="LIK5" s="12" t="s">
        <v>10138</v>
      </c>
      <c r="LIL5" s="12" t="s">
        <v>10139</v>
      </c>
      <c r="LIM5" s="12" t="s">
        <v>10140</v>
      </c>
      <c r="LIN5" s="12" t="s">
        <v>10141</v>
      </c>
      <c r="LIO5" s="12" t="s">
        <v>10142</v>
      </c>
      <c r="LIP5" s="12" t="s">
        <v>10143</v>
      </c>
      <c r="LIQ5" s="12" t="s">
        <v>10144</v>
      </c>
      <c r="LIR5" s="12" t="s">
        <v>10145</v>
      </c>
      <c r="LIS5" s="12" t="s">
        <v>10146</v>
      </c>
      <c r="LIT5" s="12" t="s">
        <v>10147</v>
      </c>
      <c r="LIU5" s="12" t="s">
        <v>10148</v>
      </c>
      <c r="LIV5" s="12" t="s">
        <v>10149</v>
      </c>
      <c r="LIW5" s="12" t="s">
        <v>10150</v>
      </c>
      <c r="LIX5" s="12" t="s">
        <v>10151</v>
      </c>
      <c r="LIY5" s="12" t="s">
        <v>10152</v>
      </c>
      <c r="LIZ5" s="12" t="s">
        <v>10153</v>
      </c>
      <c r="LJA5" s="12" t="s">
        <v>10154</v>
      </c>
      <c r="LJB5" s="12" t="s">
        <v>10155</v>
      </c>
      <c r="LJC5" s="12" t="s">
        <v>10156</v>
      </c>
      <c r="LJD5" s="12" t="s">
        <v>10157</v>
      </c>
      <c r="LJE5" s="12" t="s">
        <v>10158</v>
      </c>
      <c r="LJF5" s="12" t="s">
        <v>10159</v>
      </c>
      <c r="LJG5" s="12" t="s">
        <v>10160</v>
      </c>
      <c r="LJH5" s="12" t="s">
        <v>10161</v>
      </c>
      <c r="LJI5" s="12" t="s">
        <v>10162</v>
      </c>
      <c r="LJJ5" s="12" t="s">
        <v>10163</v>
      </c>
      <c r="LJK5" s="12" t="s">
        <v>10164</v>
      </c>
      <c r="LJL5" s="12" t="s">
        <v>10165</v>
      </c>
      <c r="LJM5" s="12" t="s">
        <v>10166</v>
      </c>
      <c r="LJN5" s="12" t="s">
        <v>10167</v>
      </c>
      <c r="LJO5" s="12" t="s">
        <v>10168</v>
      </c>
      <c r="LJP5" s="12" t="s">
        <v>10169</v>
      </c>
      <c r="LJQ5" s="12" t="s">
        <v>10170</v>
      </c>
      <c r="LJR5" s="12" t="s">
        <v>10171</v>
      </c>
      <c r="LJS5" s="12" t="s">
        <v>10172</v>
      </c>
      <c r="LJT5" s="12" t="s">
        <v>10173</v>
      </c>
      <c r="LJU5" s="12" t="s">
        <v>10174</v>
      </c>
      <c r="LJV5" s="12" t="s">
        <v>10175</v>
      </c>
      <c r="LJW5" s="12" t="s">
        <v>10176</v>
      </c>
      <c r="LJX5" s="12" t="s">
        <v>10177</v>
      </c>
      <c r="LJY5" s="12" t="s">
        <v>10178</v>
      </c>
      <c r="LJZ5" s="12" t="s">
        <v>10179</v>
      </c>
      <c r="LKA5" s="12" t="s">
        <v>10180</v>
      </c>
      <c r="LKB5" s="12" t="s">
        <v>10181</v>
      </c>
      <c r="LKC5" s="12" t="s">
        <v>10182</v>
      </c>
      <c r="LKD5" s="12" t="s">
        <v>10183</v>
      </c>
      <c r="LKE5" s="12" t="s">
        <v>10184</v>
      </c>
      <c r="LKF5" s="12" t="s">
        <v>10185</v>
      </c>
      <c r="LKG5" s="12" t="s">
        <v>10186</v>
      </c>
      <c r="LKH5" s="12" t="s">
        <v>10187</v>
      </c>
      <c r="LKI5" s="12" t="s">
        <v>10188</v>
      </c>
      <c r="LKJ5" s="12" t="s">
        <v>10189</v>
      </c>
      <c r="LKK5" s="12" t="s">
        <v>10190</v>
      </c>
      <c r="LKL5" s="12" t="s">
        <v>10191</v>
      </c>
      <c r="LKM5" s="12" t="s">
        <v>10192</v>
      </c>
      <c r="LKN5" s="12" t="s">
        <v>10193</v>
      </c>
      <c r="LKO5" s="12" t="s">
        <v>10194</v>
      </c>
      <c r="LKP5" s="12" t="s">
        <v>10195</v>
      </c>
      <c r="LKQ5" s="12" t="s">
        <v>10196</v>
      </c>
      <c r="LKR5" s="12" t="s">
        <v>10197</v>
      </c>
      <c r="LKS5" s="12" t="s">
        <v>10198</v>
      </c>
      <c r="LKT5" s="12" t="s">
        <v>10199</v>
      </c>
      <c r="LKU5" s="12" t="s">
        <v>10200</v>
      </c>
      <c r="LKV5" s="12" t="s">
        <v>10201</v>
      </c>
      <c r="LKW5" s="12" t="s">
        <v>10202</v>
      </c>
      <c r="LKX5" s="12" t="s">
        <v>10203</v>
      </c>
      <c r="LKY5" s="12" t="s">
        <v>10204</v>
      </c>
      <c r="LKZ5" s="12" t="s">
        <v>10205</v>
      </c>
      <c r="LLA5" s="12" t="s">
        <v>10206</v>
      </c>
      <c r="LLB5" s="12" t="s">
        <v>10207</v>
      </c>
      <c r="LLC5" s="12" t="s">
        <v>10208</v>
      </c>
      <c r="LLD5" s="12" t="s">
        <v>10209</v>
      </c>
      <c r="LLE5" s="12" t="s">
        <v>10210</v>
      </c>
      <c r="LLF5" s="12" t="s">
        <v>10211</v>
      </c>
      <c r="LLG5" s="12" t="s">
        <v>10212</v>
      </c>
      <c r="LLH5" s="12" t="s">
        <v>10213</v>
      </c>
      <c r="LLI5" s="12" t="s">
        <v>10214</v>
      </c>
      <c r="LLJ5" s="12" t="s">
        <v>10215</v>
      </c>
      <c r="LLK5" s="12" t="s">
        <v>10216</v>
      </c>
      <c r="LLL5" s="12" t="s">
        <v>10217</v>
      </c>
      <c r="LLM5" s="12" t="s">
        <v>10218</v>
      </c>
      <c r="LLN5" s="12" t="s">
        <v>10219</v>
      </c>
      <c r="LLO5" s="12" t="s">
        <v>10220</v>
      </c>
      <c r="LLP5" s="12" t="s">
        <v>10221</v>
      </c>
      <c r="LLQ5" s="12" t="s">
        <v>10222</v>
      </c>
      <c r="LLR5" s="12" t="s">
        <v>10223</v>
      </c>
      <c r="LLS5" s="12" t="s">
        <v>10224</v>
      </c>
      <c r="LLT5" s="12" t="s">
        <v>10225</v>
      </c>
      <c r="LLU5" s="12" t="s">
        <v>10226</v>
      </c>
      <c r="LLV5" s="12" t="s">
        <v>10227</v>
      </c>
      <c r="LLW5" s="12" t="s">
        <v>10228</v>
      </c>
      <c r="LLX5" s="12" t="s">
        <v>10229</v>
      </c>
      <c r="LLY5" s="12" t="s">
        <v>10230</v>
      </c>
      <c r="LLZ5" s="12" t="s">
        <v>10231</v>
      </c>
      <c r="LMA5" s="12" t="s">
        <v>10232</v>
      </c>
      <c r="LMB5" s="12" t="s">
        <v>10233</v>
      </c>
      <c r="LMC5" s="12" t="s">
        <v>10234</v>
      </c>
      <c r="LMD5" s="12" t="s">
        <v>10235</v>
      </c>
      <c r="LME5" s="12" t="s">
        <v>10236</v>
      </c>
      <c r="LMF5" s="12" t="s">
        <v>10237</v>
      </c>
      <c r="LMG5" s="12" t="s">
        <v>10238</v>
      </c>
      <c r="LMH5" s="12" t="s">
        <v>10239</v>
      </c>
      <c r="LMI5" s="12" t="s">
        <v>10240</v>
      </c>
      <c r="LMJ5" s="12" t="s">
        <v>10241</v>
      </c>
      <c r="LMK5" s="12" t="s">
        <v>10242</v>
      </c>
      <c r="LML5" s="12" t="s">
        <v>10243</v>
      </c>
      <c r="LMM5" s="12" t="s">
        <v>10244</v>
      </c>
      <c r="LMN5" s="12" t="s">
        <v>10245</v>
      </c>
      <c r="LMO5" s="12" t="s">
        <v>10246</v>
      </c>
      <c r="LMP5" s="12" t="s">
        <v>10247</v>
      </c>
      <c r="LMQ5" s="12" t="s">
        <v>10248</v>
      </c>
      <c r="LMR5" s="12" t="s">
        <v>10249</v>
      </c>
      <c r="LMS5" s="12" t="s">
        <v>10250</v>
      </c>
      <c r="LMT5" s="12" t="s">
        <v>10251</v>
      </c>
      <c r="LMU5" s="12" t="s">
        <v>10252</v>
      </c>
      <c r="LMV5" s="12" t="s">
        <v>10253</v>
      </c>
      <c r="LMW5" s="12" t="s">
        <v>10254</v>
      </c>
      <c r="LMX5" s="12" t="s">
        <v>10255</v>
      </c>
      <c r="LMY5" s="12" t="s">
        <v>10256</v>
      </c>
      <c r="LMZ5" s="12" t="s">
        <v>10257</v>
      </c>
      <c r="LNA5" s="12" t="s">
        <v>10258</v>
      </c>
      <c r="LNB5" s="12" t="s">
        <v>10259</v>
      </c>
      <c r="LNC5" s="12" t="s">
        <v>10260</v>
      </c>
      <c r="LND5" s="12" t="s">
        <v>10261</v>
      </c>
      <c r="LNE5" s="12" t="s">
        <v>10262</v>
      </c>
      <c r="LNF5" s="12" t="s">
        <v>10263</v>
      </c>
      <c r="LNG5" s="12" t="s">
        <v>10264</v>
      </c>
      <c r="LNH5" s="12" t="s">
        <v>10265</v>
      </c>
      <c r="LNI5" s="12" t="s">
        <v>10266</v>
      </c>
      <c r="LNJ5" s="12" t="s">
        <v>10267</v>
      </c>
      <c r="LNK5" s="12" t="s">
        <v>10268</v>
      </c>
      <c r="LNL5" s="12" t="s">
        <v>10269</v>
      </c>
      <c r="LNM5" s="12" t="s">
        <v>10270</v>
      </c>
      <c r="LNN5" s="12" t="s">
        <v>10271</v>
      </c>
      <c r="LNO5" s="12" t="s">
        <v>10272</v>
      </c>
      <c r="LNP5" s="12" t="s">
        <v>10273</v>
      </c>
      <c r="LNQ5" s="12" t="s">
        <v>10274</v>
      </c>
      <c r="LNR5" s="12" t="s">
        <v>10275</v>
      </c>
      <c r="LNS5" s="12" t="s">
        <v>10276</v>
      </c>
      <c r="LNT5" s="12" t="s">
        <v>10277</v>
      </c>
      <c r="LNU5" s="12" t="s">
        <v>10278</v>
      </c>
      <c r="LNV5" s="12" t="s">
        <v>10279</v>
      </c>
      <c r="LNW5" s="12" t="s">
        <v>10280</v>
      </c>
      <c r="LNX5" s="12" t="s">
        <v>10281</v>
      </c>
      <c r="LNY5" s="12" t="s">
        <v>10282</v>
      </c>
      <c r="LNZ5" s="12" t="s">
        <v>10283</v>
      </c>
      <c r="LOA5" s="12" t="s">
        <v>10284</v>
      </c>
      <c r="LOB5" s="12" t="s">
        <v>10285</v>
      </c>
      <c r="LOC5" s="12" t="s">
        <v>10286</v>
      </c>
      <c r="LOD5" s="12" t="s">
        <v>10287</v>
      </c>
      <c r="LOE5" s="12" t="s">
        <v>10288</v>
      </c>
      <c r="LOF5" s="12" t="s">
        <v>10289</v>
      </c>
      <c r="LOG5" s="12" t="s">
        <v>10290</v>
      </c>
      <c r="LOH5" s="12" t="s">
        <v>10291</v>
      </c>
      <c r="LOI5" s="12" t="s">
        <v>10292</v>
      </c>
      <c r="LOJ5" s="12" t="s">
        <v>10293</v>
      </c>
      <c r="LOK5" s="12" t="s">
        <v>10294</v>
      </c>
      <c r="LOL5" s="12" t="s">
        <v>10295</v>
      </c>
      <c r="LOM5" s="12" t="s">
        <v>10296</v>
      </c>
      <c r="LON5" s="12" t="s">
        <v>10297</v>
      </c>
      <c r="LOO5" s="12" t="s">
        <v>10298</v>
      </c>
      <c r="LOP5" s="12" t="s">
        <v>10299</v>
      </c>
      <c r="LOQ5" s="12" t="s">
        <v>10300</v>
      </c>
      <c r="LOR5" s="12" t="s">
        <v>10301</v>
      </c>
      <c r="LOS5" s="12" t="s">
        <v>10302</v>
      </c>
      <c r="LOT5" s="12" t="s">
        <v>10303</v>
      </c>
      <c r="LOU5" s="12" t="s">
        <v>10304</v>
      </c>
      <c r="LOV5" s="12" t="s">
        <v>10305</v>
      </c>
      <c r="LOW5" s="12" t="s">
        <v>10306</v>
      </c>
      <c r="LOX5" s="12" t="s">
        <v>10307</v>
      </c>
      <c r="LOY5" s="12" t="s">
        <v>10308</v>
      </c>
      <c r="LOZ5" s="12" t="s">
        <v>10309</v>
      </c>
      <c r="LPA5" s="12" t="s">
        <v>10310</v>
      </c>
      <c r="LPB5" s="12" t="s">
        <v>10311</v>
      </c>
      <c r="LPC5" s="12" t="s">
        <v>10312</v>
      </c>
      <c r="LPD5" s="12" t="s">
        <v>10313</v>
      </c>
      <c r="LPE5" s="12" t="s">
        <v>10314</v>
      </c>
      <c r="LPF5" s="12" t="s">
        <v>10315</v>
      </c>
      <c r="LPG5" s="12" t="s">
        <v>10316</v>
      </c>
      <c r="LPH5" s="12" t="s">
        <v>10317</v>
      </c>
      <c r="LPI5" s="12" t="s">
        <v>10318</v>
      </c>
      <c r="LPJ5" s="12" t="s">
        <v>10319</v>
      </c>
      <c r="LPK5" s="12" t="s">
        <v>10320</v>
      </c>
      <c r="LPL5" s="12" t="s">
        <v>10321</v>
      </c>
      <c r="LPM5" s="12" t="s">
        <v>10322</v>
      </c>
      <c r="LPN5" s="12" t="s">
        <v>10323</v>
      </c>
      <c r="LPO5" s="12" t="s">
        <v>10324</v>
      </c>
      <c r="LPP5" s="12" t="s">
        <v>10325</v>
      </c>
      <c r="LPQ5" s="12" t="s">
        <v>10326</v>
      </c>
      <c r="LPR5" s="12" t="s">
        <v>10327</v>
      </c>
      <c r="LPS5" s="12" t="s">
        <v>10328</v>
      </c>
      <c r="LPT5" s="12" t="s">
        <v>10329</v>
      </c>
      <c r="LPU5" s="12" t="s">
        <v>10330</v>
      </c>
      <c r="LPV5" s="12" t="s">
        <v>10331</v>
      </c>
      <c r="LPW5" s="12" t="s">
        <v>10332</v>
      </c>
      <c r="LPX5" s="12" t="s">
        <v>10333</v>
      </c>
      <c r="LPY5" s="12" t="s">
        <v>10334</v>
      </c>
      <c r="LPZ5" s="12" t="s">
        <v>10335</v>
      </c>
      <c r="LQA5" s="12" t="s">
        <v>10336</v>
      </c>
      <c r="LQB5" s="12" t="s">
        <v>10337</v>
      </c>
      <c r="LQC5" s="12" t="s">
        <v>10338</v>
      </c>
      <c r="LQD5" s="12" t="s">
        <v>10339</v>
      </c>
      <c r="LQE5" s="12" t="s">
        <v>10340</v>
      </c>
      <c r="LQF5" s="12" t="s">
        <v>10341</v>
      </c>
      <c r="LQG5" s="12" t="s">
        <v>10342</v>
      </c>
      <c r="LQH5" s="12" t="s">
        <v>10343</v>
      </c>
      <c r="LQI5" s="12" t="s">
        <v>10344</v>
      </c>
      <c r="LQJ5" s="12" t="s">
        <v>10345</v>
      </c>
      <c r="LQK5" s="12" t="s">
        <v>10346</v>
      </c>
      <c r="LQL5" s="12" t="s">
        <v>10347</v>
      </c>
      <c r="LQM5" s="12" t="s">
        <v>10348</v>
      </c>
      <c r="LQN5" s="12" t="s">
        <v>10349</v>
      </c>
      <c r="LQO5" s="12" t="s">
        <v>10350</v>
      </c>
      <c r="LQP5" s="12" t="s">
        <v>10351</v>
      </c>
      <c r="LQQ5" s="12" t="s">
        <v>10352</v>
      </c>
      <c r="LQR5" s="12" t="s">
        <v>10353</v>
      </c>
      <c r="LQS5" s="12" t="s">
        <v>10354</v>
      </c>
      <c r="LQT5" s="12" t="s">
        <v>10355</v>
      </c>
      <c r="LQU5" s="12" t="s">
        <v>10356</v>
      </c>
      <c r="LQV5" s="12" t="s">
        <v>10357</v>
      </c>
      <c r="LQW5" s="12" t="s">
        <v>10358</v>
      </c>
      <c r="LQX5" s="12" t="s">
        <v>10359</v>
      </c>
      <c r="LQY5" s="12" t="s">
        <v>10360</v>
      </c>
      <c r="LQZ5" s="12" t="s">
        <v>10361</v>
      </c>
      <c r="LRA5" s="12" t="s">
        <v>10362</v>
      </c>
      <c r="LRB5" s="12" t="s">
        <v>10363</v>
      </c>
      <c r="LRC5" s="12" t="s">
        <v>10364</v>
      </c>
      <c r="LRD5" s="12" t="s">
        <v>10365</v>
      </c>
      <c r="LRE5" s="12" t="s">
        <v>10366</v>
      </c>
      <c r="LRF5" s="12" t="s">
        <v>10367</v>
      </c>
      <c r="LRG5" s="12" t="s">
        <v>10368</v>
      </c>
      <c r="LRH5" s="12" t="s">
        <v>10369</v>
      </c>
      <c r="LRI5" s="12" t="s">
        <v>10370</v>
      </c>
      <c r="LRJ5" s="12" t="s">
        <v>10371</v>
      </c>
      <c r="LRK5" s="12" t="s">
        <v>10372</v>
      </c>
      <c r="LRL5" s="12" t="s">
        <v>10373</v>
      </c>
      <c r="LRM5" s="12" t="s">
        <v>10374</v>
      </c>
      <c r="LRN5" s="12" t="s">
        <v>10375</v>
      </c>
      <c r="LRO5" s="12" t="s">
        <v>10376</v>
      </c>
      <c r="LRP5" s="12" t="s">
        <v>10377</v>
      </c>
      <c r="LRQ5" s="12" t="s">
        <v>10378</v>
      </c>
      <c r="LRR5" s="12" t="s">
        <v>10379</v>
      </c>
      <c r="LRS5" s="12" t="s">
        <v>10380</v>
      </c>
      <c r="LRT5" s="12" t="s">
        <v>10381</v>
      </c>
      <c r="LRU5" s="12" t="s">
        <v>10382</v>
      </c>
      <c r="LRV5" s="12" t="s">
        <v>10383</v>
      </c>
      <c r="LRW5" s="12" t="s">
        <v>10384</v>
      </c>
      <c r="LRX5" s="12" t="s">
        <v>10385</v>
      </c>
      <c r="LRY5" s="12" t="s">
        <v>10386</v>
      </c>
      <c r="LRZ5" s="12" t="s">
        <v>10387</v>
      </c>
      <c r="LSA5" s="12" t="s">
        <v>10388</v>
      </c>
      <c r="LSB5" s="12" t="s">
        <v>10389</v>
      </c>
      <c r="LSC5" s="12" t="s">
        <v>10390</v>
      </c>
      <c r="LSD5" s="12" t="s">
        <v>10391</v>
      </c>
      <c r="LSE5" s="12" t="s">
        <v>10392</v>
      </c>
      <c r="LSF5" s="12" t="s">
        <v>10393</v>
      </c>
      <c r="LSG5" s="12" t="s">
        <v>10394</v>
      </c>
      <c r="LSH5" s="12" t="s">
        <v>10395</v>
      </c>
      <c r="LSI5" s="12" t="s">
        <v>10396</v>
      </c>
      <c r="LSJ5" s="12" t="s">
        <v>10397</v>
      </c>
      <c r="LSK5" s="12" t="s">
        <v>10398</v>
      </c>
      <c r="LSL5" s="12" t="s">
        <v>10399</v>
      </c>
      <c r="LSM5" s="12" t="s">
        <v>10400</v>
      </c>
      <c r="LSN5" s="12" t="s">
        <v>10401</v>
      </c>
      <c r="LSO5" s="12" t="s">
        <v>10402</v>
      </c>
      <c r="LSP5" s="12" t="s">
        <v>10403</v>
      </c>
      <c r="LSQ5" s="12" t="s">
        <v>10404</v>
      </c>
      <c r="LSR5" s="12" t="s">
        <v>10405</v>
      </c>
      <c r="LSS5" s="12" t="s">
        <v>10406</v>
      </c>
      <c r="LST5" s="12" t="s">
        <v>10407</v>
      </c>
      <c r="LSU5" s="12" t="s">
        <v>10408</v>
      </c>
      <c r="LSV5" s="12" t="s">
        <v>10409</v>
      </c>
      <c r="LSW5" s="12" t="s">
        <v>10410</v>
      </c>
      <c r="LSX5" s="12" t="s">
        <v>10411</v>
      </c>
      <c r="LSY5" s="12" t="s">
        <v>10412</v>
      </c>
      <c r="LSZ5" s="12" t="s">
        <v>10413</v>
      </c>
      <c r="LTA5" s="12" t="s">
        <v>10414</v>
      </c>
      <c r="LTB5" s="12" t="s">
        <v>10415</v>
      </c>
      <c r="LTC5" s="12" t="s">
        <v>10416</v>
      </c>
      <c r="LTD5" s="12" t="s">
        <v>10417</v>
      </c>
      <c r="LTE5" s="12" t="s">
        <v>10418</v>
      </c>
      <c r="LTF5" s="12" t="s">
        <v>10419</v>
      </c>
      <c r="LTG5" s="12" t="s">
        <v>10420</v>
      </c>
      <c r="LTH5" s="12" t="s">
        <v>10421</v>
      </c>
      <c r="LTI5" s="12" t="s">
        <v>10422</v>
      </c>
      <c r="LTJ5" s="12" t="s">
        <v>10423</v>
      </c>
      <c r="LTK5" s="12" t="s">
        <v>10424</v>
      </c>
      <c r="LTL5" s="12" t="s">
        <v>10425</v>
      </c>
      <c r="LTM5" s="12" t="s">
        <v>10426</v>
      </c>
      <c r="LTN5" s="12" t="s">
        <v>10427</v>
      </c>
      <c r="LTO5" s="12" t="s">
        <v>10428</v>
      </c>
      <c r="LTP5" s="12" t="s">
        <v>10429</v>
      </c>
      <c r="LTQ5" s="12" t="s">
        <v>10430</v>
      </c>
      <c r="LTR5" s="12" t="s">
        <v>10431</v>
      </c>
      <c r="LTS5" s="12" t="s">
        <v>10432</v>
      </c>
      <c r="LTT5" s="12" t="s">
        <v>10433</v>
      </c>
      <c r="LTU5" s="12" t="s">
        <v>10434</v>
      </c>
      <c r="LTV5" s="12" t="s">
        <v>10435</v>
      </c>
      <c r="LTW5" s="12" t="s">
        <v>10436</v>
      </c>
      <c r="LTX5" s="12" t="s">
        <v>10437</v>
      </c>
      <c r="LTY5" s="12" t="s">
        <v>10438</v>
      </c>
      <c r="LTZ5" s="12" t="s">
        <v>10439</v>
      </c>
      <c r="LUA5" s="12" t="s">
        <v>10440</v>
      </c>
      <c r="LUB5" s="12" t="s">
        <v>10441</v>
      </c>
      <c r="LUC5" s="12" t="s">
        <v>10442</v>
      </c>
      <c r="LUD5" s="12" t="s">
        <v>10443</v>
      </c>
      <c r="LUE5" s="12" t="s">
        <v>10444</v>
      </c>
      <c r="LUF5" s="12" t="s">
        <v>10445</v>
      </c>
      <c r="LUG5" s="12" t="s">
        <v>10446</v>
      </c>
      <c r="LUH5" s="12" t="s">
        <v>10447</v>
      </c>
      <c r="LUI5" s="12" t="s">
        <v>10448</v>
      </c>
      <c r="LUJ5" s="12" t="s">
        <v>10449</v>
      </c>
      <c r="LUK5" s="12" t="s">
        <v>10450</v>
      </c>
      <c r="LUL5" s="12" t="s">
        <v>10451</v>
      </c>
      <c r="LUM5" s="12" t="s">
        <v>10452</v>
      </c>
      <c r="LUN5" s="12" t="s">
        <v>10453</v>
      </c>
      <c r="LUO5" s="12" t="s">
        <v>10454</v>
      </c>
      <c r="LUP5" s="12" t="s">
        <v>10455</v>
      </c>
      <c r="LUQ5" s="12" t="s">
        <v>10456</v>
      </c>
      <c r="LUR5" s="12" t="s">
        <v>10457</v>
      </c>
      <c r="LUS5" s="12" t="s">
        <v>10458</v>
      </c>
      <c r="LUT5" s="12" t="s">
        <v>10459</v>
      </c>
      <c r="LUU5" s="12" t="s">
        <v>10460</v>
      </c>
      <c r="LUV5" s="12" t="s">
        <v>10461</v>
      </c>
      <c r="LUW5" s="12" t="s">
        <v>10462</v>
      </c>
      <c r="LUX5" s="12" t="s">
        <v>10463</v>
      </c>
      <c r="LUY5" s="12" t="s">
        <v>10464</v>
      </c>
      <c r="LUZ5" s="12" t="s">
        <v>10465</v>
      </c>
      <c r="LVA5" s="12" t="s">
        <v>10466</v>
      </c>
      <c r="LVB5" s="12" t="s">
        <v>10467</v>
      </c>
      <c r="LVC5" s="12" t="s">
        <v>10468</v>
      </c>
      <c r="LVD5" s="12" t="s">
        <v>10469</v>
      </c>
      <c r="LVE5" s="12" t="s">
        <v>10470</v>
      </c>
      <c r="LVF5" s="12" t="s">
        <v>10471</v>
      </c>
      <c r="LVG5" s="12" t="s">
        <v>10472</v>
      </c>
      <c r="LVH5" s="12" t="s">
        <v>10473</v>
      </c>
      <c r="LVI5" s="12" t="s">
        <v>10474</v>
      </c>
      <c r="LVJ5" s="12" t="s">
        <v>10475</v>
      </c>
      <c r="LVK5" s="12" t="s">
        <v>10476</v>
      </c>
      <c r="LVL5" s="12" t="s">
        <v>10477</v>
      </c>
      <c r="LVM5" s="12" t="s">
        <v>10478</v>
      </c>
      <c r="LVN5" s="12" t="s">
        <v>10479</v>
      </c>
      <c r="LVO5" s="12" t="s">
        <v>10480</v>
      </c>
      <c r="LVP5" s="12" t="s">
        <v>10481</v>
      </c>
      <c r="LVQ5" s="12" t="s">
        <v>10482</v>
      </c>
      <c r="LVR5" s="12" t="s">
        <v>10483</v>
      </c>
      <c r="LVS5" s="12" t="s">
        <v>10484</v>
      </c>
      <c r="LVT5" s="12" t="s">
        <v>10485</v>
      </c>
      <c r="LVU5" s="12" t="s">
        <v>10486</v>
      </c>
      <c r="LVV5" s="12" t="s">
        <v>10487</v>
      </c>
      <c r="LVW5" s="12" t="s">
        <v>10488</v>
      </c>
      <c r="LVX5" s="12" t="s">
        <v>10489</v>
      </c>
      <c r="LVY5" s="12" t="s">
        <v>10490</v>
      </c>
      <c r="LVZ5" s="12" t="s">
        <v>10491</v>
      </c>
      <c r="LWA5" s="12" t="s">
        <v>10492</v>
      </c>
      <c r="LWB5" s="12" t="s">
        <v>10493</v>
      </c>
      <c r="LWC5" s="12" t="s">
        <v>10494</v>
      </c>
      <c r="LWD5" s="12" t="s">
        <v>10495</v>
      </c>
      <c r="LWE5" s="12" t="s">
        <v>10496</v>
      </c>
      <c r="LWF5" s="12" t="s">
        <v>10497</v>
      </c>
      <c r="LWG5" s="12" t="s">
        <v>10498</v>
      </c>
      <c r="LWH5" s="12" t="s">
        <v>10499</v>
      </c>
      <c r="LWI5" s="12" t="s">
        <v>10500</v>
      </c>
      <c r="LWJ5" s="12" t="s">
        <v>10501</v>
      </c>
      <c r="LWK5" s="12" t="s">
        <v>10502</v>
      </c>
      <c r="LWL5" s="12" t="s">
        <v>10503</v>
      </c>
      <c r="LWM5" s="12" t="s">
        <v>10504</v>
      </c>
      <c r="LWN5" s="12" t="s">
        <v>10505</v>
      </c>
      <c r="LWO5" s="12" t="s">
        <v>10506</v>
      </c>
      <c r="LWP5" s="12" t="s">
        <v>10507</v>
      </c>
      <c r="LWQ5" s="12" t="s">
        <v>10508</v>
      </c>
      <c r="LWR5" s="12" t="s">
        <v>10509</v>
      </c>
      <c r="LWS5" s="12" t="s">
        <v>10510</v>
      </c>
      <c r="LWT5" s="12" t="s">
        <v>10511</v>
      </c>
      <c r="LWU5" s="12" t="s">
        <v>10512</v>
      </c>
      <c r="LWV5" s="12" t="s">
        <v>10513</v>
      </c>
      <c r="LWW5" s="12" t="s">
        <v>10514</v>
      </c>
      <c r="LWX5" s="12" t="s">
        <v>10515</v>
      </c>
      <c r="LWY5" s="12" t="s">
        <v>10516</v>
      </c>
      <c r="LWZ5" s="12" t="s">
        <v>10517</v>
      </c>
      <c r="LXA5" s="12" t="s">
        <v>10518</v>
      </c>
      <c r="LXB5" s="12" t="s">
        <v>10519</v>
      </c>
      <c r="LXC5" s="12" t="s">
        <v>10520</v>
      </c>
      <c r="LXD5" s="12" t="s">
        <v>10521</v>
      </c>
      <c r="LXE5" s="12" t="s">
        <v>10522</v>
      </c>
      <c r="LXF5" s="12" t="s">
        <v>10523</v>
      </c>
      <c r="LXG5" s="12" t="s">
        <v>10524</v>
      </c>
      <c r="LXH5" s="12" t="s">
        <v>10525</v>
      </c>
      <c r="LXI5" s="12" t="s">
        <v>10526</v>
      </c>
      <c r="LXJ5" s="12" t="s">
        <v>10527</v>
      </c>
      <c r="LXK5" s="12" t="s">
        <v>10528</v>
      </c>
      <c r="LXL5" s="12" t="s">
        <v>10529</v>
      </c>
      <c r="LXM5" s="12" t="s">
        <v>10530</v>
      </c>
      <c r="LXN5" s="12" t="s">
        <v>10531</v>
      </c>
      <c r="LXO5" s="12" t="s">
        <v>10532</v>
      </c>
      <c r="LXP5" s="12" t="s">
        <v>10533</v>
      </c>
      <c r="LXQ5" s="12" t="s">
        <v>10534</v>
      </c>
      <c r="LXR5" s="12" t="s">
        <v>10535</v>
      </c>
      <c r="LXS5" s="12" t="s">
        <v>10536</v>
      </c>
      <c r="LXT5" s="12" t="s">
        <v>10537</v>
      </c>
      <c r="LXU5" s="12" t="s">
        <v>10538</v>
      </c>
      <c r="LXV5" s="12" t="s">
        <v>10539</v>
      </c>
      <c r="LXW5" s="12" t="s">
        <v>10540</v>
      </c>
      <c r="LXX5" s="12" t="s">
        <v>10541</v>
      </c>
      <c r="LXY5" s="12" t="s">
        <v>10542</v>
      </c>
      <c r="LXZ5" s="12" t="s">
        <v>10543</v>
      </c>
      <c r="LYA5" s="12" t="s">
        <v>10544</v>
      </c>
      <c r="LYB5" s="12" t="s">
        <v>10545</v>
      </c>
      <c r="LYC5" s="12" t="s">
        <v>10546</v>
      </c>
      <c r="LYD5" s="12" t="s">
        <v>10547</v>
      </c>
      <c r="LYE5" s="12" t="s">
        <v>10548</v>
      </c>
      <c r="LYF5" s="12" t="s">
        <v>10549</v>
      </c>
      <c r="LYG5" s="12" t="s">
        <v>10550</v>
      </c>
      <c r="LYH5" s="12" t="s">
        <v>10551</v>
      </c>
      <c r="LYI5" s="12" t="s">
        <v>10552</v>
      </c>
      <c r="LYJ5" s="12" t="s">
        <v>10553</v>
      </c>
      <c r="LYK5" s="12" t="s">
        <v>10554</v>
      </c>
      <c r="LYL5" s="12" t="s">
        <v>10555</v>
      </c>
      <c r="LYM5" s="12" t="s">
        <v>10556</v>
      </c>
      <c r="LYN5" s="12" t="s">
        <v>10557</v>
      </c>
      <c r="LYO5" s="12" t="s">
        <v>10558</v>
      </c>
      <c r="LYP5" s="12" t="s">
        <v>10559</v>
      </c>
      <c r="LYQ5" s="12" t="s">
        <v>10560</v>
      </c>
      <c r="LYR5" s="12" t="s">
        <v>10561</v>
      </c>
      <c r="LYS5" s="12" t="s">
        <v>10562</v>
      </c>
      <c r="LYT5" s="12" t="s">
        <v>10563</v>
      </c>
      <c r="LYU5" s="12" t="s">
        <v>10564</v>
      </c>
      <c r="LYV5" s="12" t="s">
        <v>10565</v>
      </c>
      <c r="LYW5" s="12" t="s">
        <v>10566</v>
      </c>
      <c r="LYX5" s="12" t="s">
        <v>10567</v>
      </c>
      <c r="LYY5" s="12" t="s">
        <v>10568</v>
      </c>
      <c r="LYZ5" s="12" t="s">
        <v>10569</v>
      </c>
      <c r="LZA5" s="12" t="s">
        <v>10570</v>
      </c>
      <c r="LZB5" s="12" t="s">
        <v>10571</v>
      </c>
      <c r="LZC5" s="12" t="s">
        <v>10572</v>
      </c>
      <c r="LZD5" s="12" t="s">
        <v>10573</v>
      </c>
      <c r="LZE5" s="12" t="s">
        <v>10574</v>
      </c>
      <c r="LZF5" s="12" t="s">
        <v>10575</v>
      </c>
      <c r="LZG5" s="12" t="s">
        <v>10576</v>
      </c>
      <c r="LZH5" s="12" t="s">
        <v>10577</v>
      </c>
      <c r="LZI5" s="12" t="s">
        <v>10578</v>
      </c>
      <c r="LZJ5" s="12" t="s">
        <v>10579</v>
      </c>
      <c r="LZK5" s="12" t="s">
        <v>10580</v>
      </c>
      <c r="LZL5" s="12" t="s">
        <v>10581</v>
      </c>
      <c r="LZM5" s="12" t="s">
        <v>10582</v>
      </c>
      <c r="LZN5" s="12" t="s">
        <v>10583</v>
      </c>
      <c r="LZO5" s="12" t="s">
        <v>10584</v>
      </c>
      <c r="LZP5" s="12" t="s">
        <v>10585</v>
      </c>
      <c r="LZQ5" s="12" t="s">
        <v>10586</v>
      </c>
      <c r="LZR5" s="12" t="s">
        <v>10587</v>
      </c>
      <c r="LZS5" s="12" t="s">
        <v>10588</v>
      </c>
      <c r="LZT5" s="12" t="s">
        <v>10589</v>
      </c>
      <c r="LZU5" s="12" t="s">
        <v>10590</v>
      </c>
      <c r="LZV5" s="12" t="s">
        <v>10591</v>
      </c>
      <c r="LZW5" s="12" t="s">
        <v>10592</v>
      </c>
      <c r="LZX5" s="12" t="s">
        <v>10593</v>
      </c>
      <c r="LZY5" s="12" t="s">
        <v>10594</v>
      </c>
      <c r="LZZ5" s="12" t="s">
        <v>10595</v>
      </c>
      <c r="MAA5" s="12" t="s">
        <v>10596</v>
      </c>
      <c r="MAB5" s="12" t="s">
        <v>10597</v>
      </c>
      <c r="MAC5" s="12" t="s">
        <v>10598</v>
      </c>
      <c r="MAD5" s="12" t="s">
        <v>10599</v>
      </c>
      <c r="MAE5" s="12" t="s">
        <v>10600</v>
      </c>
      <c r="MAF5" s="12" t="s">
        <v>10601</v>
      </c>
      <c r="MAG5" s="12" t="s">
        <v>10602</v>
      </c>
      <c r="MAH5" s="12" t="s">
        <v>10603</v>
      </c>
      <c r="MAI5" s="12" t="s">
        <v>10604</v>
      </c>
      <c r="MAJ5" s="12" t="s">
        <v>10605</v>
      </c>
      <c r="MAK5" s="12" t="s">
        <v>10606</v>
      </c>
      <c r="MAL5" s="12" t="s">
        <v>10607</v>
      </c>
      <c r="MAM5" s="12" t="s">
        <v>10608</v>
      </c>
      <c r="MAN5" s="12" t="s">
        <v>10609</v>
      </c>
      <c r="MAO5" s="12" t="s">
        <v>10610</v>
      </c>
      <c r="MAP5" s="12" t="s">
        <v>10611</v>
      </c>
      <c r="MAQ5" s="12" t="s">
        <v>10612</v>
      </c>
      <c r="MAR5" s="12" t="s">
        <v>10613</v>
      </c>
      <c r="MAS5" s="12" t="s">
        <v>10614</v>
      </c>
      <c r="MAT5" s="12" t="s">
        <v>10615</v>
      </c>
      <c r="MAU5" s="12" t="s">
        <v>10616</v>
      </c>
      <c r="MAV5" s="12" t="s">
        <v>10617</v>
      </c>
      <c r="MAW5" s="12" t="s">
        <v>10618</v>
      </c>
      <c r="MAX5" s="12" t="s">
        <v>10619</v>
      </c>
      <c r="MAY5" s="12" t="s">
        <v>10620</v>
      </c>
      <c r="MAZ5" s="12" t="s">
        <v>10621</v>
      </c>
      <c r="MBA5" s="12" t="s">
        <v>10622</v>
      </c>
      <c r="MBB5" s="12" t="s">
        <v>10623</v>
      </c>
      <c r="MBC5" s="12" t="s">
        <v>10624</v>
      </c>
      <c r="MBD5" s="12" t="s">
        <v>10625</v>
      </c>
      <c r="MBE5" s="12" t="s">
        <v>10626</v>
      </c>
      <c r="MBF5" s="12" t="s">
        <v>10627</v>
      </c>
      <c r="MBG5" s="12" t="s">
        <v>10628</v>
      </c>
      <c r="MBH5" s="12" t="s">
        <v>10629</v>
      </c>
      <c r="MBI5" s="12" t="s">
        <v>10630</v>
      </c>
      <c r="MBJ5" s="12" t="s">
        <v>10631</v>
      </c>
      <c r="MBK5" s="12" t="s">
        <v>10632</v>
      </c>
      <c r="MBL5" s="12" t="s">
        <v>10633</v>
      </c>
      <c r="MBM5" s="12" t="s">
        <v>10634</v>
      </c>
      <c r="MBN5" s="12" t="s">
        <v>10635</v>
      </c>
      <c r="MBO5" s="12" t="s">
        <v>10636</v>
      </c>
      <c r="MBP5" s="12" t="s">
        <v>10637</v>
      </c>
      <c r="MBQ5" s="12" t="s">
        <v>10638</v>
      </c>
      <c r="MBR5" s="12" t="s">
        <v>10639</v>
      </c>
      <c r="MBS5" s="12" t="s">
        <v>10640</v>
      </c>
      <c r="MBT5" s="12" t="s">
        <v>10641</v>
      </c>
      <c r="MBU5" s="12" t="s">
        <v>10642</v>
      </c>
      <c r="MBV5" s="12" t="s">
        <v>10643</v>
      </c>
      <c r="MBW5" s="12" t="s">
        <v>10644</v>
      </c>
      <c r="MBX5" s="12" t="s">
        <v>10645</v>
      </c>
      <c r="MBY5" s="12" t="s">
        <v>10646</v>
      </c>
      <c r="MBZ5" s="12" t="s">
        <v>10647</v>
      </c>
      <c r="MCA5" s="12" t="s">
        <v>10648</v>
      </c>
      <c r="MCB5" s="12" t="s">
        <v>10649</v>
      </c>
      <c r="MCC5" s="12" t="s">
        <v>10650</v>
      </c>
      <c r="MCD5" s="12" t="s">
        <v>10651</v>
      </c>
      <c r="MCE5" s="12" t="s">
        <v>10652</v>
      </c>
      <c r="MCF5" s="12" t="s">
        <v>10653</v>
      </c>
      <c r="MCG5" s="12" t="s">
        <v>10654</v>
      </c>
      <c r="MCH5" s="12" t="s">
        <v>10655</v>
      </c>
      <c r="MCI5" s="12" t="s">
        <v>10656</v>
      </c>
      <c r="MCJ5" s="12" t="s">
        <v>10657</v>
      </c>
      <c r="MCK5" s="12" t="s">
        <v>10658</v>
      </c>
      <c r="MCL5" s="12" t="s">
        <v>10659</v>
      </c>
      <c r="MCM5" s="12" t="s">
        <v>10660</v>
      </c>
      <c r="MCN5" s="12" t="s">
        <v>10661</v>
      </c>
      <c r="MCO5" s="12" t="s">
        <v>10662</v>
      </c>
      <c r="MCP5" s="12" t="s">
        <v>10663</v>
      </c>
      <c r="MCQ5" s="12" t="s">
        <v>10664</v>
      </c>
      <c r="MCR5" s="12" t="s">
        <v>10665</v>
      </c>
      <c r="MCS5" s="12" t="s">
        <v>10666</v>
      </c>
      <c r="MCT5" s="12" t="s">
        <v>10667</v>
      </c>
      <c r="MCU5" s="12" t="s">
        <v>10668</v>
      </c>
      <c r="MCV5" s="12" t="s">
        <v>10669</v>
      </c>
      <c r="MCW5" s="12" t="s">
        <v>10670</v>
      </c>
      <c r="MCX5" s="12" t="s">
        <v>10671</v>
      </c>
      <c r="MCY5" s="12" t="s">
        <v>10672</v>
      </c>
      <c r="MCZ5" s="12" t="s">
        <v>10673</v>
      </c>
      <c r="MDA5" s="12" t="s">
        <v>10674</v>
      </c>
      <c r="MDB5" s="12" t="s">
        <v>10675</v>
      </c>
      <c r="MDC5" s="12" t="s">
        <v>10676</v>
      </c>
      <c r="MDD5" s="12" t="s">
        <v>10677</v>
      </c>
      <c r="MDE5" s="12" t="s">
        <v>10678</v>
      </c>
      <c r="MDF5" s="12" t="s">
        <v>10679</v>
      </c>
      <c r="MDG5" s="12" t="s">
        <v>10680</v>
      </c>
      <c r="MDH5" s="12" t="s">
        <v>10681</v>
      </c>
      <c r="MDI5" s="12" t="s">
        <v>10682</v>
      </c>
      <c r="MDJ5" s="12" t="s">
        <v>10683</v>
      </c>
      <c r="MDK5" s="12" t="s">
        <v>10684</v>
      </c>
      <c r="MDL5" s="12" t="s">
        <v>10685</v>
      </c>
      <c r="MDM5" s="12" t="s">
        <v>10686</v>
      </c>
      <c r="MDN5" s="12" t="s">
        <v>10687</v>
      </c>
      <c r="MDO5" s="12" t="s">
        <v>10688</v>
      </c>
      <c r="MDP5" s="12" t="s">
        <v>10689</v>
      </c>
      <c r="MDQ5" s="12" t="s">
        <v>10690</v>
      </c>
      <c r="MDR5" s="12" t="s">
        <v>10691</v>
      </c>
      <c r="MDS5" s="12" t="s">
        <v>10692</v>
      </c>
      <c r="MDT5" s="12" t="s">
        <v>10693</v>
      </c>
      <c r="MDU5" s="12" t="s">
        <v>10694</v>
      </c>
      <c r="MDV5" s="12" t="s">
        <v>10695</v>
      </c>
      <c r="MDW5" s="12" t="s">
        <v>10696</v>
      </c>
      <c r="MDX5" s="12" t="s">
        <v>10697</v>
      </c>
      <c r="MDY5" s="12" t="s">
        <v>10698</v>
      </c>
      <c r="MDZ5" s="12" t="s">
        <v>10699</v>
      </c>
      <c r="MEA5" s="12" t="s">
        <v>10700</v>
      </c>
      <c r="MEB5" s="12" t="s">
        <v>10701</v>
      </c>
      <c r="MEC5" s="12" t="s">
        <v>10702</v>
      </c>
      <c r="MED5" s="12" t="s">
        <v>10703</v>
      </c>
      <c r="MEE5" s="12" t="s">
        <v>10704</v>
      </c>
      <c r="MEF5" s="12" t="s">
        <v>10705</v>
      </c>
      <c r="MEG5" s="12" t="s">
        <v>10706</v>
      </c>
      <c r="MEH5" s="12" t="s">
        <v>10707</v>
      </c>
      <c r="MEI5" s="12" t="s">
        <v>10708</v>
      </c>
      <c r="MEJ5" s="12" t="s">
        <v>10709</v>
      </c>
      <c r="MEK5" s="12" t="s">
        <v>10710</v>
      </c>
      <c r="MEL5" s="12" t="s">
        <v>10711</v>
      </c>
      <c r="MEM5" s="12" t="s">
        <v>10712</v>
      </c>
      <c r="MEN5" s="12" t="s">
        <v>10713</v>
      </c>
      <c r="MEO5" s="12" t="s">
        <v>10714</v>
      </c>
      <c r="MEP5" s="12" t="s">
        <v>10715</v>
      </c>
      <c r="MEQ5" s="12" t="s">
        <v>10716</v>
      </c>
      <c r="MER5" s="12" t="s">
        <v>10717</v>
      </c>
      <c r="MES5" s="12" t="s">
        <v>10718</v>
      </c>
      <c r="MET5" s="12" t="s">
        <v>10719</v>
      </c>
      <c r="MEU5" s="12" t="s">
        <v>10720</v>
      </c>
      <c r="MEV5" s="12" t="s">
        <v>10721</v>
      </c>
      <c r="MEW5" s="12" t="s">
        <v>10722</v>
      </c>
      <c r="MEX5" s="12" t="s">
        <v>10723</v>
      </c>
      <c r="MEY5" s="12" t="s">
        <v>10724</v>
      </c>
      <c r="MEZ5" s="12" t="s">
        <v>10725</v>
      </c>
      <c r="MFA5" s="12" t="s">
        <v>10726</v>
      </c>
      <c r="MFB5" s="12" t="s">
        <v>10727</v>
      </c>
      <c r="MFC5" s="12" t="s">
        <v>10728</v>
      </c>
      <c r="MFD5" s="12" t="s">
        <v>10729</v>
      </c>
      <c r="MFE5" s="12" t="s">
        <v>10730</v>
      </c>
      <c r="MFF5" s="12" t="s">
        <v>10731</v>
      </c>
      <c r="MFG5" s="12" t="s">
        <v>10732</v>
      </c>
      <c r="MFH5" s="12" t="s">
        <v>10733</v>
      </c>
      <c r="MFI5" s="12" t="s">
        <v>10734</v>
      </c>
      <c r="MFJ5" s="12" t="s">
        <v>10735</v>
      </c>
      <c r="MFK5" s="12" t="s">
        <v>10736</v>
      </c>
      <c r="MFL5" s="12" t="s">
        <v>10737</v>
      </c>
      <c r="MFM5" s="12" t="s">
        <v>10738</v>
      </c>
      <c r="MFN5" s="12" t="s">
        <v>10739</v>
      </c>
      <c r="MFO5" s="12" t="s">
        <v>10740</v>
      </c>
      <c r="MFP5" s="12" t="s">
        <v>10741</v>
      </c>
      <c r="MFQ5" s="12" t="s">
        <v>10742</v>
      </c>
      <c r="MFR5" s="12" t="s">
        <v>10743</v>
      </c>
      <c r="MFS5" s="12" t="s">
        <v>10744</v>
      </c>
      <c r="MFT5" s="12" t="s">
        <v>10745</v>
      </c>
      <c r="MFU5" s="12" t="s">
        <v>10746</v>
      </c>
      <c r="MFV5" s="12" t="s">
        <v>10747</v>
      </c>
      <c r="MFW5" s="12" t="s">
        <v>10748</v>
      </c>
      <c r="MFX5" s="12" t="s">
        <v>10749</v>
      </c>
      <c r="MFY5" s="12" t="s">
        <v>10750</v>
      </c>
      <c r="MFZ5" s="12" t="s">
        <v>10751</v>
      </c>
      <c r="MGA5" s="12" t="s">
        <v>10752</v>
      </c>
      <c r="MGB5" s="12" t="s">
        <v>10753</v>
      </c>
      <c r="MGC5" s="12" t="s">
        <v>10754</v>
      </c>
      <c r="MGD5" s="12" t="s">
        <v>10755</v>
      </c>
      <c r="MGE5" s="12" t="s">
        <v>10756</v>
      </c>
      <c r="MGF5" s="12" t="s">
        <v>10757</v>
      </c>
      <c r="MGG5" s="12" t="s">
        <v>10758</v>
      </c>
      <c r="MGH5" s="12" t="s">
        <v>10759</v>
      </c>
      <c r="MGI5" s="12" t="s">
        <v>10760</v>
      </c>
      <c r="MGJ5" s="12" t="s">
        <v>10761</v>
      </c>
      <c r="MGK5" s="12" t="s">
        <v>10762</v>
      </c>
      <c r="MGL5" s="12" t="s">
        <v>10763</v>
      </c>
      <c r="MGM5" s="12" t="s">
        <v>10764</v>
      </c>
      <c r="MGN5" s="12" t="s">
        <v>10765</v>
      </c>
      <c r="MGO5" s="12" t="s">
        <v>10766</v>
      </c>
      <c r="MGP5" s="12" t="s">
        <v>10767</v>
      </c>
      <c r="MGQ5" s="12" t="s">
        <v>10768</v>
      </c>
      <c r="MGR5" s="12" t="s">
        <v>10769</v>
      </c>
      <c r="MGS5" s="12" t="s">
        <v>10770</v>
      </c>
      <c r="MGT5" s="12" t="s">
        <v>10771</v>
      </c>
      <c r="MGU5" s="12" t="s">
        <v>10772</v>
      </c>
      <c r="MGV5" s="12" t="s">
        <v>10773</v>
      </c>
      <c r="MGW5" s="12" t="s">
        <v>10774</v>
      </c>
      <c r="MGX5" s="12" t="s">
        <v>10775</v>
      </c>
      <c r="MGY5" s="12" t="s">
        <v>10776</v>
      </c>
      <c r="MGZ5" s="12" t="s">
        <v>10777</v>
      </c>
      <c r="MHA5" s="12" t="s">
        <v>10778</v>
      </c>
      <c r="MHB5" s="12" t="s">
        <v>10779</v>
      </c>
      <c r="MHC5" s="12" t="s">
        <v>10780</v>
      </c>
      <c r="MHD5" s="12" t="s">
        <v>10781</v>
      </c>
      <c r="MHE5" s="12" t="s">
        <v>10782</v>
      </c>
      <c r="MHF5" s="12" t="s">
        <v>10783</v>
      </c>
      <c r="MHG5" s="12" t="s">
        <v>10784</v>
      </c>
      <c r="MHH5" s="12" t="s">
        <v>10785</v>
      </c>
      <c r="MHI5" s="12" t="s">
        <v>10786</v>
      </c>
      <c r="MHJ5" s="12" t="s">
        <v>10787</v>
      </c>
      <c r="MHK5" s="12" t="s">
        <v>10788</v>
      </c>
      <c r="MHL5" s="12" t="s">
        <v>10789</v>
      </c>
      <c r="MHM5" s="12" t="s">
        <v>10790</v>
      </c>
      <c r="MHN5" s="12" t="s">
        <v>10791</v>
      </c>
      <c r="MHO5" s="12" t="s">
        <v>10792</v>
      </c>
      <c r="MHP5" s="12" t="s">
        <v>10793</v>
      </c>
      <c r="MHQ5" s="12" t="s">
        <v>10794</v>
      </c>
      <c r="MHR5" s="12" t="s">
        <v>10795</v>
      </c>
      <c r="MHS5" s="12" t="s">
        <v>10796</v>
      </c>
      <c r="MHT5" s="12" t="s">
        <v>10797</v>
      </c>
      <c r="MHU5" s="12" t="s">
        <v>10798</v>
      </c>
      <c r="MHV5" s="12" t="s">
        <v>10799</v>
      </c>
      <c r="MHW5" s="12" t="s">
        <v>10800</v>
      </c>
      <c r="MHX5" s="12" t="s">
        <v>10801</v>
      </c>
      <c r="MHY5" s="12" t="s">
        <v>10802</v>
      </c>
      <c r="MHZ5" s="12" t="s">
        <v>10803</v>
      </c>
      <c r="MIA5" s="12" t="s">
        <v>10804</v>
      </c>
      <c r="MIB5" s="12" t="s">
        <v>10805</v>
      </c>
      <c r="MIC5" s="12" t="s">
        <v>10806</v>
      </c>
      <c r="MID5" s="12" t="s">
        <v>10807</v>
      </c>
      <c r="MIE5" s="12" t="s">
        <v>10808</v>
      </c>
      <c r="MIF5" s="12" t="s">
        <v>10809</v>
      </c>
      <c r="MIG5" s="12" t="s">
        <v>10810</v>
      </c>
      <c r="MIH5" s="12" t="s">
        <v>10811</v>
      </c>
      <c r="MII5" s="12" t="s">
        <v>10812</v>
      </c>
      <c r="MIJ5" s="12" t="s">
        <v>10813</v>
      </c>
      <c r="MIK5" s="12" t="s">
        <v>10814</v>
      </c>
      <c r="MIL5" s="12" t="s">
        <v>10815</v>
      </c>
      <c r="MIM5" s="12" t="s">
        <v>10816</v>
      </c>
      <c r="MIN5" s="12" t="s">
        <v>10817</v>
      </c>
      <c r="MIO5" s="12" t="s">
        <v>10818</v>
      </c>
      <c r="MIP5" s="12" t="s">
        <v>10819</v>
      </c>
      <c r="MIQ5" s="12" t="s">
        <v>10820</v>
      </c>
      <c r="MIR5" s="12" t="s">
        <v>10821</v>
      </c>
      <c r="MIS5" s="12" t="s">
        <v>10822</v>
      </c>
      <c r="MIT5" s="12" t="s">
        <v>10823</v>
      </c>
      <c r="MIU5" s="12" t="s">
        <v>10824</v>
      </c>
      <c r="MIV5" s="12" t="s">
        <v>10825</v>
      </c>
      <c r="MIW5" s="12" t="s">
        <v>10826</v>
      </c>
      <c r="MIX5" s="12" t="s">
        <v>10827</v>
      </c>
      <c r="MIY5" s="12" t="s">
        <v>10828</v>
      </c>
      <c r="MIZ5" s="12" t="s">
        <v>10829</v>
      </c>
      <c r="MJA5" s="12" t="s">
        <v>10830</v>
      </c>
      <c r="MJB5" s="12" t="s">
        <v>10831</v>
      </c>
      <c r="MJC5" s="12" t="s">
        <v>10832</v>
      </c>
      <c r="MJD5" s="12" t="s">
        <v>10833</v>
      </c>
      <c r="MJE5" s="12" t="s">
        <v>10834</v>
      </c>
      <c r="MJF5" s="12" t="s">
        <v>10835</v>
      </c>
      <c r="MJG5" s="12" t="s">
        <v>10836</v>
      </c>
      <c r="MJH5" s="12" t="s">
        <v>10837</v>
      </c>
      <c r="MJI5" s="12" t="s">
        <v>10838</v>
      </c>
      <c r="MJJ5" s="12" t="s">
        <v>10839</v>
      </c>
      <c r="MJK5" s="12" t="s">
        <v>10840</v>
      </c>
      <c r="MJL5" s="12" t="s">
        <v>10841</v>
      </c>
      <c r="MJM5" s="12" t="s">
        <v>10842</v>
      </c>
      <c r="MJN5" s="12" t="s">
        <v>10843</v>
      </c>
      <c r="MJO5" s="12" t="s">
        <v>10844</v>
      </c>
      <c r="MJP5" s="12" t="s">
        <v>10845</v>
      </c>
      <c r="MJQ5" s="12" t="s">
        <v>10846</v>
      </c>
      <c r="MJR5" s="12" t="s">
        <v>10847</v>
      </c>
      <c r="MJS5" s="12" t="s">
        <v>10848</v>
      </c>
      <c r="MJT5" s="12" t="s">
        <v>10849</v>
      </c>
      <c r="MJU5" s="12" t="s">
        <v>10850</v>
      </c>
      <c r="MJV5" s="12" t="s">
        <v>10851</v>
      </c>
      <c r="MJW5" s="12" t="s">
        <v>10852</v>
      </c>
      <c r="MJX5" s="12" t="s">
        <v>10853</v>
      </c>
      <c r="MJY5" s="12" t="s">
        <v>10854</v>
      </c>
      <c r="MJZ5" s="12" t="s">
        <v>10855</v>
      </c>
      <c r="MKA5" s="12" t="s">
        <v>10856</v>
      </c>
      <c r="MKB5" s="12" t="s">
        <v>10857</v>
      </c>
      <c r="MKC5" s="12" t="s">
        <v>10858</v>
      </c>
      <c r="MKD5" s="12" t="s">
        <v>10859</v>
      </c>
      <c r="MKE5" s="12" t="s">
        <v>10860</v>
      </c>
      <c r="MKF5" s="12" t="s">
        <v>10861</v>
      </c>
      <c r="MKG5" s="12" t="s">
        <v>10862</v>
      </c>
      <c r="MKH5" s="12" t="s">
        <v>10863</v>
      </c>
      <c r="MKI5" s="12" t="s">
        <v>10864</v>
      </c>
      <c r="MKJ5" s="12" t="s">
        <v>10865</v>
      </c>
      <c r="MKK5" s="12" t="s">
        <v>10866</v>
      </c>
      <c r="MKL5" s="12" t="s">
        <v>10867</v>
      </c>
      <c r="MKM5" s="12" t="s">
        <v>10868</v>
      </c>
      <c r="MKN5" s="12" t="s">
        <v>10869</v>
      </c>
      <c r="MKO5" s="12" t="s">
        <v>10870</v>
      </c>
      <c r="MKP5" s="12" t="s">
        <v>10871</v>
      </c>
      <c r="MKQ5" s="12" t="s">
        <v>10872</v>
      </c>
      <c r="MKR5" s="12" t="s">
        <v>10873</v>
      </c>
      <c r="MKS5" s="12" t="s">
        <v>10874</v>
      </c>
      <c r="MKT5" s="12" t="s">
        <v>10875</v>
      </c>
      <c r="MKU5" s="12" t="s">
        <v>10876</v>
      </c>
      <c r="MKV5" s="12" t="s">
        <v>10877</v>
      </c>
      <c r="MKW5" s="12" t="s">
        <v>10878</v>
      </c>
      <c r="MKX5" s="12" t="s">
        <v>10879</v>
      </c>
      <c r="MKY5" s="12" t="s">
        <v>10880</v>
      </c>
      <c r="MKZ5" s="12" t="s">
        <v>10881</v>
      </c>
      <c r="MLA5" s="12" t="s">
        <v>10882</v>
      </c>
      <c r="MLB5" s="12" t="s">
        <v>10883</v>
      </c>
      <c r="MLC5" s="12" t="s">
        <v>10884</v>
      </c>
      <c r="MLD5" s="12" t="s">
        <v>10885</v>
      </c>
      <c r="MLE5" s="12" t="s">
        <v>10886</v>
      </c>
      <c r="MLF5" s="12" t="s">
        <v>10887</v>
      </c>
      <c r="MLG5" s="12" t="s">
        <v>10888</v>
      </c>
      <c r="MLH5" s="12" t="s">
        <v>10889</v>
      </c>
      <c r="MLI5" s="12" t="s">
        <v>10890</v>
      </c>
      <c r="MLJ5" s="12" t="s">
        <v>10891</v>
      </c>
      <c r="MLK5" s="12" t="s">
        <v>10892</v>
      </c>
      <c r="MLL5" s="12" t="s">
        <v>10893</v>
      </c>
      <c r="MLM5" s="12" t="s">
        <v>10894</v>
      </c>
      <c r="MLN5" s="12" t="s">
        <v>10895</v>
      </c>
      <c r="MLO5" s="12" t="s">
        <v>10896</v>
      </c>
      <c r="MLP5" s="12" t="s">
        <v>10897</v>
      </c>
      <c r="MLQ5" s="12" t="s">
        <v>10898</v>
      </c>
      <c r="MLR5" s="12" t="s">
        <v>10899</v>
      </c>
      <c r="MLS5" s="12" t="s">
        <v>10900</v>
      </c>
      <c r="MLT5" s="12" t="s">
        <v>10901</v>
      </c>
      <c r="MLU5" s="12" t="s">
        <v>10902</v>
      </c>
      <c r="MLV5" s="12" t="s">
        <v>10903</v>
      </c>
      <c r="MLW5" s="12" t="s">
        <v>10904</v>
      </c>
      <c r="MLX5" s="12" t="s">
        <v>10905</v>
      </c>
      <c r="MLY5" s="12" t="s">
        <v>10906</v>
      </c>
      <c r="MLZ5" s="12" t="s">
        <v>10907</v>
      </c>
      <c r="MMA5" s="12" t="s">
        <v>10908</v>
      </c>
      <c r="MMB5" s="12" t="s">
        <v>10909</v>
      </c>
      <c r="MMC5" s="12" t="s">
        <v>10910</v>
      </c>
      <c r="MMD5" s="12" t="s">
        <v>10911</v>
      </c>
      <c r="MME5" s="12" t="s">
        <v>10912</v>
      </c>
      <c r="MMF5" s="12" t="s">
        <v>10913</v>
      </c>
      <c r="MMG5" s="12" t="s">
        <v>10914</v>
      </c>
      <c r="MMH5" s="12" t="s">
        <v>10915</v>
      </c>
      <c r="MMI5" s="12" t="s">
        <v>10916</v>
      </c>
      <c r="MMJ5" s="12" t="s">
        <v>10917</v>
      </c>
      <c r="MMK5" s="12" t="s">
        <v>10918</v>
      </c>
      <c r="MML5" s="12" t="s">
        <v>10919</v>
      </c>
      <c r="MMM5" s="12" t="s">
        <v>10920</v>
      </c>
      <c r="MMN5" s="12" t="s">
        <v>10921</v>
      </c>
      <c r="MMO5" s="12" t="s">
        <v>10922</v>
      </c>
      <c r="MMP5" s="12" t="s">
        <v>10923</v>
      </c>
      <c r="MMQ5" s="12" t="s">
        <v>10924</v>
      </c>
      <c r="MMR5" s="12" t="s">
        <v>10925</v>
      </c>
      <c r="MMS5" s="12" t="s">
        <v>10926</v>
      </c>
      <c r="MMT5" s="12" t="s">
        <v>10927</v>
      </c>
      <c r="MMU5" s="12" t="s">
        <v>10928</v>
      </c>
      <c r="MMV5" s="12" t="s">
        <v>10929</v>
      </c>
      <c r="MMW5" s="12" t="s">
        <v>10930</v>
      </c>
      <c r="MMX5" s="12" t="s">
        <v>10931</v>
      </c>
      <c r="MMY5" s="12" t="s">
        <v>10932</v>
      </c>
      <c r="MMZ5" s="12" t="s">
        <v>10933</v>
      </c>
      <c r="MNA5" s="12" t="s">
        <v>10934</v>
      </c>
      <c r="MNB5" s="12" t="s">
        <v>10935</v>
      </c>
      <c r="MNC5" s="12" t="s">
        <v>10936</v>
      </c>
      <c r="MND5" s="12" t="s">
        <v>10937</v>
      </c>
      <c r="MNE5" s="12" t="s">
        <v>10938</v>
      </c>
      <c r="MNF5" s="12" t="s">
        <v>10939</v>
      </c>
      <c r="MNG5" s="12" t="s">
        <v>10940</v>
      </c>
      <c r="MNH5" s="12" t="s">
        <v>10941</v>
      </c>
      <c r="MNI5" s="12" t="s">
        <v>10942</v>
      </c>
      <c r="MNJ5" s="12" t="s">
        <v>10943</v>
      </c>
      <c r="MNK5" s="12" t="s">
        <v>10944</v>
      </c>
      <c r="MNL5" s="12" t="s">
        <v>10945</v>
      </c>
      <c r="MNM5" s="12" t="s">
        <v>10946</v>
      </c>
      <c r="MNN5" s="12" t="s">
        <v>10947</v>
      </c>
      <c r="MNO5" s="12" t="s">
        <v>10948</v>
      </c>
      <c r="MNP5" s="12" t="s">
        <v>10949</v>
      </c>
      <c r="MNQ5" s="12" t="s">
        <v>10950</v>
      </c>
      <c r="MNR5" s="12" t="s">
        <v>10951</v>
      </c>
      <c r="MNS5" s="12" t="s">
        <v>10952</v>
      </c>
      <c r="MNT5" s="12" t="s">
        <v>10953</v>
      </c>
      <c r="MNU5" s="12" t="s">
        <v>10954</v>
      </c>
      <c r="MNV5" s="12" t="s">
        <v>10955</v>
      </c>
      <c r="MNW5" s="12" t="s">
        <v>10956</v>
      </c>
      <c r="MNX5" s="12" t="s">
        <v>10957</v>
      </c>
      <c r="MNY5" s="12" t="s">
        <v>10958</v>
      </c>
      <c r="MNZ5" s="12" t="s">
        <v>10959</v>
      </c>
      <c r="MOA5" s="12" t="s">
        <v>10960</v>
      </c>
      <c r="MOB5" s="12" t="s">
        <v>10961</v>
      </c>
      <c r="MOC5" s="12" t="s">
        <v>10962</v>
      </c>
      <c r="MOD5" s="12" t="s">
        <v>10963</v>
      </c>
      <c r="MOE5" s="12" t="s">
        <v>10964</v>
      </c>
      <c r="MOF5" s="12" t="s">
        <v>10965</v>
      </c>
      <c r="MOG5" s="12" t="s">
        <v>10966</v>
      </c>
      <c r="MOH5" s="12" t="s">
        <v>10967</v>
      </c>
      <c r="MOI5" s="12" t="s">
        <v>10968</v>
      </c>
      <c r="MOJ5" s="12" t="s">
        <v>10969</v>
      </c>
      <c r="MOK5" s="12" t="s">
        <v>10970</v>
      </c>
      <c r="MOL5" s="12" t="s">
        <v>10971</v>
      </c>
      <c r="MOM5" s="12" t="s">
        <v>10972</v>
      </c>
      <c r="MON5" s="12" t="s">
        <v>10973</v>
      </c>
      <c r="MOO5" s="12" t="s">
        <v>10974</v>
      </c>
      <c r="MOP5" s="12" t="s">
        <v>10975</v>
      </c>
      <c r="MOQ5" s="12" t="s">
        <v>10976</v>
      </c>
      <c r="MOR5" s="12" t="s">
        <v>10977</v>
      </c>
      <c r="MOS5" s="12" t="s">
        <v>10978</v>
      </c>
      <c r="MOT5" s="12" t="s">
        <v>10979</v>
      </c>
      <c r="MOU5" s="12" t="s">
        <v>10980</v>
      </c>
      <c r="MOV5" s="12" t="s">
        <v>10981</v>
      </c>
      <c r="MOW5" s="12" t="s">
        <v>10982</v>
      </c>
      <c r="MOX5" s="12" t="s">
        <v>10983</v>
      </c>
      <c r="MOY5" s="12" t="s">
        <v>10984</v>
      </c>
      <c r="MOZ5" s="12" t="s">
        <v>10985</v>
      </c>
      <c r="MPA5" s="12" t="s">
        <v>10986</v>
      </c>
      <c r="MPB5" s="12" t="s">
        <v>10987</v>
      </c>
      <c r="MPC5" s="12" t="s">
        <v>10988</v>
      </c>
      <c r="MPD5" s="12" t="s">
        <v>10989</v>
      </c>
      <c r="MPE5" s="12" t="s">
        <v>10990</v>
      </c>
      <c r="MPF5" s="12" t="s">
        <v>10991</v>
      </c>
      <c r="MPG5" s="12" t="s">
        <v>10992</v>
      </c>
      <c r="MPH5" s="12" t="s">
        <v>10993</v>
      </c>
      <c r="MPI5" s="12" t="s">
        <v>10994</v>
      </c>
      <c r="MPJ5" s="12" t="s">
        <v>10995</v>
      </c>
      <c r="MPK5" s="12" t="s">
        <v>10996</v>
      </c>
      <c r="MPL5" s="12" t="s">
        <v>10997</v>
      </c>
      <c r="MPM5" s="12" t="s">
        <v>10998</v>
      </c>
      <c r="MPN5" s="12" t="s">
        <v>10999</v>
      </c>
      <c r="MPO5" s="12" t="s">
        <v>11000</v>
      </c>
      <c r="MPP5" s="12" t="s">
        <v>11001</v>
      </c>
      <c r="MPQ5" s="12" t="s">
        <v>11002</v>
      </c>
      <c r="MPR5" s="12" t="s">
        <v>11003</v>
      </c>
      <c r="MPS5" s="12" t="s">
        <v>11004</v>
      </c>
      <c r="MPT5" s="12" t="s">
        <v>11005</v>
      </c>
      <c r="MPU5" s="12" t="s">
        <v>11006</v>
      </c>
      <c r="MPV5" s="12" t="s">
        <v>11007</v>
      </c>
      <c r="MPW5" s="12" t="s">
        <v>11008</v>
      </c>
      <c r="MPX5" s="12" t="s">
        <v>11009</v>
      </c>
      <c r="MPY5" s="12" t="s">
        <v>11010</v>
      </c>
      <c r="MPZ5" s="12" t="s">
        <v>11011</v>
      </c>
      <c r="MQA5" s="12" t="s">
        <v>11012</v>
      </c>
      <c r="MQB5" s="12" t="s">
        <v>11013</v>
      </c>
      <c r="MQC5" s="12" t="s">
        <v>11014</v>
      </c>
      <c r="MQD5" s="12" t="s">
        <v>11015</v>
      </c>
      <c r="MQE5" s="12" t="s">
        <v>11016</v>
      </c>
      <c r="MQF5" s="12" t="s">
        <v>11017</v>
      </c>
      <c r="MQG5" s="12" t="s">
        <v>11018</v>
      </c>
      <c r="MQH5" s="12" t="s">
        <v>11019</v>
      </c>
      <c r="MQI5" s="12" t="s">
        <v>11020</v>
      </c>
      <c r="MQJ5" s="12" t="s">
        <v>11021</v>
      </c>
      <c r="MQK5" s="12" t="s">
        <v>11022</v>
      </c>
      <c r="MQL5" s="12" t="s">
        <v>11023</v>
      </c>
      <c r="MQM5" s="12" t="s">
        <v>11024</v>
      </c>
      <c r="MQN5" s="12" t="s">
        <v>11025</v>
      </c>
      <c r="MQO5" s="12" t="s">
        <v>11026</v>
      </c>
      <c r="MQP5" s="12" t="s">
        <v>11027</v>
      </c>
      <c r="MQQ5" s="12" t="s">
        <v>11028</v>
      </c>
      <c r="MQR5" s="12" t="s">
        <v>11029</v>
      </c>
      <c r="MQS5" s="12" t="s">
        <v>11030</v>
      </c>
      <c r="MQT5" s="12" t="s">
        <v>11031</v>
      </c>
      <c r="MQU5" s="12" t="s">
        <v>11032</v>
      </c>
      <c r="MQV5" s="12" t="s">
        <v>11033</v>
      </c>
      <c r="MQW5" s="12" t="s">
        <v>11034</v>
      </c>
      <c r="MQX5" s="12" t="s">
        <v>11035</v>
      </c>
      <c r="MQY5" s="12" t="s">
        <v>11036</v>
      </c>
      <c r="MQZ5" s="12" t="s">
        <v>11037</v>
      </c>
      <c r="MRA5" s="12" t="s">
        <v>11038</v>
      </c>
      <c r="MRB5" s="12" t="s">
        <v>11039</v>
      </c>
      <c r="MRC5" s="12" t="s">
        <v>11040</v>
      </c>
      <c r="MRD5" s="12" t="s">
        <v>11041</v>
      </c>
      <c r="MRE5" s="12" t="s">
        <v>11042</v>
      </c>
      <c r="MRF5" s="12" t="s">
        <v>11043</v>
      </c>
      <c r="MRG5" s="12" t="s">
        <v>11044</v>
      </c>
      <c r="MRH5" s="12" t="s">
        <v>11045</v>
      </c>
      <c r="MRI5" s="12" t="s">
        <v>11046</v>
      </c>
      <c r="MRJ5" s="12" t="s">
        <v>11047</v>
      </c>
      <c r="MRK5" s="12" t="s">
        <v>11048</v>
      </c>
      <c r="MRL5" s="12" t="s">
        <v>11049</v>
      </c>
      <c r="MRM5" s="12" t="s">
        <v>11050</v>
      </c>
      <c r="MRN5" s="12" t="s">
        <v>11051</v>
      </c>
      <c r="MRO5" s="12" t="s">
        <v>11052</v>
      </c>
      <c r="MRP5" s="12" t="s">
        <v>11053</v>
      </c>
      <c r="MRQ5" s="12" t="s">
        <v>11054</v>
      </c>
      <c r="MRR5" s="12" t="s">
        <v>11055</v>
      </c>
      <c r="MRS5" s="12" t="s">
        <v>11056</v>
      </c>
      <c r="MRT5" s="12" t="s">
        <v>11057</v>
      </c>
      <c r="MRU5" s="12" t="s">
        <v>11058</v>
      </c>
      <c r="MRV5" s="12" t="s">
        <v>11059</v>
      </c>
      <c r="MRW5" s="12" t="s">
        <v>11060</v>
      </c>
      <c r="MRX5" s="12" t="s">
        <v>11061</v>
      </c>
      <c r="MRY5" s="12" t="s">
        <v>11062</v>
      </c>
      <c r="MRZ5" s="12" t="s">
        <v>11063</v>
      </c>
      <c r="MSA5" s="12" t="s">
        <v>11064</v>
      </c>
      <c r="MSB5" s="12" t="s">
        <v>11065</v>
      </c>
      <c r="MSC5" s="12" t="s">
        <v>11066</v>
      </c>
      <c r="MSD5" s="12" t="s">
        <v>11067</v>
      </c>
      <c r="MSE5" s="12" t="s">
        <v>11068</v>
      </c>
      <c r="MSF5" s="12" t="s">
        <v>11069</v>
      </c>
      <c r="MSG5" s="12" t="s">
        <v>11070</v>
      </c>
      <c r="MSH5" s="12" t="s">
        <v>11071</v>
      </c>
      <c r="MSI5" s="12" t="s">
        <v>11072</v>
      </c>
      <c r="MSJ5" s="12" t="s">
        <v>11073</v>
      </c>
      <c r="MSK5" s="12" t="s">
        <v>11074</v>
      </c>
      <c r="MSL5" s="12" t="s">
        <v>11075</v>
      </c>
      <c r="MSM5" s="12" t="s">
        <v>11076</v>
      </c>
      <c r="MSN5" s="12" t="s">
        <v>11077</v>
      </c>
      <c r="MSO5" s="12" t="s">
        <v>11078</v>
      </c>
      <c r="MSP5" s="12" t="s">
        <v>11079</v>
      </c>
      <c r="MSQ5" s="12" t="s">
        <v>11080</v>
      </c>
      <c r="MSR5" s="12" t="s">
        <v>11081</v>
      </c>
      <c r="MSS5" s="12" t="s">
        <v>11082</v>
      </c>
      <c r="MST5" s="12" t="s">
        <v>11083</v>
      </c>
      <c r="MSU5" s="12" t="s">
        <v>11084</v>
      </c>
      <c r="MSV5" s="12" t="s">
        <v>11085</v>
      </c>
      <c r="MSW5" s="12" t="s">
        <v>11086</v>
      </c>
      <c r="MSX5" s="12" t="s">
        <v>11087</v>
      </c>
      <c r="MSY5" s="12" t="s">
        <v>11088</v>
      </c>
      <c r="MSZ5" s="12" t="s">
        <v>11089</v>
      </c>
      <c r="MTA5" s="12" t="s">
        <v>11090</v>
      </c>
      <c r="MTB5" s="12" t="s">
        <v>11091</v>
      </c>
      <c r="MTC5" s="12" t="s">
        <v>11092</v>
      </c>
      <c r="MTD5" s="12" t="s">
        <v>11093</v>
      </c>
      <c r="MTE5" s="12" t="s">
        <v>11094</v>
      </c>
      <c r="MTF5" s="12" t="s">
        <v>11095</v>
      </c>
      <c r="MTG5" s="12" t="s">
        <v>11096</v>
      </c>
      <c r="MTH5" s="12" t="s">
        <v>11097</v>
      </c>
      <c r="MTI5" s="12" t="s">
        <v>11098</v>
      </c>
      <c r="MTJ5" s="12" t="s">
        <v>11099</v>
      </c>
      <c r="MTK5" s="12" t="s">
        <v>11100</v>
      </c>
      <c r="MTL5" s="12" t="s">
        <v>11101</v>
      </c>
      <c r="MTM5" s="12" t="s">
        <v>11102</v>
      </c>
      <c r="MTN5" s="12" t="s">
        <v>11103</v>
      </c>
      <c r="MTO5" s="12" t="s">
        <v>11104</v>
      </c>
      <c r="MTP5" s="12" t="s">
        <v>11105</v>
      </c>
      <c r="MTQ5" s="12" t="s">
        <v>11106</v>
      </c>
      <c r="MTR5" s="12" t="s">
        <v>11107</v>
      </c>
      <c r="MTS5" s="12" t="s">
        <v>11108</v>
      </c>
      <c r="MTT5" s="12" t="s">
        <v>11109</v>
      </c>
      <c r="MTU5" s="12" t="s">
        <v>11110</v>
      </c>
      <c r="MTV5" s="12" t="s">
        <v>11111</v>
      </c>
      <c r="MTW5" s="12" t="s">
        <v>11112</v>
      </c>
      <c r="MTX5" s="12" t="s">
        <v>11113</v>
      </c>
      <c r="MTY5" s="12" t="s">
        <v>11114</v>
      </c>
      <c r="MTZ5" s="12" t="s">
        <v>11115</v>
      </c>
      <c r="MUA5" s="12" t="s">
        <v>11116</v>
      </c>
      <c r="MUB5" s="12" t="s">
        <v>11117</v>
      </c>
      <c r="MUC5" s="12" t="s">
        <v>11118</v>
      </c>
      <c r="MUD5" s="12" t="s">
        <v>11119</v>
      </c>
      <c r="MUE5" s="12" t="s">
        <v>11120</v>
      </c>
      <c r="MUF5" s="12" t="s">
        <v>11121</v>
      </c>
      <c r="MUG5" s="12" t="s">
        <v>11122</v>
      </c>
      <c r="MUH5" s="12" t="s">
        <v>11123</v>
      </c>
      <c r="MUI5" s="12" t="s">
        <v>11124</v>
      </c>
      <c r="MUJ5" s="12" t="s">
        <v>11125</v>
      </c>
      <c r="MUK5" s="12" t="s">
        <v>11126</v>
      </c>
      <c r="MUL5" s="12" t="s">
        <v>11127</v>
      </c>
      <c r="MUM5" s="12" t="s">
        <v>11128</v>
      </c>
      <c r="MUN5" s="12" t="s">
        <v>11129</v>
      </c>
      <c r="MUO5" s="12" t="s">
        <v>11130</v>
      </c>
      <c r="MUP5" s="12" t="s">
        <v>11131</v>
      </c>
      <c r="MUQ5" s="12" t="s">
        <v>11132</v>
      </c>
      <c r="MUR5" s="12" t="s">
        <v>11133</v>
      </c>
      <c r="MUS5" s="12" t="s">
        <v>11134</v>
      </c>
      <c r="MUT5" s="12" t="s">
        <v>11135</v>
      </c>
      <c r="MUU5" s="12" t="s">
        <v>11136</v>
      </c>
      <c r="MUV5" s="12" t="s">
        <v>11137</v>
      </c>
      <c r="MUW5" s="12" t="s">
        <v>11138</v>
      </c>
      <c r="MUX5" s="12" t="s">
        <v>11139</v>
      </c>
      <c r="MUY5" s="12" t="s">
        <v>11140</v>
      </c>
      <c r="MUZ5" s="12" t="s">
        <v>11141</v>
      </c>
      <c r="MVA5" s="12" t="s">
        <v>11142</v>
      </c>
      <c r="MVB5" s="12" t="s">
        <v>11143</v>
      </c>
      <c r="MVC5" s="12" t="s">
        <v>11144</v>
      </c>
      <c r="MVD5" s="12" t="s">
        <v>11145</v>
      </c>
      <c r="MVE5" s="12" t="s">
        <v>11146</v>
      </c>
      <c r="MVF5" s="12" t="s">
        <v>11147</v>
      </c>
      <c r="MVG5" s="12" t="s">
        <v>11148</v>
      </c>
      <c r="MVH5" s="12" t="s">
        <v>11149</v>
      </c>
      <c r="MVI5" s="12" t="s">
        <v>11150</v>
      </c>
      <c r="MVJ5" s="12" t="s">
        <v>11151</v>
      </c>
      <c r="MVK5" s="12" t="s">
        <v>11152</v>
      </c>
      <c r="MVL5" s="12" t="s">
        <v>11153</v>
      </c>
      <c r="MVM5" s="12" t="s">
        <v>11154</v>
      </c>
      <c r="MVN5" s="12" t="s">
        <v>11155</v>
      </c>
      <c r="MVO5" s="12" t="s">
        <v>11156</v>
      </c>
      <c r="MVP5" s="12" t="s">
        <v>11157</v>
      </c>
      <c r="MVQ5" s="12" t="s">
        <v>11158</v>
      </c>
      <c r="MVR5" s="12" t="s">
        <v>11159</v>
      </c>
      <c r="MVS5" s="12" t="s">
        <v>11160</v>
      </c>
      <c r="MVT5" s="12" t="s">
        <v>11161</v>
      </c>
      <c r="MVU5" s="12" t="s">
        <v>11162</v>
      </c>
      <c r="MVV5" s="12" t="s">
        <v>11163</v>
      </c>
      <c r="MVW5" s="12" t="s">
        <v>11164</v>
      </c>
      <c r="MVX5" s="12" t="s">
        <v>11165</v>
      </c>
      <c r="MVY5" s="12" t="s">
        <v>11166</v>
      </c>
      <c r="MVZ5" s="12" t="s">
        <v>11167</v>
      </c>
      <c r="MWA5" s="12" t="s">
        <v>11168</v>
      </c>
      <c r="MWB5" s="12" t="s">
        <v>11169</v>
      </c>
      <c r="MWC5" s="12" t="s">
        <v>11170</v>
      </c>
      <c r="MWD5" s="12" t="s">
        <v>11171</v>
      </c>
      <c r="MWE5" s="12" t="s">
        <v>11172</v>
      </c>
      <c r="MWF5" s="12" t="s">
        <v>11173</v>
      </c>
      <c r="MWG5" s="12" t="s">
        <v>11174</v>
      </c>
      <c r="MWH5" s="12" t="s">
        <v>11175</v>
      </c>
      <c r="MWI5" s="12" t="s">
        <v>11176</v>
      </c>
      <c r="MWJ5" s="12" t="s">
        <v>11177</v>
      </c>
      <c r="MWK5" s="12" t="s">
        <v>11178</v>
      </c>
      <c r="MWL5" s="12" t="s">
        <v>11179</v>
      </c>
      <c r="MWM5" s="12" t="s">
        <v>11180</v>
      </c>
      <c r="MWN5" s="12" t="s">
        <v>11181</v>
      </c>
      <c r="MWO5" s="12" t="s">
        <v>11182</v>
      </c>
      <c r="MWP5" s="12" t="s">
        <v>11183</v>
      </c>
      <c r="MWQ5" s="12" t="s">
        <v>11184</v>
      </c>
      <c r="MWR5" s="12" t="s">
        <v>11185</v>
      </c>
      <c r="MWS5" s="12" t="s">
        <v>11186</v>
      </c>
      <c r="MWT5" s="12" t="s">
        <v>11187</v>
      </c>
      <c r="MWU5" s="12" t="s">
        <v>11188</v>
      </c>
      <c r="MWV5" s="12" t="s">
        <v>11189</v>
      </c>
      <c r="MWW5" s="12" t="s">
        <v>11190</v>
      </c>
      <c r="MWX5" s="12" t="s">
        <v>11191</v>
      </c>
      <c r="MWY5" s="12" t="s">
        <v>11192</v>
      </c>
      <c r="MWZ5" s="12" t="s">
        <v>11193</v>
      </c>
      <c r="MXA5" s="12" t="s">
        <v>11194</v>
      </c>
      <c r="MXB5" s="12" t="s">
        <v>11195</v>
      </c>
      <c r="MXC5" s="12" t="s">
        <v>11196</v>
      </c>
      <c r="MXD5" s="12" t="s">
        <v>11197</v>
      </c>
      <c r="MXE5" s="12" t="s">
        <v>11198</v>
      </c>
      <c r="MXF5" s="12" t="s">
        <v>11199</v>
      </c>
      <c r="MXG5" s="12" t="s">
        <v>11200</v>
      </c>
      <c r="MXH5" s="12" t="s">
        <v>11201</v>
      </c>
      <c r="MXI5" s="12" t="s">
        <v>11202</v>
      </c>
      <c r="MXJ5" s="12" t="s">
        <v>11203</v>
      </c>
      <c r="MXK5" s="12" t="s">
        <v>11204</v>
      </c>
      <c r="MXL5" s="12" t="s">
        <v>11205</v>
      </c>
      <c r="MXM5" s="12" t="s">
        <v>11206</v>
      </c>
      <c r="MXN5" s="12" t="s">
        <v>11207</v>
      </c>
      <c r="MXO5" s="12" t="s">
        <v>11208</v>
      </c>
      <c r="MXP5" s="12" t="s">
        <v>11209</v>
      </c>
      <c r="MXQ5" s="12" t="s">
        <v>11210</v>
      </c>
      <c r="MXR5" s="12" t="s">
        <v>11211</v>
      </c>
      <c r="MXS5" s="12" t="s">
        <v>11212</v>
      </c>
      <c r="MXT5" s="12" t="s">
        <v>11213</v>
      </c>
      <c r="MXU5" s="12" t="s">
        <v>11214</v>
      </c>
      <c r="MXV5" s="12" t="s">
        <v>11215</v>
      </c>
      <c r="MXW5" s="12" t="s">
        <v>11216</v>
      </c>
      <c r="MXX5" s="12" t="s">
        <v>11217</v>
      </c>
      <c r="MXY5" s="12" t="s">
        <v>11218</v>
      </c>
      <c r="MXZ5" s="12" t="s">
        <v>11219</v>
      </c>
      <c r="MYA5" s="12" t="s">
        <v>11220</v>
      </c>
      <c r="MYB5" s="12" t="s">
        <v>11221</v>
      </c>
      <c r="MYC5" s="12" t="s">
        <v>11222</v>
      </c>
      <c r="MYD5" s="12" t="s">
        <v>11223</v>
      </c>
      <c r="MYE5" s="12" t="s">
        <v>11224</v>
      </c>
      <c r="MYF5" s="12" t="s">
        <v>11225</v>
      </c>
      <c r="MYG5" s="12" t="s">
        <v>11226</v>
      </c>
      <c r="MYH5" s="12" t="s">
        <v>11227</v>
      </c>
      <c r="MYI5" s="12" t="s">
        <v>11228</v>
      </c>
      <c r="MYJ5" s="12" t="s">
        <v>11229</v>
      </c>
      <c r="MYK5" s="12" t="s">
        <v>11230</v>
      </c>
      <c r="MYL5" s="12" t="s">
        <v>11231</v>
      </c>
      <c r="MYM5" s="12" t="s">
        <v>11232</v>
      </c>
      <c r="MYN5" s="12" t="s">
        <v>11233</v>
      </c>
      <c r="MYO5" s="12" t="s">
        <v>11234</v>
      </c>
      <c r="MYP5" s="12" t="s">
        <v>11235</v>
      </c>
      <c r="MYQ5" s="12" t="s">
        <v>11236</v>
      </c>
      <c r="MYR5" s="12" t="s">
        <v>11237</v>
      </c>
      <c r="MYS5" s="12" t="s">
        <v>11238</v>
      </c>
      <c r="MYT5" s="12" t="s">
        <v>11239</v>
      </c>
      <c r="MYU5" s="12" t="s">
        <v>11240</v>
      </c>
      <c r="MYV5" s="12" t="s">
        <v>11241</v>
      </c>
      <c r="MYW5" s="12" t="s">
        <v>11242</v>
      </c>
      <c r="MYX5" s="12" t="s">
        <v>11243</v>
      </c>
      <c r="MYY5" s="12" t="s">
        <v>11244</v>
      </c>
      <c r="MYZ5" s="12" t="s">
        <v>11245</v>
      </c>
      <c r="MZA5" s="12" t="s">
        <v>11246</v>
      </c>
      <c r="MZB5" s="12" t="s">
        <v>11247</v>
      </c>
      <c r="MZC5" s="12" t="s">
        <v>11248</v>
      </c>
      <c r="MZD5" s="12" t="s">
        <v>11249</v>
      </c>
      <c r="MZE5" s="12" t="s">
        <v>11250</v>
      </c>
      <c r="MZF5" s="12" t="s">
        <v>11251</v>
      </c>
      <c r="MZG5" s="12" t="s">
        <v>11252</v>
      </c>
      <c r="MZH5" s="12" t="s">
        <v>11253</v>
      </c>
      <c r="MZI5" s="12" t="s">
        <v>11254</v>
      </c>
      <c r="MZJ5" s="12" t="s">
        <v>11255</v>
      </c>
      <c r="MZK5" s="12" t="s">
        <v>11256</v>
      </c>
      <c r="MZL5" s="12" t="s">
        <v>11257</v>
      </c>
      <c r="MZM5" s="12" t="s">
        <v>11258</v>
      </c>
      <c r="MZN5" s="12" t="s">
        <v>11259</v>
      </c>
      <c r="MZO5" s="12" t="s">
        <v>11260</v>
      </c>
      <c r="MZP5" s="12" t="s">
        <v>11261</v>
      </c>
      <c r="MZQ5" s="12" t="s">
        <v>11262</v>
      </c>
      <c r="MZR5" s="12" t="s">
        <v>11263</v>
      </c>
      <c r="MZS5" s="12" t="s">
        <v>11264</v>
      </c>
      <c r="MZT5" s="12" t="s">
        <v>11265</v>
      </c>
      <c r="MZU5" s="12" t="s">
        <v>11266</v>
      </c>
      <c r="MZV5" s="12" t="s">
        <v>11267</v>
      </c>
      <c r="MZW5" s="12" t="s">
        <v>11268</v>
      </c>
      <c r="MZX5" s="12" t="s">
        <v>11269</v>
      </c>
      <c r="MZY5" s="12" t="s">
        <v>11270</v>
      </c>
      <c r="MZZ5" s="12" t="s">
        <v>11271</v>
      </c>
      <c r="NAA5" s="12" t="s">
        <v>11272</v>
      </c>
      <c r="NAB5" s="12" t="s">
        <v>11273</v>
      </c>
      <c r="NAC5" s="12" t="s">
        <v>11274</v>
      </c>
      <c r="NAD5" s="12" t="s">
        <v>11275</v>
      </c>
      <c r="NAE5" s="12" t="s">
        <v>11276</v>
      </c>
      <c r="NAF5" s="12" t="s">
        <v>11277</v>
      </c>
      <c r="NAG5" s="12" t="s">
        <v>11278</v>
      </c>
      <c r="NAH5" s="12" t="s">
        <v>11279</v>
      </c>
      <c r="NAI5" s="12" t="s">
        <v>11280</v>
      </c>
      <c r="NAJ5" s="12" t="s">
        <v>11281</v>
      </c>
      <c r="NAK5" s="12" t="s">
        <v>11282</v>
      </c>
      <c r="NAL5" s="12" t="s">
        <v>11283</v>
      </c>
      <c r="NAM5" s="12" t="s">
        <v>11284</v>
      </c>
      <c r="NAN5" s="12" t="s">
        <v>11285</v>
      </c>
      <c r="NAO5" s="12" t="s">
        <v>11286</v>
      </c>
      <c r="NAP5" s="12" t="s">
        <v>11287</v>
      </c>
      <c r="NAQ5" s="12" t="s">
        <v>11288</v>
      </c>
      <c r="NAR5" s="12" t="s">
        <v>11289</v>
      </c>
      <c r="NAS5" s="12" t="s">
        <v>11290</v>
      </c>
      <c r="NAT5" s="12" t="s">
        <v>11291</v>
      </c>
      <c r="NAU5" s="12" t="s">
        <v>11292</v>
      </c>
      <c r="NAV5" s="12" t="s">
        <v>11293</v>
      </c>
      <c r="NAW5" s="12" t="s">
        <v>11294</v>
      </c>
      <c r="NAX5" s="12" t="s">
        <v>11295</v>
      </c>
      <c r="NAY5" s="12" t="s">
        <v>11296</v>
      </c>
      <c r="NAZ5" s="12" t="s">
        <v>11297</v>
      </c>
      <c r="NBA5" s="12" t="s">
        <v>11298</v>
      </c>
      <c r="NBB5" s="12" t="s">
        <v>11299</v>
      </c>
      <c r="NBC5" s="12" t="s">
        <v>11300</v>
      </c>
      <c r="NBD5" s="12" t="s">
        <v>11301</v>
      </c>
      <c r="NBE5" s="12" t="s">
        <v>11302</v>
      </c>
      <c r="NBF5" s="12" t="s">
        <v>11303</v>
      </c>
      <c r="NBG5" s="12" t="s">
        <v>11304</v>
      </c>
      <c r="NBH5" s="12" t="s">
        <v>11305</v>
      </c>
      <c r="NBI5" s="12" t="s">
        <v>11306</v>
      </c>
      <c r="NBJ5" s="12" t="s">
        <v>11307</v>
      </c>
      <c r="NBK5" s="12" t="s">
        <v>11308</v>
      </c>
      <c r="NBL5" s="12" t="s">
        <v>11309</v>
      </c>
      <c r="NBM5" s="12" t="s">
        <v>11310</v>
      </c>
      <c r="NBN5" s="12" t="s">
        <v>11311</v>
      </c>
      <c r="NBO5" s="12" t="s">
        <v>11312</v>
      </c>
      <c r="NBP5" s="12" t="s">
        <v>11313</v>
      </c>
      <c r="NBQ5" s="12" t="s">
        <v>11314</v>
      </c>
      <c r="NBR5" s="12" t="s">
        <v>11315</v>
      </c>
      <c r="NBS5" s="12" t="s">
        <v>11316</v>
      </c>
      <c r="NBT5" s="12" t="s">
        <v>11317</v>
      </c>
      <c r="NBU5" s="12" t="s">
        <v>11318</v>
      </c>
      <c r="NBV5" s="12" t="s">
        <v>11319</v>
      </c>
      <c r="NBW5" s="12" t="s">
        <v>11320</v>
      </c>
      <c r="NBX5" s="12" t="s">
        <v>11321</v>
      </c>
      <c r="NBY5" s="12" t="s">
        <v>11322</v>
      </c>
      <c r="NBZ5" s="12" t="s">
        <v>11323</v>
      </c>
      <c r="NCA5" s="12" t="s">
        <v>11324</v>
      </c>
      <c r="NCB5" s="12" t="s">
        <v>11325</v>
      </c>
      <c r="NCC5" s="12" t="s">
        <v>11326</v>
      </c>
      <c r="NCD5" s="12" t="s">
        <v>11327</v>
      </c>
      <c r="NCE5" s="12" t="s">
        <v>11328</v>
      </c>
      <c r="NCF5" s="12" t="s">
        <v>11329</v>
      </c>
      <c r="NCG5" s="12" t="s">
        <v>11330</v>
      </c>
      <c r="NCH5" s="12" t="s">
        <v>11331</v>
      </c>
      <c r="NCI5" s="12" t="s">
        <v>11332</v>
      </c>
      <c r="NCJ5" s="12" t="s">
        <v>11333</v>
      </c>
      <c r="NCK5" s="12" t="s">
        <v>11334</v>
      </c>
      <c r="NCL5" s="12" t="s">
        <v>11335</v>
      </c>
      <c r="NCM5" s="12" t="s">
        <v>11336</v>
      </c>
      <c r="NCN5" s="12" t="s">
        <v>11337</v>
      </c>
      <c r="NCO5" s="12" t="s">
        <v>11338</v>
      </c>
      <c r="NCP5" s="12" t="s">
        <v>11339</v>
      </c>
      <c r="NCQ5" s="12" t="s">
        <v>11340</v>
      </c>
      <c r="NCR5" s="12" t="s">
        <v>11341</v>
      </c>
      <c r="NCS5" s="12" t="s">
        <v>11342</v>
      </c>
      <c r="NCT5" s="12" t="s">
        <v>11343</v>
      </c>
      <c r="NCU5" s="12" t="s">
        <v>11344</v>
      </c>
      <c r="NCV5" s="12" t="s">
        <v>11345</v>
      </c>
      <c r="NCW5" s="12" t="s">
        <v>11346</v>
      </c>
      <c r="NCX5" s="12" t="s">
        <v>11347</v>
      </c>
      <c r="NCY5" s="12" t="s">
        <v>11348</v>
      </c>
      <c r="NCZ5" s="12" t="s">
        <v>11349</v>
      </c>
      <c r="NDA5" s="12" t="s">
        <v>11350</v>
      </c>
      <c r="NDB5" s="12" t="s">
        <v>11351</v>
      </c>
      <c r="NDC5" s="12" t="s">
        <v>11352</v>
      </c>
      <c r="NDD5" s="12" t="s">
        <v>11353</v>
      </c>
      <c r="NDE5" s="12" t="s">
        <v>11354</v>
      </c>
      <c r="NDF5" s="12" t="s">
        <v>11355</v>
      </c>
      <c r="NDG5" s="12" t="s">
        <v>11356</v>
      </c>
      <c r="NDH5" s="12" t="s">
        <v>11357</v>
      </c>
      <c r="NDI5" s="12" t="s">
        <v>11358</v>
      </c>
      <c r="NDJ5" s="12" t="s">
        <v>11359</v>
      </c>
      <c r="NDK5" s="12" t="s">
        <v>11360</v>
      </c>
      <c r="NDL5" s="12" t="s">
        <v>11361</v>
      </c>
      <c r="NDM5" s="12" t="s">
        <v>11362</v>
      </c>
      <c r="NDN5" s="12" t="s">
        <v>11363</v>
      </c>
      <c r="NDO5" s="12" t="s">
        <v>11364</v>
      </c>
      <c r="NDP5" s="12" t="s">
        <v>11365</v>
      </c>
      <c r="NDQ5" s="12" t="s">
        <v>11366</v>
      </c>
      <c r="NDR5" s="12" t="s">
        <v>11367</v>
      </c>
      <c r="NDS5" s="12" t="s">
        <v>11368</v>
      </c>
      <c r="NDT5" s="12" t="s">
        <v>11369</v>
      </c>
      <c r="NDU5" s="12" t="s">
        <v>11370</v>
      </c>
      <c r="NDV5" s="12" t="s">
        <v>11371</v>
      </c>
      <c r="NDW5" s="12" t="s">
        <v>11372</v>
      </c>
      <c r="NDX5" s="12" t="s">
        <v>11373</v>
      </c>
      <c r="NDY5" s="12" t="s">
        <v>11374</v>
      </c>
      <c r="NDZ5" s="12" t="s">
        <v>11375</v>
      </c>
      <c r="NEA5" s="12" t="s">
        <v>11376</v>
      </c>
      <c r="NEB5" s="12" t="s">
        <v>11377</v>
      </c>
      <c r="NEC5" s="12" t="s">
        <v>11378</v>
      </c>
      <c r="NED5" s="12" t="s">
        <v>11379</v>
      </c>
      <c r="NEE5" s="12" t="s">
        <v>11380</v>
      </c>
      <c r="NEF5" s="12" t="s">
        <v>11381</v>
      </c>
      <c r="NEG5" s="12" t="s">
        <v>11382</v>
      </c>
      <c r="NEH5" s="12" t="s">
        <v>11383</v>
      </c>
      <c r="NEI5" s="12" t="s">
        <v>11384</v>
      </c>
      <c r="NEJ5" s="12" t="s">
        <v>11385</v>
      </c>
      <c r="NEK5" s="12" t="s">
        <v>11386</v>
      </c>
      <c r="NEL5" s="12" t="s">
        <v>11387</v>
      </c>
      <c r="NEM5" s="12" t="s">
        <v>11388</v>
      </c>
      <c r="NEN5" s="12" t="s">
        <v>11389</v>
      </c>
      <c r="NEO5" s="12" t="s">
        <v>11390</v>
      </c>
      <c r="NEP5" s="12" t="s">
        <v>11391</v>
      </c>
      <c r="NEQ5" s="12" t="s">
        <v>11392</v>
      </c>
      <c r="NER5" s="12" t="s">
        <v>11393</v>
      </c>
      <c r="NES5" s="12" t="s">
        <v>11394</v>
      </c>
      <c r="NET5" s="12" t="s">
        <v>11395</v>
      </c>
      <c r="NEU5" s="12" t="s">
        <v>11396</v>
      </c>
      <c r="NEV5" s="12" t="s">
        <v>11397</v>
      </c>
      <c r="NEW5" s="12" t="s">
        <v>11398</v>
      </c>
      <c r="NEX5" s="12" t="s">
        <v>11399</v>
      </c>
      <c r="NEY5" s="12" t="s">
        <v>11400</v>
      </c>
      <c r="NEZ5" s="12" t="s">
        <v>11401</v>
      </c>
      <c r="NFA5" s="12" t="s">
        <v>11402</v>
      </c>
      <c r="NFB5" s="12" t="s">
        <v>11403</v>
      </c>
      <c r="NFC5" s="12" t="s">
        <v>11404</v>
      </c>
      <c r="NFD5" s="12" t="s">
        <v>11405</v>
      </c>
      <c r="NFE5" s="12" t="s">
        <v>11406</v>
      </c>
      <c r="NFF5" s="12" t="s">
        <v>11407</v>
      </c>
      <c r="NFG5" s="12" t="s">
        <v>11408</v>
      </c>
      <c r="NFH5" s="12" t="s">
        <v>11409</v>
      </c>
      <c r="NFI5" s="12" t="s">
        <v>11410</v>
      </c>
      <c r="NFJ5" s="12" t="s">
        <v>11411</v>
      </c>
      <c r="NFK5" s="12" t="s">
        <v>11412</v>
      </c>
      <c r="NFL5" s="12" t="s">
        <v>11413</v>
      </c>
      <c r="NFM5" s="12" t="s">
        <v>11414</v>
      </c>
      <c r="NFN5" s="12" t="s">
        <v>11415</v>
      </c>
      <c r="NFO5" s="12" t="s">
        <v>11416</v>
      </c>
      <c r="NFP5" s="12" t="s">
        <v>11417</v>
      </c>
      <c r="NFQ5" s="12" t="s">
        <v>11418</v>
      </c>
      <c r="NFR5" s="12" t="s">
        <v>11419</v>
      </c>
      <c r="NFS5" s="12" t="s">
        <v>11420</v>
      </c>
      <c r="NFT5" s="12" t="s">
        <v>11421</v>
      </c>
      <c r="NFU5" s="12" t="s">
        <v>11422</v>
      </c>
      <c r="NFV5" s="12" t="s">
        <v>11423</v>
      </c>
      <c r="NFW5" s="12" t="s">
        <v>11424</v>
      </c>
      <c r="NFX5" s="12" t="s">
        <v>11425</v>
      </c>
      <c r="NFY5" s="12" t="s">
        <v>11426</v>
      </c>
      <c r="NFZ5" s="12" t="s">
        <v>11427</v>
      </c>
      <c r="NGA5" s="12" t="s">
        <v>11428</v>
      </c>
      <c r="NGB5" s="12" t="s">
        <v>11429</v>
      </c>
      <c r="NGC5" s="12" t="s">
        <v>11430</v>
      </c>
      <c r="NGD5" s="12" t="s">
        <v>11431</v>
      </c>
      <c r="NGE5" s="12" t="s">
        <v>11432</v>
      </c>
      <c r="NGF5" s="12" t="s">
        <v>11433</v>
      </c>
      <c r="NGG5" s="12" t="s">
        <v>11434</v>
      </c>
      <c r="NGH5" s="12" t="s">
        <v>11435</v>
      </c>
      <c r="NGI5" s="12" t="s">
        <v>11436</v>
      </c>
      <c r="NGJ5" s="12" t="s">
        <v>11437</v>
      </c>
      <c r="NGK5" s="12" t="s">
        <v>11438</v>
      </c>
      <c r="NGL5" s="12" t="s">
        <v>11439</v>
      </c>
      <c r="NGM5" s="12" t="s">
        <v>11440</v>
      </c>
      <c r="NGN5" s="12" t="s">
        <v>11441</v>
      </c>
      <c r="NGO5" s="12" t="s">
        <v>11442</v>
      </c>
      <c r="NGP5" s="12" t="s">
        <v>11443</v>
      </c>
      <c r="NGQ5" s="12" t="s">
        <v>11444</v>
      </c>
      <c r="NGR5" s="12" t="s">
        <v>11445</v>
      </c>
      <c r="NGS5" s="12" t="s">
        <v>11446</v>
      </c>
      <c r="NGT5" s="12" t="s">
        <v>11447</v>
      </c>
      <c r="NGU5" s="12" t="s">
        <v>11448</v>
      </c>
      <c r="NGV5" s="12" t="s">
        <v>11449</v>
      </c>
      <c r="NGW5" s="12" t="s">
        <v>11450</v>
      </c>
      <c r="NGX5" s="12" t="s">
        <v>11451</v>
      </c>
      <c r="NGY5" s="12" t="s">
        <v>11452</v>
      </c>
      <c r="NGZ5" s="12" t="s">
        <v>11453</v>
      </c>
      <c r="NHA5" s="12" t="s">
        <v>11454</v>
      </c>
      <c r="NHB5" s="12" t="s">
        <v>11455</v>
      </c>
      <c r="NHC5" s="12" t="s">
        <v>11456</v>
      </c>
      <c r="NHD5" s="12" t="s">
        <v>11457</v>
      </c>
      <c r="NHE5" s="12" t="s">
        <v>11458</v>
      </c>
      <c r="NHF5" s="12" t="s">
        <v>11459</v>
      </c>
      <c r="NHG5" s="12" t="s">
        <v>11460</v>
      </c>
      <c r="NHH5" s="12" t="s">
        <v>11461</v>
      </c>
      <c r="NHI5" s="12" t="s">
        <v>11462</v>
      </c>
      <c r="NHJ5" s="12" t="s">
        <v>11463</v>
      </c>
      <c r="NHK5" s="12" t="s">
        <v>11464</v>
      </c>
      <c r="NHL5" s="12" t="s">
        <v>11465</v>
      </c>
      <c r="NHM5" s="12" t="s">
        <v>11466</v>
      </c>
      <c r="NHN5" s="12" t="s">
        <v>11467</v>
      </c>
      <c r="NHO5" s="12" t="s">
        <v>11468</v>
      </c>
      <c r="NHP5" s="12" t="s">
        <v>11469</v>
      </c>
      <c r="NHQ5" s="12" t="s">
        <v>11470</v>
      </c>
      <c r="NHR5" s="12" t="s">
        <v>11471</v>
      </c>
      <c r="NHS5" s="12" t="s">
        <v>11472</v>
      </c>
      <c r="NHT5" s="12" t="s">
        <v>11473</v>
      </c>
      <c r="NHU5" s="12" t="s">
        <v>11474</v>
      </c>
      <c r="NHV5" s="12" t="s">
        <v>11475</v>
      </c>
      <c r="NHW5" s="12" t="s">
        <v>11476</v>
      </c>
      <c r="NHX5" s="12" t="s">
        <v>11477</v>
      </c>
      <c r="NHY5" s="12" t="s">
        <v>11478</v>
      </c>
      <c r="NHZ5" s="12" t="s">
        <v>11479</v>
      </c>
      <c r="NIA5" s="12" t="s">
        <v>11480</v>
      </c>
      <c r="NIB5" s="12" t="s">
        <v>11481</v>
      </c>
      <c r="NIC5" s="12" t="s">
        <v>11482</v>
      </c>
      <c r="NID5" s="12" t="s">
        <v>11483</v>
      </c>
      <c r="NIE5" s="12" t="s">
        <v>11484</v>
      </c>
      <c r="NIF5" s="12" t="s">
        <v>11485</v>
      </c>
      <c r="NIG5" s="12" t="s">
        <v>11486</v>
      </c>
      <c r="NIH5" s="12" t="s">
        <v>11487</v>
      </c>
      <c r="NII5" s="12" t="s">
        <v>11488</v>
      </c>
      <c r="NIJ5" s="12" t="s">
        <v>11489</v>
      </c>
      <c r="NIK5" s="12" t="s">
        <v>11490</v>
      </c>
      <c r="NIL5" s="12" t="s">
        <v>11491</v>
      </c>
      <c r="NIM5" s="12" t="s">
        <v>11492</v>
      </c>
      <c r="NIN5" s="12" t="s">
        <v>11493</v>
      </c>
      <c r="NIO5" s="12" t="s">
        <v>11494</v>
      </c>
      <c r="NIP5" s="12" t="s">
        <v>11495</v>
      </c>
      <c r="NIQ5" s="12" t="s">
        <v>11496</v>
      </c>
      <c r="NIR5" s="12" t="s">
        <v>11497</v>
      </c>
      <c r="NIS5" s="12" t="s">
        <v>11498</v>
      </c>
      <c r="NIT5" s="12" t="s">
        <v>11499</v>
      </c>
      <c r="NIU5" s="12" t="s">
        <v>11500</v>
      </c>
      <c r="NIV5" s="12" t="s">
        <v>11501</v>
      </c>
      <c r="NIW5" s="12" t="s">
        <v>11502</v>
      </c>
      <c r="NIX5" s="12" t="s">
        <v>11503</v>
      </c>
      <c r="NIY5" s="12" t="s">
        <v>11504</v>
      </c>
      <c r="NIZ5" s="12" t="s">
        <v>11505</v>
      </c>
      <c r="NJA5" s="12" t="s">
        <v>11506</v>
      </c>
      <c r="NJB5" s="12" t="s">
        <v>11507</v>
      </c>
      <c r="NJC5" s="12" t="s">
        <v>11508</v>
      </c>
      <c r="NJD5" s="12" t="s">
        <v>11509</v>
      </c>
      <c r="NJE5" s="12" t="s">
        <v>11510</v>
      </c>
      <c r="NJF5" s="12" t="s">
        <v>11511</v>
      </c>
      <c r="NJG5" s="12" t="s">
        <v>11512</v>
      </c>
      <c r="NJH5" s="12" t="s">
        <v>11513</v>
      </c>
      <c r="NJI5" s="12" t="s">
        <v>11514</v>
      </c>
      <c r="NJJ5" s="12" t="s">
        <v>11515</v>
      </c>
      <c r="NJK5" s="12" t="s">
        <v>11516</v>
      </c>
      <c r="NJL5" s="12" t="s">
        <v>11517</v>
      </c>
      <c r="NJM5" s="12" t="s">
        <v>11518</v>
      </c>
      <c r="NJN5" s="12" t="s">
        <v>11519</v>
      </c>
      <c r="NJO5" s="12" t="s">
        <v>11520</v>
      </c>
      <c r="NJP5" s="12" t="s">
        <v>11521</v>
      </c>
      <c r="NJQ5" s="12" t="s">
        <v>11522</v>
      </c>
      <c r="NJR5" s="12" t="s">
        <v>11523</v>
      </c>
      <c r="NJS5" s="12" t="s">
        <v>11524</v>
      </c>
      <c r="NJT5" s="12" t="s">
        <v>11525</v>
      </c>
      <c r="NJU5" s="12" t="s">
        <v>11526</v>
      </c>
      <c r="NJV5" s="12" t="s">
        <v>11527</v>
      </c>
      <c r="NJW5" s="12" t="s">
        <v>11528</v>
      </c>
      <c r="NJX5" s="12" t="s">
        <v>11529</v>
      </c>
      <c r="NJY5" s="12" t="s">
        <v>11530</v>
      </c>
      <c r="NJZ5" s="12" t="s">
        <v>11531</v>
      </c>
      <c r="NKA5" s="12" t="s">
        <v>11532</v>
      </c>
      <c r="NKB5" s="12" t="s">
        <v>11533</v>
      </c>
      <c r="NKC5" s="12" t="s">
        <v>11534</v>
      </c>
      <c r="NKD5" s="12" t="s">
        <v>11535</v>
      </c>
      <c r="NKE5" s="12" t="s">
        <v>11536</v>
      </c>
      <c r="NKF5" s="12" t="s">
        <v>11537</v>
      </c>
      <c r="NKG5" s="12" t="s">
        <v>11538</v>
      </c>
      <c r="NKH5" s="12" t="s">
        <v>11539</v>
      </c>
      <c r="NKI5" s="12" t="s">
        <v>11540</v>
      </c>
      <c r="NKJ5" s="12" t="s">
        <v>11541</v>
      </c>
      <c r="NKK5" s="12" t="s">
        <v>11542</v>
      </c>
      <c r="NKL5" s="12" t="s">
        <v>11543</v>
      </c>
      <c r="NKM5" s="12" t="s">
        <v>11544</v>
      </c>
      <c r="NKN5" s="12" t="s">
        <v>11545</v>
      </c>
      <c r="NKO5" s="12" t="s">
        <v>11546</v>
      </c>
      <c r="NKP5" s="12" t="s">
        <v>11547</v>
      </c>
      <c r="NKQ5" s="12" t="s">
        <v>11548</v>
      </c>
      <c r="NKR5" s="12" t="s">
        <v>11549</v>
      </c>
      <c r="NKS5" s="12" t="s">
        <v>11550</v>
      </c>
      <c r="NKT5" s="12" t="s">
        <v>11551</v>
      </c>
      <c r="NKU5" s="12" t="s">
        <v>11552</v>
      </c>
      <c r="NKV5" s="12" t="s">
        <v>11553</v>
      </c>
      <c r="NKW5" s="12" t="s">
        <v>11554</v>
      </c>
      <c r="NKX5" s="12" t="s">
        <v>11555</v>
      </c>
      <c r="NKY5" s="12" t="s">
        <v>11556</v>
      </c>
      <c r="NKZ5" s="12" t="s">
        <v>11557</v>
      </c>
      <c r="NLA5" s="12" t="s">
        <v>11558</v>
      </c>
      <c r="NLB5" s="12" t="s">
        <v>11559</v>
      </c>
      <c r="NLC5" s="12" t="s">
        <v>11560</v>
      </c>
      <c r="NLD5" s="12" t="s">
        <v>11561</v>
      </c>
      <c r="NLE5" s="12" t="s">
        <v>11562</v>
      </c>
      <c r="NLF5" s="12" t="s">
        <v>11563</v>
      </c>
      <c r="NLG5" s="12" t="s">
        <v>11564</v>
      </c>
      <c r="NLH5" s="12" t="s">
        <v>11565</v>
      </c>
      <c r="NLI5" s="12" t="s">
        <v>11566</v>
      </c>
      <c r="NLJ5" s="12" t="s">
        <v>11567</v>
      </c>
      <c r="NLK5" s="12" t="s">
        <v>11568</v>
      </c>
      <c r="NLL5" s="12" t="s">
        <v>11569</v>
      </c>
      <c r="NLM5" s="12" t="s">
        <v>11570</v>
      </c>
      <c r="NLN5" s="12" t="s">
        <v>11571</v>
      </c>
      <c r="NLO5" s="12" t="s">
        <v>11572</v>
      </c>
      <c r="NLP5" s="12" t="s">
        <v>11573</v>
      </c>
      <c r="NLQ5" s="12" t="s">
        <v>11574</v>
      </c>
      <c r="NLR5" s="12" t="s">
        <v>11575</v>
      </c>
      <c r="NLS5" s="12" t="s">
        <v>11576</v>
      </c>
      <c r="NLT5" s="12" t="s">
        <v>11577</v>
      </c>
      <c r="NLU5" s="12" t="s">
        <v>11578</v>
      </c>
      <c r="NLV5" s="12" t="s">
        <v>11579</v>
      </c>
      <c r="NLW5" s="12" t="s">
        <v>11580</v>
      </c>
      <c r="NLX5" s="12" t="s">
        <v>11581</v>
      </c>
      <c r="NLY5" s="12" t="s">
        <v>11582</v>
      </c>
      <c r="NLZ5" s="12" t="s">
        <v>11583</v>
      </c>
      <c r="NMA5" s="12" t="s">
        <v>11584</v>
      </c>
      <c r="NMB5" s="12" t="s">
        <v>11585</v>
      </c>
      <c r="NMC5" s="12" t="s">
        <v>11586</v>
      </c>
      <c r="NMD5" s="12" t="s">
        <v>11587</v>
      </c>
      <c r="NME5" s="12" t="s">
        <v>11588</v>
      </c>
      <c r="NMF5" s="12" t="s">
        <v>11589</v>
      </c>
      <c r="NMG5" s="12" t="s">
        <v>11590</v>
      </c>
      <c r="NMH5" s="12" t="s">
        <v>11591</v>
      </c>
      <c r="NMI5" s="12" t="s">
        <v>11592</v>
      </c>
      <c r="NMJ5" s="12" t="s">
        <v>11593</v>
      </c>
      <c r="NMK5" s="12" t="s">
        <v>11594</v>
      </c>
      <c r="NML5" s="12" t="s">
        <v>11595</v>
      </c>
      <c r="NMM5" s="12" t="s">
        <v>11596</v>
      </c>
      <c r="NMN5" s="12" t="s">
        <v>11597</v>
      </c>
      <c r="NMO5" s="12" t="s">
        <v>11598</v>
      </c>
      <c r="NMP5" s="12" t="s">
        <v>11599</v>
      </c>
      <c r="NMQ5" s="12" t="s">
        <v>11600</v>
      </c>
      <c r="NMR5" s="12" t="s">
        <v>11601</v>
      </c>
      <c r="NMS5" s="12" t="s">
        <v>11602</v>
      </c>
      <c r="NMT5" s="12" t="s">
        <v>11603</v>
      </c>
      <c r="NMU5" s="12" t="s">
        <v>11604</v>
      </c>
      <c r="NMV5" s="12" t="s">
        <v>11605</v>
      </c>
      <c r="NMW5" s="12" t="s">
        <v>11606</v>
      </c>
      <c r="NMX5" s="12" t="s">
        <v>11607</v>
      </c>
      <c r="NMY5" s="12" t="s">
        <v>11608</v>
      </c>
      <c r="NMZ5" s="12" t="s">
        <v>11609</v>
      </c>
      <c r="NNA5" s="12" t="s">
        <v>11610</v>
      </c>
      <c r="NNB5" s="12" t="s">
        <v>11611</v>
      </c>
      <c r="NNC5" s="12" t="s">
        <v>11612</v>
      </c>
      <c r="NND5" s="12" t="s">
        <v>11613</v>
      </c>
      <c r="NNE5" s="12" t="s">
        <v>11614</v>
      </c>
      <c r="NNF5" s="12" t="s">
        <v>11615</v>
      </c>
      <c r="NNG5" s="12" t="s">
        <v>11616</v>
      </c>
      <c r="NNH5" s="12" t="s">
        <v>11617</v>
      </c>
      <c r="NNI5" s="12" t="s">
        <v>11618</v>
      </c>
      <c r="NNJ5" s="12" t="s">
        <v>11619</v>
      </c>
      <c r="NNK5" s="12" t="s">
        <v>11620</v>
      </c>
      <c r="NNL5" s="12" t="s">
        <v>11621</v>
      </c>
      <c r="NNM5" s="12" t="s">
        <v>11622</v>
      </c>
      <c r="NNN5" s="12" t="s">
        <v>11623</v>
      </c>
      <c r="NNO5" s="12" t="s">
        <v>11624</v>
      </c>
      <c r="NNP5" s="12" t="s">
        <v>11625</v>
      </c>
      <c r="NNQ5" s="12" t="s">
        <v>11626</v>
      </c>
      <c r="NNR5" s="12" t="s">
        <v>11627</v>
      </c>
      <c r="NNS5" s="12" t="s">
        <v>11628</v>
      </c>
      <c r="NNT5" s="12" t="s">
        <v>11629</v>
      </c>
      <c r="NNU5" s="12" t="s">
        <v>11630</v>
      </c>
      <c r="NNV5" s="12" t="s">
        <v>11631</v>
      </c>
      <c r="NNW5" s="12" t="s">
        <v>11632</v>
      </c>
      <c r="NNX5" s="12" t="s">
        <v>11633</v>
      </c>
      <c r="NNY5" s="12" t="s">
        <v>11634</v>
      </c>
      <c r="NNZ5" s="12" t="s">
        <v>11635</v>
      </c>
      <c r="NOA5" s="12" t="s">
        <v>11636</v>
      </c>
      <c r="NOB5" s="12" t="s">
        <v>11637</v>
      </c>
      <c r="NOC5" s="12" t="s">
        <v>11638</v>
      </c>
      <c r="NOD5" s="12" t="s">
        <v>11639</v>
      </c>
      <c r="NOE5" s="12" t="s">
        <v>11640</v>
      </c>
      <c r="NOF5" s="12" t="s">
        <v>11641</v>
      </c>
      <c r="NOG5" s="12" t="s">
        <v>11642</v>
      </c>
      <c r="NOH5" s="12" t="s">
        <v>11643</v>
      </c>
      <c r="NOI5" s="12" t="s">
        <v>11644</v>
      </c>
      <c r="NOJ5" s="12" t="s">
        <v>11645</v>
      </c>
      <c r="NOK5" s="12" t="s">
        <v>11646</v>
      </c>
      <c r="NOL5" s="12" t="s">
        <v>11647</v>
      </c>
      <c r="NOM5" s="12" t="s">
        <v>11648</v>
      </c>
      <c r="NON5" s="12" t="s">
        <v>11649</v>
      </c>
      <c r="NOO5" s="12" t="s">
        <v>11650</v>
      </c>
      <c r="NOP5" s="12" t="s">
        <v>11651</v>
      </c>
      <c r="NOQ5" s="12" t="s">
        <v>11652</v>
      </c>
      <c r="NOR5" s="12" t="s">
        <v>11653</v>
      </c>
      <c r="NOS5" s="12" t="s">
        <v>11654</v>
      </c>
      <c r="NOT5" s="12" t="s">
        <v>11655</v>
      </c>
      <c r="NOU5" s="12" t="s">
        <v>11656</v>
      </c>
      <c r="NOV5" s="12" t="s">
        <v>11657</v>
      </c>
      <c r="NOW5" s="12" t="s">
        <v>11658</v>
      </c>
      <c r="NOX5" s="12" t="s">
        <v>11659</v>
      </c>
      <c r="NOY5" s="12" t="s">
        <v>11660</v>
      </c>
      <c r="NOZ5" s="12" t="s">
        <v>11661</v>
      </c>
      <c r="NPA5" s="12" t="s">
        <v>11662</v>
      </c>
      <c r="NPB5" s="12" t="s">
        <v>11663</v>
      </c>
      <c r="NPC5" s="12" t="s">
        <v>11664</v>
      </c>
      <c r="NPD5" s="12" t="s">
        <v>11665</v>
      </c>
      <c r="NPE5" s="12" t="s">
        <v>11666</v>
      </c>
      <c r="NPF5" s="12" t="s">
        <v>11667</v>
      </c>
      <c r="NPG5" s="12" t="s">
        <v>11668</v>
      </c>
      <c r="NPH5" s="12" t="s">
        <v>11669</v>
      </c>
      <c r="NPI5" s="12" t="s">
        <v>11670</v>
      </c>
      <c r="NPJ5" s="12" t="s">
        <v>11671</v>
      </c>
      <c r="NPK5" s="12" t="s">
        <v>11672</v>
      </c>
      <c r="NPL5" s="12" t="s">
        <v>11673</v>
      </c>
      <c r="NPM5" s="12" t="s">
        <v>11674</v>
      </c>
      <c r="NPN5" s="12" t="s">
        <v>11675</v>
      </c>
      <c r="NPO5" s="12" t="s">
        <v>11676</v>
      </c>
      <c r="NPP5" s="12" t="s">
        <v>11677</v>
      </c>
      <c r="NPQ5" s="12" t="s">
        <v>11678</v>
      </c>
      <c r="NPR5" s="12" t="s">
        <v>11679</v>
      </c>
      <c r="NPS5" s="12" t="s">
        <v>11680</v>
      </c>
      <c r="NPT5" s="12" t="s">
        <v>11681</v>
      </c>
      <c r="NPU5" s="12" t="s">
        <v>11682</v>
      </c>
      <c r="NPV5" s="12" t="s">
        <v>11683</v>
      </c>
      <c r="NPW5" s="12" t="s">
        <v>11684</v>
      </c>
      <c r="NPX5" s="12" t="s">
        <v>11685</v>
      </c>
      <c r="NPY5" s="12" t="s">
        <v>11686</v>
      </c>
      <c r="NPZ5" s="12" t="s">
        <v>11687</v>
      </c>
      <c r="NQA5" s="12" t="s">
        <v>11688</v>
      </c>
      <c r="NQB5" s="12" t="s">
        <v>11689</v>
      </c>
      <c r="NQC5" s="12" t="s">
        <v>11690</v>
      </c>
      <c r="NQD5" s="12" t="s">
        <v>11691</v>
      </c>
      <c r="NQE5" s="12" t="s">
        <v>11692</v>
      </c>
      <c r="NQF5" s="12" t="s">
        <v>11693</v>
      </c>
      <c r="NQG5" s="12" t="s">
        <v>11694</v>
      </c>
      <c r="NQH5" s="12" t="s">
        <v>11695</v>
      </c>
      <c r="NQI5" s="12" t="s">
        <v>11696</v>
      </c>
      <c r="NQJ5" s="12" t="s">
        <v>11697</v>
      </c>
      <c r="NQK5" s="12" t="s">
        <v>11698</v>
      </c>
      <c r="NQL5" s="12" t="s">
        <v>11699</v>
      </c>
      <c r="NQM5" s="12" t="s">
        <v>11700</v>
      </c>
      <c r="NQN5" s="12" t="s">
        <v>11701</v>
      </c>
      <c r="NQO5" s="12" t="s">
        <v>11702</v>
      </c>
      <c r="NQP5" s="12" t="s">
        <v>11703</v>
      </c>
      <c r="NQQ5" s="12" t="s">
        <v>11704</v>
      </c>
      <c r="NQR5" s="12" t="s">
        <v>11705</v>
      </c>
      <c r="NQS5" s="12" t="s">
        <v>11706</v>
      </c>
      <c r="NQT5" s="12" t="s">
        <v>11707</v>
      </c>
      <c r="NQU5" s="12" t="s">
        <v>11708</v>
      </c>
      <c r="NQV5" s="12" t="s">
        <v>11709</v>
      </c>
      <c r="NQW5" s="12" t="s">
        <v>11710</v>
      </c>
      <c r="NQX5" s="12" t="s">
        <v>11711</v>
      </c>
      <c r="NQY5" s="12" t="s">
        <v>11712</v>
      </c>
      <c r="NQZ5" s="12" t="s">
        <v>11713</v>
      </c>
      <c r="NRA5" s="12" t="s">
        <v>11714</v>
      </c>
      <c r="NRB5" s="12" t="s">
        <v>11715</v>
      </c>
      <c r="NRC5" s="12" t="s">
        <v>11716</v>
      </c>
      <c r="NRD5" s="12" t="s">
        <v>11717</v>
      </c>
      <c r="NRE5" s="12" t="s">
        <v>11718</v>
      </c>
      <c r="NRF5" s="12" t="s">
        <v>11719</v>
      </c>
      <c r="NRG5" s="12" t="s">
        <v>11720</v>
      </c>
      <c r="NRH5" s="12" t="s">
        <v>11721</v>
      </c>
      <c r="NRI5" s="12" t="s">
        <v>11722</v>
      </c>
      <c r="NRJ5" s="12" t="s">
        <v>11723</v>
      </c>
      <c r="NRK5" s="12" t="s">
        <v>11724</v>
      </c>
      <c r="NRL5" s="12" t="s">
        <v>11725</v>
      </c>
      <c r="NRM5" s="12" t="s">
        <v>11726</v>
      </c>
      <c r="NRN5" s="12" t="s">
        <v>11727</v>
      </c>
      <c r="NRO5" s="12" t="s">
        <v>11728</v>
      </c>
      <c r="NRP5" s="12" t="s">
        <v>11729</v>
      </c>
      <c r="NRQ5" s="12" t="s">
        <v>11730</v>
      </c>
      <c r="NRR5" s="12" t="s">
        <v>11731</v>
      </c>
      <c r="NRS5" s="12" t="s">
        <v>11732</v>
      </c>
      <c r="NRT5" s="12" t="s">
        <v>11733</v>
      </c>
      <c r="NRU5" s="12" t="s">
        <v>11734</v>
      </c>
      <c r="NRV5" s="12" t="s">
        <v>11735</v>
      </c>
      <c r="NRW5" s="12" t="s">
        <v>11736</v>
      </c>
      <c r="NRX5" s="12" t="s">
        <v>11737</v>
      </c>
      <c r="NRY5" s="12" t="s">
        <v>11738</v>
      </c>
      <c r="NRZ5" s="12" t="s">
        <v>11739</v>
      </c>
      <c r="NSA5" s="12" t="s">
        <v>11740</v>
      </c>
      <c r="NSB5" s="12" t="s">
        <v>11741</v>
      </c>
      <c r="NSC5" s="12" t="s">
        <v>11742</v>
      </c>
      <c r="NSD5" s="12" t="s">
        <v>11743</v>
      </c>
      <c r="NSE5" s="12" t="s">
        <v>11744</v>
      </c>
      <c r="NSF5" s="12" t="s">
        <v>11745</v>
      </c>
      <c r="NSG5" s="12" t="s">
        <v>11746</v>
      </c>
      <c r="NSH5" s="12" t="s">
        <v>11747</v>
      </c>
      <c r="NSI5" s="12" t="s">
        <v>11748</v>
      </c>
      <c r="NSJ5" s="12" t="s">
        <v>11749</v>
      </c>
      <c r="NSK5" s="12" t="s">
        <v>11750</v>
      </c>
      <c r="NSL5" s="12" t="s">
        <v>11751</v>
      </c>
      <c r="NSM5" s="12" t="s">
        <v>11752</v>
      </c>
      <c r="NSN5" s="12" t="s">
        <v>11753</v>
      </c>
      <c r="NSO5" s="12" t="s">
        <v>11754</v>
      </c>
      <c r="NSP5" s="12" t="s">
        <v>11755</v>
      </c>
      <c r="NSQ5" s="12" t="s">
        <v>11756</v>
      </c>
      <c r="NSR5" s="12" t="s">
        <v>11757</v>
      </c>
      <c r="NSS5" s="12" t="s">
        <v>11758</v>
      </c>
      <c r="NST5" s="12" t="s">
        <v>11759</v>
      </c>
      <c r="NSU5" s="12" t="s">
        <v>11760</v>
      </c>
      <c r="NSV5" s="12" t="s">
        <v>11761</v>
      </c>
      <c r="NSW5" s="12" t="s">
        <v>11762</v>
      </c>
      <c r="NSX5" s="12" t="s">
        <v>11763</v>
      </c>
      <c r="NSY5" s="12" t="s">
        <v>11764</v>
      </c>
      <c r="NSZ5" s="12" t="s">
        <v>11765</v>
      </c>
      <c r="NTA5" s="12" t="s">
        <v>11766</v>
      </c>
      <c r="NTB5" s="12" t="s">
        <v>11767</v>
      </c>
      <c r="NTC5" s="12" t="s">
        <v>11768</v>
      </c>
      <c r="NTD5" s="12" t="s">
        <v>11769</v>
      </c>
      <c r="NTE5" s="12" t="s">
        <v>11770</v>
      </c>
      <c r="NTF5" s="12" t="s">
        <v>11771</v>
      </c>
      <c r="NTG5" s="12" t="s">
        <v>11772</v>
      </c>
      <c r="NTH5" s="12" t="s">
        <v>11773</v>
      </c>
      <c r="NTI5" s="12" t="s">
        <v>11774</v>
      </c>
      <c r="NTJ5" s="12" t="s">
        <v>11775</v>
      </c>
      <c r="NTK5" s="12" t="s">
        <v>11776</v>
      </c>
      <c r="NTL5" s="12" t="s">
        <v>11777</v>
      </c>
      <c r="NTM5" s="12" t="s">
        <v>11778</v>
      </c>
      <c r="NTN5" s="12" t="s">
        <v>11779</v>
      </c>
      <c r="NTO5" s="12" t="s">
        <v>11780</v>
      </c>
      <c r="NTP5" s="12" t="s">
        <v>11781</v>
      </c>
      <c r="NTQ5" s="12" t="s">
        <v>11782</v>
      </c>
      <c r="NTR5" s="12" t="s">
        <v>11783</v>
      </c>
      <c r="NTS5" s="12" t="s">
        <v>11784</v>
      </c>
      <c r="NTT5" s="12" t="s">
        <v>11785</v>
      </c>
      <c r="NTU5" s="12" t="s">
        <v>11786</v>
      </c>
      <c r="NTV5" s="12" t="s">
        <v>11787</v>
      </c>
      <c r="NTW5" s="12" t="s">
        <v>11788</v>
      </c>
      <c r="NTX5" s="12" t="s">
        <v>11789</v>
      </c>
      <c r="NTY5" s="12" t="s">
        <v>11790</v>
      </c>
      <c r="NTZ5" s="12" t="s">
        <v>11791</v>
      </c>
      <c r="NUA5" s="12" t="s">
        <v>11792</v>
      </c>
      <c r="NUB5" s="12" t="s">
        <v>11793</v>
      </c>
      <c r="NUC5" s="12" t="s">
        <v>11794</v>
      </c>
      <c r="NUD5" s="12" t="s">
        <v>11795</v>
      </c>
      <c r="NUE5" s="12" t="s">
        <v>11796</v>
      </c>
      <c r="NUF5" s="12" t="s">
        <v>11797</v>
      </c>
      <c r="NUG5" s="12" t="s">
        <v>11798</v>
      </c>
      <c r="NUH5" s="12" t="s">
        <v>11799</v>
      </c>
      <c r="NUI5" s="12" t="s">
        <v>11800</v>
      </c>
      <c r="NUJ5" s="12" t="s">
        <v>11801</v>
      </c>
      <c r="NUK5" s="12" t="s">
        <v>11802</v>
      </c>
      <c r="NUL5" s="12" t="s">
        <v>11803</v>
      </c>
      <c r="NUM5" s="12" t="s">
        <v>11804</v>
      </c>
      <c r="NUN5" s="12" t="s">
        <v>11805</v>
      </c>
      <c r="NUO5" s="12" t="s">
        <v>11806</v>
      </c>
      <c r="NUP5" s="12" t="s">
        <v>11807</v>
      </c>
      <c r="NUQ5" s="12" t="s">
        <v>11808</v>
      </c>
      <c r="NUR5" s="12" t="s">
        <v>11809</v>
      </c>
      <c r="NUS5" s="12" t="s">
        <v>11810</v>
      </c>
      <c r="NUT5" s="12" t="s">
        <v>11811</v>
      </c>
      <c r="NUU5" s="12" t="s">
        <v>11812</v>
      </c>
      <c r="NUV5" s="12" t="s">
        <v>11813</v>
      </c>
      <c r="NUW5" s="12" t="s">
        <v>11814</v>
      </c>
      <c r="NUX5" s="12" t="s">
        <v>11815</v>
      </c>
      <c r="NUY5" s="12" t="s">
        <v>11816</v>
      </c>
      <c r="NUZ5" s="12" t="s">
        <v>11817</v>
      </c>
      <c r="NVA5" s="12" t="s">
        <v>11818</v>
      </c>
      <c r="NVB5" s="12" t="s">
        <v>11819</v>
      </c>
      <c r="NVC5" s="12" t="s">
        <v>11820</v>
      </c>
      <c r="NVD5" s="12" t="s">
        <v>11821</v>
      </c>
      <c r="NVE5" s="12" t="s">
        <v>11822</v>
      </c>
      <c r="NVF5" s="12" t="s">
        <v>11823</v>
      </c>
      <c r="NVG5" s="12" t="s">
        <v>11824</v>
      </c>
      <c r="NVH5" s="12" t="s">
        <v>11825</v>
      </c>
      <c r="NVI5" s="12" t="s">
        <v>11826</v>
      </c>
      <c r="NVJ5" s="12" t="s">
        <v>11827</v>
      </c>
      <c r="NVK5" s="12" t="s">
        <v>11828</v>
      </c>
      <c r="NVL5" s="12" t="s">
        <v>11829</v>
      </c>
      <c r="NVM5" s="12" t="s">
        <v>11830</v>
      </c>
      <c r="NVN5" s="12" t="s">
        <v>11831</v>
      </c>
      <c r="NVO5" s="12" t="s">
        <v>11832</v>
      </c>
      <c r="NVP5" s="12" t="s">
        <v>11833</v>
      </c>
      <c r="NVQ5" s="12" t="s">
        <v>11834</v>
      </c>
      <c r="NVR5" s="12" t="s">
        <v>11835</v>
      </c>
      <c r="NVS5" s="12" t="s">
        <v>11836</v>
      </c>
      <c r="NVT5" s="12" t="s">
        <v>11837</v>
      </c>
      <c r="NVU5" s="12" t="s">
        <v>11838</v>
      </c>
      <c r="NVV5" s="12" t="s">
        <v>11839</v>
      </c>
      <c r="NVW5" s="12" t="s">
        <v>11840</v>
      </c>
      <c r="NVX5" s="12" t="s">
        <v>11841</v>
      </c>
      <c r="NVY5" s="12" t="s">
        <v>11842</v>
      </c>
      <c r="NVZ5" s="12" t="s">
        <v>11843</v>
      </c>
      <c r="NWA5" s="12" t="s">
        <v>11844</v>
      </c>
      <c r="NWB5" s="12" t="s">
        <v>11845</v>
      </c>
      <c r="NWC5" s="12" t="s">
        <v>11846</v>
      </c>
      <c r="NWD5" s="12" t="s">
        <v>11847</v>
      </c>
      <c r="NWE5" s="12" t="s">
        <v>11848</v>
      </c>
      <c r="NWF5" s="12" t="s">
        <v>11849</v>
      </c>
      <c r="NWG5" s="12" t="s">
        <v>11850</v>
      </c>
      <c r="NWH5" s="12" t="s">
        <v>11851</v>
      </c>
      <c r="NWI5" s="12" t="s">
        <v>11852</v>
      </c>
      <c r="NWJ5" s="12" t="s">
        <v>11853</v>
      </c>
      <c r="NWK5" s="12" t="s">
        <v>11854</v>
      </c>
      <c r="NWL5" s="12" t="s">
        <v>11855</v>
      </c>
      <c r="NWM5" s="12" t="s">
        <v>11856</v>
      </c>
      <c r="NWN5" s="12" t="s">
        <v>11857</v>
      </c>
      <c r="NWO5" s="12" t="s">
        <v>11858</v>
      </c>
      <c r="NWP5" s="12" t="s">
        <v>11859</v>
      </c>
      <c r="NWQ5" s="12" t="s">
        <v>11860</v>
      </c>
      <c r="NWR5" s="12" t="s">
        <v>11861</v>
      </c>
      <c r="NWS5" s="12" t="s">
        <v>11862</v>
      </c>
      <c r="NWT5" s="12" t="s">
        <v>11863</v>
      </c>
      <c r="NWU5" s="12" t="s">
        <v>11864</v>
      </c>
      <c r="NWV5" s="12" t="s">
        <v>11865</v>
      </c>
      <c r="NWW5" s="12" t="s">
        <v>11866</v>
      </c>
      <c r="NWX5" s="12" t="s">
        <v>11867</v>
      </c>
      <c r="NWY5" s="12" t="s">
        <v>11868</v>
      </c>
      <c r="NWZ5" s="12" t="s">
        <v>11869</v>
      </c>
      <c r="NXA5" s="12" t="s">
        <v>11870</v>
      </c>
      <c r="NXB5" s="12" t="s">
        <v>11871</v>
      </c>
      <c r="NXC5" s="12" t="s">
        <v>11872</v>
      </c>
      <c r="NXD5" s="12" t="s">
        <v>11873</v>
      </c>
      <c r="NXE5" s="12" t="s">
        <v>11874</v>
      </c>
      <c r="NXF5" s="12" t="s">
        <v>11875</v>
      </c>
      <c r="NXG5" s="12" t="s">
        <v>11876</v>
      </c>
      <c r="NXH5" s="12" t="s">
        <v>11877</v>
      </c>
      <c r="NXI5" s="12" t="s">
        <v>11878</v>
      </c>
      <c r="NXJ5" s="12" t="s">
        <v>11879</v>
      </c>
      <c r="NXK5" s="12" t="s">
        <v>11880</v>
      </c>
      <c r="NXL5" s="12" t="s">
        <v>11881</v>
      </c>
      <c r="NXM5" s="12" t="s">
        <v>11882</v>
      </c>
      <c r="NXN5" s="12" t="s">
        <v>11883</v>
      </c>
      <c r="NXO5" s="12" t="s">
        <v>11884</v>
      </c>
      <c r="NXP5" s="12" t="s">
        <v>11885</v>
      </c>
      <c r="NXQ5" s="12" t="s">
        <v>11886</v>
      </c>
      <c r="NXR5" s="12" t="s">
        <v>11887</v>
      </c>
      <c r="NXS5" s="12" t="s">
        <v>11888</v>
      </c>
      <c r="NXT5" s="12" t="s">
        <v>11889</v>
      </c>
      <c r="NXU5" s="12" t="s">
        <v>11890</v>
      </c>
      <c r="NXV5" s="12" t="s">
        <v>11891</v>
      </c>
      <c r="NXW5" s="12" t="s">
        <v>11892</v>
      </c>
      <c r="NXX5" s="12" t="s">
        <v>11893</v>
      </c>
      <c r="NXY5" s="12" t="s">
        <v>11894</v>
      </c>
      <c r="NXZ5" s="12" t="s">
        <v>11895</v>
      </c>
      <c r="NYA5" s="12" t="s">
        <v>11896</v>
      </c>
      <c r="NYB5" s="12" t="s">
        <v>11897</v>
      </c>
      <c r="NYC5" s="12" t="s">
        <v>11898</v>
      </c>
      <c r="NYD5" s="12" t="s">
        <v>11899</v>
      </c>
      <c r="NYE5" s="12" t="s">
        <v>11900</v>
      </c>
      <c r="NYF5" s="12" t="s">
        <v>11901</v>
      </c>
      <c r="NYG5" s="12" t="s">
        <v>11902</v>
      </c>
      <c r="NYH5" s="12" t="s">
        <v>11903</v>
      </c>
      <c r="NYI5" s="12" t="s">
        <v>11904</v>
      </c>
      <c r="NYJ5" s="12" t="s">
        <v>11905</v>
      </c>
      <c r="NYK5" s="12" t="s">
        <v>11906</v>
      </c>
      <c r="NYL5" s="12" t="s">
        <v>11907</v>
      </c>
      <c r="NYM5" s="12" t="s">
        <v>11908</v>
      </c>
      <c r="NYN5" s="12" t="s">
        <v>11909</v>
      </c>
      <c r="NYO5" s="12" t="s">
        <v>11910</v>
      </c>
      <c r="NYP5" s="12" t="s">
        <v>11911</v>
      </c>
      <c r="NYQ5" s="12" t="s">
        <v>11912</v>
      </c>
      <c r="NYR5" s="12" t="s">
        <v>11913</v>
      </c>
      <c r="NYS5" s="12" t="s">
        <v>11914</v>
      </c>
      <c r="NYT5" s="12" t="s">
        <v>11915</v>
      </c>
      <c r="NYU5" s="12" t="s">
        <v>11916</v>
      </c>
      <c r="NYV5" s="12" t="s">
        <v>11917</v>
      </c>
      <c r="NYW5" s="12" t="s">
        <v>11918</v>
      </c>
      <c r="NYX5" s="12" t="s">
        <v>11919</v>
      </c>
      <c r="NYY5" s="12" t="s">
        <v>11920</v>
      </c>
      <c r="NYZ5" s="12" t="s">
        <v>11921</v>
      </c>
      <c r="NZA5" s="12" t="s">
        <v>11922</v>
      </c>
      <c r="NZB5" s="12" t="s">
        <v>11923</v>
      </c>
      <c r="NZC5" s="12" t="s">
        <v>11924</v>
      </c>
      <c r="NZD5" s="12" t="s">
        <v>11925</v>
      </c>
      <c r="NZE5" s="12" t="s">
        <v>11926</v>
      </c>
      <c r="NZF5" s="12" t="s">
        <v>11927</v>
      </c>
      <c r="NZG5" s="12" t="s">
        <v>11928</v>
      </c>
      <c r="NZH5" s="12" t="s">
        <v>11929</v>
      </c>
      <c r="NZI5" s="12" t="s">
        <v>11930</v>
      </c>
      <c r="NZJ5" s="12" t="s">
        <v>11931</v>
      </c>
      <c r="NZK5" s="12" t="s">
        <v>11932</v>
      </c>
      <c r="NZL5" s="12" t="s">
        <v>11933</v>
      </c>
      <c r="NZM5" s="12" t="s">
        <v>11934</v>
      </c>
      <c r="NZN5" s="12" t="s">
        <v>11935</v>
      </c>
      <c r="NZO5" s="12" t="s">
        <v>11936</v>
      </c>
      <c r="NZP5" s="12" t="s">
        <v>11937</v>
      </c>
      <c r="NZQ5" s="12" t="s">
        <v>11938</v>
      </c>
      <c r="NZR5" s="12" t="s">
        <v>11939</v>
      </c>
      <c r="NZS5" s="12" t="s">
        <v>11940</v>
      </c>
      <c r="NZT5" s="12" t="s">
        <v>11941</v>
      </c>
      <c r="NZU5" s="12" t="s">
        <v>11942</v>
      </c>
      <c r="NZV5" s="12" t="s">
        <v>11943</v>
      </c>
      <c r="NZW5" s="12" t="s">
        <v>11944</v>
      </c>
      <c r="NZX5" s="12" t="s">
        <v>11945</v>
      </c>
      <c r="NZY5" s="12" t="s">
        <v>11946</v>
      </c>
      <c r="NZZ5" s="12" t="s">
        <v>11947</v>
      </c>
      <c r="OAA5" s="12" t="s">
        <v>11948</v>
      </c>
      <c r="OAB5" s="12" t="s">
        <v>11949</v>
      </c>
      <c r="OAC5" s="12" t="s">
        <v>11950</v>
      </c>
      <c r="OAD5" s="12" t="s">
        <v>11951</v>
      </c>
      <c r="OAE5" s="12" t="s">
        <v>11952</v>
      </c>
      <c r="OAF5" s="12" t="s">
        <v>11953</v>
      </c>
      <c r="OAG5" s="12" t="s">
        <v>11954</v>
      </c>
      <c r="OAH5" s="12" t="s">
        <v>11955</v>
      </c>
      <c r="OAI5" s="12" t="s">
        <v>11956</v>
      </c>
      <c r="OAJ5" s="12" t="s">
        <v>11957</v>
      </c>
      <c r="OAK5" s="12" t="s">
        <v>11958</v>
      </c>
      <c r="OAL5" s="12" t="s">
        <v>11959</v>
      </c>
      <c r="OAM5" s="12" t="s">
        <v>11960</v>
      </c>
      <c r="OAN5" s="12" t="s">
        <v>11961</v>
      </c>
      <c r="OAO5" s="12" t="s">
        <v>11962</v>
      </c>
      <c r="OAP5" s="12" t="s">
        <v>11963</v>
      </c>
      <c r="OAQ5" s="12" t="s">
        <v>11964</v>
      </c>
      <c r="OAR5" s="12" t="s">
        <v>11965</v>
      </c>
      <c r="OAS5" s="12" t="s">
        <v>11966</v>
      </c>
      <c r="OAT5" s="12" t="s">
        <v>11967</v>
      </c>
      <c r="OAU5" s="12" t="s">
        <v>11968</v>
      </c>
      <c r="OAV5" s="12" t="s">
        <v>11969</v>
      </c>
      <c r="OAW5" s="12" t="s">
        <v>11970</v>
      </c>
      <c r="OAX5" s="12" t="s">
        <v>11971</v>
      </c>
      <c r="OAY5" s="12" t="s">
        <v>11972</v>
      </c>
      <c r="OAZ5" s="12" t="s">
        <v>11973</v>
      </c>
      <c r="OBA5" s="12" t="s">
        <v>11974</v>
      </c>
      <c r="OBB5" s="12" t="s">
        <v>11975</v>
      </c>
      <c r="OBC5" s="12" t="s">
        <v>11976</v>
      </c>
      <c r="OBD5" s="12" t="s">
        <v>11977</v>
      </c>
      <c r="OBE5" s="12" t="s">
        <v>11978</v>
      </c>
      <c r="OBF5" s="12" t="s">
        <v>11979</v>
      </c>
      <c r="OBG5" s="12" t="s">
        <v>11980</v>
      </c>
      <c r="OBH5" s="12" t="s">
        <v>11981</v>
      </c>
      <c r="OBI5" s="12" t="s">
        <v>11982</v>
      </c>
      <c r="OBJ5" s="12" t="s">
        <v>11983</v>
      </c>
      <c r="OBK5" s="12" t="s">
        <v>11984</v>
      </c>
      <c r="OBL5" s="12" t="s">
        <v>11985</v>
      </c>
      <c r="OBM5" s="12" t="s">
        <v>11986</v>
      </c>
      <c r="OBN5" s="12" t="s">
        <v>11987</v>
      </c>
      <c r="OBO5" s="12" t="s">
        <v>11988</v>
      </c>
      <c r="OBP5" s="12" t="s">
        <v>11989</v>
      </c>
      <c r="OBQ5" s="12" t="s">
        <v>11990</v>
      </c>
      <c r="OBR5" s="12" t="s">
        <v>11991</v>
      </c>
      <c r="OBS5" s="12" t="s">
        <v>11992</v>
      </c>
      <c r="OBT5" s="12" t="s">
        <v>11993</v>
      </c>
      <c r="OBU5" s="12" t="s">
        <v>11994</v>
      </c>
      <c r="OBV5" s="12" t="s">
        <v>11995</v>
      </c>
      <c r="OBW5" s="12" t="s">
        <v>11996</v>
      </c>
      <c r="OBX5" s="12" t="s">
        <v>11997</v>
      </c>
      <c r="OBY5" s="12" t="s">
        <v>11998</v>
      </c>
      <c r="OBZ5" s="12" t="s">
        <v>11999</v>
      </c>
      <c r="OCA5" s="12" t="s">
        <v>12000</v>
      </c>
      <c r="OCB5" s="12" t="s">
        <v>12001</v>
      </c>
      <c r="OCC5" s="12" t="s">
        <v>12002</v>
      </c>
      <c r="OCD5" s="12" t="s">
        <v>12003</v>
      </c>
      <c r="OCE5" s="12" t="s">
        <v>12004</v>
      </c>
      <c r="OCF5" s="12" t="s">
        <v>12005</v>
      </c>
      <c r="OCG5" s="12" t="s">
        <v>12006</v>
      </c>
      <c r="OCH5" s="12" t="s">
        <v>12007</v>
      </c>
      <c r="OCI5" s="12" t="s">
        <v>12008</v>
      </c>
      <c r="OCJ5" s="12" t="s">
        <v>12009</v>
      </c>
      <c r="OCK5" s="12" t="s">
        <v>12010</v>
      </c>
      <c r="OCL5" s="12" t="s">
        <v>12011</v>
      </c>
      <c r="OCM5" s="12" t="s">
        <v>12012</v>
      </c>
      <c r="OCN5" s="12" t="s">
        <v>12013</v>
      </c>
      <c r="OCO5" s="12" t="s">
        <v>12014</v>
      </c>
      <c r="OCP5" s="12" t="s">
        <v>12015</v>
      </c>
      <c r="OCQ5" s="12" t="s">
        <v>12016</v>
      </c>
      <c r="OCR5" s="12" t="s">
        <v>12017</v>
      </c>
      <c r="OCS5" s="12" t="s">
        <v>12018</v>
      </c>
      <c r="OCT5" s="12" t="s">
        <v>12019</v>
      </c>
      <c r="OCU5" s="12" t="s">
        <v>12020</v>
      </c>
      <c r="OCV5" s="12" t="s">
        <v>12021</v>
      </c>
      <c r="OCW5" s="12" t="s">
        <v>12022</v>
      </c>
      <c r="OCX5" s="12" t="s">
        <v>12023</v>
      </c>
      <c r="OCY5" s="12" t="s">
        <v>12024</v>
      </c>
      <c r="OCZ5" s="12" t="s">
        <v>12025</v>
      </c>
      <c r="ODA5" s="12" t="s">
        <v>12026</v>
      </c>
      <c r="ODB5" s="12" t="s">
        <v>12027</v>
      </c>
      <c r="ODC5" s="12" t="s">
        <v>12028</v>
      </c>
      <c r="ODD5" s="12" t="s">
        <v>12029</v>
      </c>
      <c r="ODE5" s="12" t="s">
        <v>12030</v>
      </c>
      <c r="ODF5" s="12" t="s">
        <v>12031</v>
      </c>
      <c r="ODG5" s="12" t="s">
        <v>12032</v>
      </c>
      <c r="ODH5" s="12" t="s">
        <v>12033</v>
      </c>
      <c r="ODI5" s="12" t="s">
        <v>12034</v>
      </c>
      <c r="ODJ5" s="12" t="s">
        <v>12035</v>
      </c>
      <c r="ODK5" s="12" t="s">
        <v>12036</v>
      </c>
      <c r="ODL5" s="12" t="s">
        <v>12037</v>
      </c>
      <c r="ODM5" s="12" t="s">
        <v>12038</v>
      </c>
      <c r="ODN5" s="12" t="s">
        <v>12039</v>
      </c>
      <c r="ODO5" s="12" t="s">
        <v>12040</v>
      </c>
      <c r="ODP5" s="12" t="s">
        <v>12041</v>
      </c>
      <c r="ODQ5" s="12" t="s">
        <v>12042</v>
      </c>
      <c r="ODR5" s="12" t="s">
        <v>12043</v>
      </c>
      <c r="ODS5" s="12" t="s">
        <v>12044</v>
      </c>
      <c r="ODT5" s="12" t="s">
        <v>12045</v>
      </c>
      <c r="ODU5" s="12" t="s">
        <v>12046</v>
      </c>
      <c r="ODV5" s="12" t="s">
        <v>12047</v>
      </c>
      <c r="ODW5" s="12" t="s">
        <v>12048</v>
      </c>
      <c r="ODX5" s="12" t="s">
        <v>12049</v>
      </c>
      <c r="ODY5" s="12" t="s">
        <v>12050</v>
      </c>
      <c r="ODZ5" s="12" t="s">
        <v>12051</v>
      </c>
      <c r="OEA5" s="12" t="s">
        <v>12052</v>
      </c>
      <c r="OEB5" s="12" t="s">
        <v>12053</v>
      </c>
      <c r="OEC5" s="12" t="s">
        <v>12054</v>
      </c>
      <c r="OED5" s="12" t="s">
        <v>12055</v>
      </c>
      <c r="OEE5" s="12" t="s">
        <v>12056</v>
      </c>
      <c r="OEF5" s="12" t="s">
        <v>12057</v>
      </c>
      <c r="OEG5" s="12" t="s">
        <v>12058</v>
      </c>
      <c r="OEH5" s="12" t="s">
        <v>12059</v>
      </c>
      <c r="OEI5" s="12" t="s">
        <v>12060</v>
      </c>
      <c r="OEJ5" s="12" t="s">
        <v>12061</v>
      </c>
      <c r="OEK5" s="12" t="s">
        <v>12062</v>
      </c>
      <c r="OEL5" s="12" t="s">
        <v>12063</v>
      </c>
      <c r="OEM5" s="12" t="s">
        <v>12064</v>
      </c>
      <c r="OEN5" s="12" t="s">
        <v>12065</v>
      </c>
      <c r="OEO5" s="12" t="s">
        <v>12066</v>
      </c>
      <c r="OEP5" s="12" t="s">
        <v>12067</v>
      </c>
      <c r="OEQ5" s="12" t="s">
        <v>12068</v>
      </c>
      <c r="OER5" s="12" t="s">
        <v>12069</v>
      </c>
      <c r="OES5" s="12" t="s">
        <v>12070</v>
      </c>
      <c r="OET5" s="12" t="s">
        <v>12071</v>
      </c>
      <c r="OEU5" s="12" t="s">
        <v>12072</v>
      </c>
      <c r="OEV5" s="12" t="s">
        <v>12073</v>
      </c>
      <c r="OEW5" s="12" t="s">
        <v>12074</v>
      </c>
      <c r="OEX5" s="12" t="s">
        <v>12075</v>
      </c>
      <c r="OEY5" s="12" t="s">
        <v>12076</v>
      </c>
      <c r="OEZ5" s="12" t="s">
        <v>12077</v>
      </c>
      <c r="OFA5" s="12" t="s">
        <v>12078</v>
      </c>
      <c r="OFB5" s="12" t="s">
        <v>12079</v>
      </c>
      <c r="OFC5" s="12" t="s">
        <v>12080</v>
      </c>
      <c r="OFD5" s="12" t="s">
        <v>12081</v>
      </c>
      <c r="OFE5" s="12" t="s">
        <v>12082</v>
      </c>
      <c r="OFF5" s="12" t="s">
        <v>12083</v>
      </c>
      <c r="OFG5" s="12" t="s">
        <v>12084</v>
      </c>
      <c r="OFH5" s="12" t="s">
        <v>12085</v>
      </c>
      <c r="OFI5" s="12" t="s">
        <v>12086</v>
      </c>
      <c r="OFJ5" s="12" t="s">
        <v>12087</v>
      </c>
      <c r="OFK5" s="12" t="s">
        <v>12088</v>
      </c>
      <c r="OFL5" s="12" t="s">
        <v>12089</v>
      </c>
      <c r="OFM5" s="12" t="s">
        <v>12090</v>
      </c>
      <c r="OFN5" s="12" t="s">
        <v>12091</v>
      </c>
      <c r="OFO5" s="12" t="s">
        <v>12092</v>
      </c>
      <c r="OFP5" s="12" t="s">
        <v>12093</v>
      </c>
      <c r="OFQ5" s="12" t="s">
        <v>12094</v>
      </c>
      <c r="OFR5" s="12" t="s">
        <v>12095</v>
      </c>
      <c r="OFS5" s="12" t="s">
        <v>12096</v>
      </c>
      <c r="OFT5" s="12" t="s">
        <v>12097</v>
      </c>
      <c r="OFU5" s="12" t="s">
        <v>12098</v>
      </c>
      <c r="OFV5" s="12" t="s">
        <v>12099</v>
      </c>
      <c r="OFW5" s="12" t="s">
        <v>12100</v>
      </c>
      <c r="OFX5" s="12" t="s">
        <v>12101</v>
      </c>
      <c r="OFY5" s="12" t="s">
        <v>12102</v>
      </c>
      <c r="OFZ5" s="12" t="s">
        <v>12103</v>
      </c>
      <c r="OGA5" s="12" t="s">
        <v>12104</v>
      </c>
      <c r="OGB5" s="12" t="s">
        <v>12105</v>
      </c>
      <c r="OGC5" s="12" t="s">
        <v>12106</v>
      </c>
      <c r="OGD5" s="12" t="s">
        <v>12107</v>
      </c>
      <c r="OGE5" s="12" t="s">
        <v>12108</v>
      </c>
      <c r="OGF5" s="12" t="s">
        <v>12109</v>
      </c>
      <c r="OGG5" s="12" t="s">
        <v>12110</v>
      </c>
      <c r="OGH5" s="12" t="s">
        <v>12111</v>
      </c>
      <c r="OGI5" s="12" t="s">
        <v>12112</v>
      </c>
      <c r="OGJ5" s="12" t="s">
        <v>12113</v>
      </c>
      <c r="OGK5" s="12" t="s">
        <v>12114</v>
      </c>
      <c r="OGL5" s="12" t="s">
        <v>12115</v>
      </c>
      <c r="OGM5" s="12" t="s">
        <v>12116</v>
      </c>
      <c r="OGN5" s="12" t="s">
        <v>12117</v>
      </c>
      <c r="OGO5" s="12" t="s">
        <v>12118</v>
      </c>
      <c r="OGP5" s="12" t="s">
        <v>12119</v>
      </c>
      <c r="OGQ5" s="12" t="s">
        <v>12120</v>
      </c>
      <c r="OGR5" s="12" t="s">
        <v>12121</v>
      </c>
      <c r="OGS5" s="12" t="s">
        <v>12122</v>
      </c>
      <c r="OGT5" s="12" t="s">
        <v>12123</v>
      </c>
      <c r="OGU5" s="12" t="s">
        <v>12124</v>
      </c>
      <c r="OGV5" s="12" t="s">
        <v>12125</v>
      </c>
      <c r="OGW5" s="12" t="s">
        <v>12126</v>
      </c>
      <c r="OGX5" s="12" t="s">
        <v>12127</v>
      </c>
      <c r="OGY5" s="12" t="s">
        <v>12128</v>
      </c>
      <c r="OGZ5" s="12" t="s">
        <v>12129</v>
      </c>
      <c r="OHA5" s="12" t="s">
        <v>12130</v>
      </c>
      <c r="OHB5" s="12" t="s">
        <v>12131</v>
      </c>
      <c r="OHC5" s="12" t="s">
        <v>12132</v>
      </c>
      <c r="OHD5" s="12" t="s">
        <v>12133</v>
      </c>
      <c r="OHE5" s="12" t="s">
        <v>12134</v>
      </c>
      <c r="OHF5" s="12" t="s">
        <v>12135</v>
      </c>
      <c r="OHG5" s="12" t="s">
        <v>12136</v>
      </c>
      <c r="OHH5" s="12" t="s">
        <v>12137</v>
      </c>
      <c r="OHI5" s="12" t="s">
        <v>12138</v>
      </c>
      <c r="OHJ5" s="12" t="s">
        <v>12139</v>
      </c>
      <c r="OHK5" s="12" t="s">
        <v>12140</v>
      </c>
      <c r="OHL5" s="12" t="s">
        <v>12141</v>
      </c>
      <c r="OHM5" s="12" t="s">
        <v>12142</v>
      </c>
      <c r="OHN5" s="12" t="s">
        <v>12143</v>
      </c>
      <c r="OHO5" s="12" t="s">
        <v>12144</v>
      </c>
      <c r="OHP5" s="12" t="s">
        <v>12145</v>
      </c>
      <c r="OHQ5" s="12" t="s">
        <v>12146</v>
      </c>
      <c r="OHR5" s="12" t="s">
        <v>12147</v>
      </c>
      <c r="OHS5" s="12" t="s">
        <v>12148</v>
      </c>
      <c r="OHT5" s="12" t="s">
        <v>12149</v>
      </c>
      <c r="OHU5" s="12" t="s">
        <v>12150</v>
      </c>
      <c r="OHV5" s="12" t="s">
        <v>12151</v>
      </c>
      <c r="OHW5" s="12" t="s">
        <v>12152</v>
      </c>
      <c r="OHX5" s="12" t="s">
        <v>12153</v>
      </c>
      <c r="OHY5" s="12" t="s">
        <v>12154</v>
      </c>
      <c r="OHZ5" s="12" t="s">
        <v>12155</v>
      </c>
      <c r="OIA5" s="12" t="s">
        <v>12156</v>
      </c>
      <c r="OIB5" s="12" t="s">
        <v>12157</v>
      </c>
      <c r="OIC5" s="12" t="s">
        <v>12158</v>
      </c>
      <c r="OID5" s="12" t="s">
        <v>12159</v>
      </c>
      <c r="OIE5" s="12" t="s">
        <v>12160</v>
      </c>
      <c r="OIF5" s="12" t="s">
        <v>12161</v>
      </c>
      <c r="OIG5" s="12" t="s">
        <v>12162</v>
      </c>
      <c r="OIH5" s="12" t="s">
        <v>12163</v>
      </c>
      <c r="OII5" s="12" t="s">
        <v>12164</v>
      </c>
      <c r="OIJ5" s="12" t="s">
        <v>12165</v>
      </c>
      <c r="OIK5" s="12" t="s">
        <v>12166</v>
      </c>
      <c r="OIL5" s="12" t="s">
        <v>12167</v>
      </c>
      <c r="OIM5" s="12" t="s">
        <v>12168</v>
      </c>
      <c r="OIN5" s="12" t="s">
        <v>12169</v>
      </c>
      <c r="OIO5" s="12" t="s">
        <v>12170</v>
      </c>
      <c r="OIP5" s="12" t="s">
        <v>12171</v>
      </c>
      <c r="OIQ5" s="12" t="s">
        <v>12172</v>
      </c>
      <c r="OIR5" s="12" t="s">
        <v>12173</v>
      </c>
      <c r="OIS5" s="12" t="s">
        <v>12174</v>
      </c>
      <c r="OIT5" s="12" t="s">
        <v>12175</v>
      </c>
      <c r="OIU5" s="12" t="s">
        <v>12176</v>
      </c>
      <c r="OIV5" s="12" t="s">
        <v>12177</v>
      </c>
      <c r="OIW5" s="12" t="s">
        <v>12178</v>
      </c>
      <c r="OIX5" s="12" t="s">
        <v>12179</v>
      </c>
      <c r="OIY5" s="12" t="s">
        <v>12180</v>
      </c>
      <c r="OIZ5" s="12" t="s">
        <v>12181</v>
      </c>
      <c r="OJA5" s="12" t="s">
        <v>12182</v>
      </c>
      <c r="OJB5" s="12" t="s">
        <v>12183</v>
      </c>
      <c r="OJC5" s="12" t="s">
        <v>12184</v>
      </c>
      <c r="OJD5" s="12" t="s">
        <v>12185</v>
      </c>
      <c r="OJE5" s="12" t="s">
        <v>12186</v>
      </c>
      <c r="OJF5" s="12" t="s">
        <v>12187</v>
      </c>
      <c r="OJG5" s="12" t="s">
        <v>12188</v>
      </c>
      <c r="OJH5" s="12" t="s">
        <v>12189</v>
      </c>
      <c r="OJI5" s="12" t="s">
        <v>12190</v>
      </c>
      <c r="OJJ5" s="12" t="s">
        <v>12191</v>
      </c>
      <c r="OJK5" s="12" t="s">
        <v>12192</v>
      </c>
      <c r="OJL5" s="12" t="s">
        <v>12193</v>
      </c>
      <c r="OJM5" s="12" t="s">
        <v>12194</v>
      </c>
      <c r="OJN5" s="12" t="s">
        <v>12195</v>
      </c>
      <c r="OJO5" s="12" t="s">
        <v>12196</v>
      </c>
      <c r="OJP5" s="12" t="s">
        <v>12197</v>
      </c>
      <c r="OJQ5" s="12" t="s">
        <v>12198</v>
      </c>
      <c r="OJR5" s="12" t="s">
        <v>12199</v>
      </c>
      <c r="OJS5" s="12" t="s">
        <v>12200</v>
      </c>
      <c r="OJT5" s="12" t="s">
        <v>12201</v>
      </c>
      <c r="OJU5" s="12" t="s">
        <v>12202</v>
      </c>
      <c r="OJV5" s="12" t="s">
        <v>12203</v>
      </c>
      <c r="OJW5" s="12" t="s">
        <v>12204</v>
      </c>
      <c r="OJX5" s="12" t="s">
        <v>12205</v>
      </c>
      <c r="OJY5" s="12" t="s">
        <v>12206</v>
      </c>
      <c r="OJZ5" s="12" t="s">
        <v>12207</v>
      </c>
      <c r="OKA5" s="12" t="s">
        <v>12208</v>
      </c>
      <c r="OKB5" s="12" t="s">
        <v>12209</v>
      </c>
      <c r="OKC5" s="12" t="s">
        <v>12210</v>
      </c>
      <c r="OKD5" s="12" t="s">
        <v>12211</v>
      </c>
      <c r="OKE5" s="12" t="s">
        <v>12212</v>
      </c>
      <c r="OKF5" s="12" t="s">
        <v>12213</v>
      </c>
      <c r="OKG5" s="12" t="s">
        <v>12214</v>
      </c>
      <c r="OKH5" s="12" t="s">
        <v>12215</v>
      </c>
      <c r="OKI5" s="12" t="s">
        <v>12216</v>
      </c>
      <c r="OKJ5" s="12" t="s">
        <v>12217</v>
      </c>
      <c r="OKK5" s="12" t="s">
        <v>12218</v>
      </c>
      <c r="OKL5" s="12" t="s">
        <v>12219</v>
      </c>
      <c r="OKM5" s="12" t="s">
        <v>12220</v>
      </c>
      <c r="OKN5" s="12" t="s">
        <v>12221</v>
      </c>
      <c r="OKO5" s="12" t="s">
        <v>12222</v>
      </c>
      <c r="OKP5" s="12" t="s">
        <v>12223</v>
      </c>
      <c r="OKQ5" s="12" t="s">
        <v>12224</v>
      </c>
      <c r="OKR5" s="12" t="s">
        <v>12225</v>
      </c>
      <c r="OKS5" s="12" t="s">
        <v>12226</v>
      </c>
      <c r="OKT5" s="12" t="s">
        <v>12227</v>
      </c>
      <c r="OKU5" s="12" t="s">
        <v>12228</v>
      </c>
      <c r="OKV5" s="12" t="s">
        <v>12229</v>
      </c>
      <c r="OKW5" s="12" t="s">
        <v>12230</v>
      </c>
      <c r="OKX5" s="12" t="s">
        <v>12231</v>
      </c>
      <c r="OKY5" s="12" t="s">
        <v>12232</v>
      </c>
      <c r="OKZ5" s="12" t="s">
        <v>12233</v>
      </c>
      <c r="OLA5" s="12" t="s">
        <v>12234</v>
      </c>
      <c r="OLB5" s="12" t="s">
        <v>12235</v>
      </c>
      <c r="OLC5" s="12" t="s">
        <v>12236</v>
      </c>
      <c r="OLD5" s="12" t="s">
        <v>12237</v>
      </c>
      <c r="OLE5" s="12" t="s">
        <v>12238</v>
      </c>
      <c r="OLF5" s="12" t="s">
        <v>12239</v>
      </c>
      <c r="OLG5" s="12" t="s">
        <v>12240</v>
      </c>
      <c r="OLH5" s="12" t="s">
        <v>12241</v>
      </c>
      <c r="OLI5" s="12" t="s">
        <v>12242</v>
      </c>
      <c r="OLJ5" s="12" t="s">
        <v>12243</v>
      </c>
      <c r="OLK5" s="12" t="s">
        <v>12244</v>
      </c>
      <c r="OLL5" s="12" t="s">
        <v>12245</v>
      </c>
      <c r="OLM5" s="12" t="s">
        <v>12246</v>
      </c>
      <c r="OLN5" s="12" t="s">
        <v>12247</v>
      </c>
      <c r="OLO5" s="12" t="s">
        <v>12248</v>
      </c>
      <c r="OLP5" s="12" t="s">
        <v>12249</v>
      </c>
      <c r="OLQ5" s="12" t="s">
        <v>12250</v>
      </c>
      <c r="OLR5" s="12" t="s">
        <v>12251</v>
      </c>
      <c r="OLS5" s="12" t="s">
        <v>12252</v>
      </c>
      <c r="OLT5" s="12" t="s">
        <v>12253</v>
      </c>
      <c r="OLU5" s="12" t="s">
        <v>12254</v>
      </c>
      <c r="OLV5" s="12" t="s">
        <v>12255</v>
      </c>
      <c r="OLW5" s="12" t="s">
        <v>12256</v>
      </c>
      <c r="OLX5" s="12" t="s">
        <v>12257</v>
      </c>
      <c r="OLY5" s="12" t="s">
        <v>12258</v>
      </c>
      <c r="OLZ5" s="12" t="s">
        <v>12259</v>
      </c>
      <c r="OMA5" s="12" t="s">
        <v>12260</v>
      </c>
      <c r="OMB5" s="12" t="s">
        <v>12261</v>
      </c>
      <c r="OMC5" s="12" t="s">
        <v>12262</v>
      </c>
      <c r="OMD5" s="12" t="s">
        <v>12263</v>
      </c>
      <c r="OME5" s="12" t="s">
        <v>12264</v>
      </c>
      <c r="OMF5" s="12" t="s">
        <v>12265</v>
      </c>
      <c r="OMG5" s="12" t="s">
        <v>12266</v>
      </c>
      <c r="OMH5" s="12" t="s">
        <v>12267</v>
      </c>
      <c r="OMI5" s="12" t="s">
        <v>12268</v>
      </c>
      <c r="OMJ5" s="12" t="s">
        <v>12269</v>
      </c>
      <c r="OMK5" s="12" t="s">
        <v>12270</v>
      </c>
      <c r="OML5" s="12" t="s">
        <v>12271</v>
      </c>
      <c r="OMM5" s="12" t="s">
        <v>12272</v>
      </c>
      <c r="OMN5" s="12" t="s">
        <v>12273</v>
      </c>
      <c r="OMO5" s="12" t="s">
        <v>12274</v>
      </c>
      <c r="OMP5" s="12" t="s">
        <v>12275</v>
      </c>
      <c r="OMQ5" s="12" t="s">
        <v>12276</v>
      </c>
      <c r="OMR5" s="12" t="s">
        <v>12277</v>
      </c>
      <c r="OMS5" s="12" t="s">
        <v>12278</v>
      </c>
      <c r="OMT5" s="12" t="s">
        <v>12279</v>
      </c>
      <c r="OMU5" s="12" t="s">
        <v>12280</v>
      </c>
      <c r="OMV5" s="12" t="s">
        <v>12281</v>
      </c>
      <c r="OMW5" s="12" t="s">
        <v>12282</v>
      </c>
      <c r="OMX5" s="12" t="s">
        <v>12283</v>
      </c>
      <c r="OMY5" s="12" t="s">
        <v>12284</v>
      </c>
      <c r="OMZ5" s="12" t="s">
        <v>12285</v>
      </c>
      <c r="ONA5" s="12" t="s">
        <v>12286</v>
      </c>
      <c r="ONB5" s="12" t="s">
        <v>12287</v>
      </c>
      <c r="ONC5" s="12" t="s">
        <v>12288</v>
      </c>
      <c r="OND5" s="12" t="s">
        <v>12289</v>
      </c>
      <c r="ONE5" s="12" t="s">
        <v>12290</v>
      </c>
      <c r="ONF5" s="12" t="s">
        <v>12291</v>
      </c>
      <c r="ONG5" s="12" t="s">
        <v>12292</v>
      </c>
      <c r="ONH5" s="12" t="s">
        <v>12293</v>
      </c>
      <c r="ONI5" s="12" t="s">
        <v>12294</v>
      </c>
      <c r="ONJ5" s="12" t="s">
        <v>12295</v>
      </c>
      <c r="ONK5" s="12" t="s">
        <v>12296</v>
      </c>
      <c r="ONL5" s="12" t="s">
        <v>12297</v>
      </c>
      <c r="ONM5" s="12" t="s">
        <v>12298</v>
      </c>
      <c r="ONN5" s="12" t="s">
        <v>12299</v>
      </c>
      <c r="ONO5" s="12" t="s">
        <v>12300</v>
      </c>
      <c r="ONP5" s="12" t="s">
        <v>12301</v>
      </c>
      <c r="ONQ5" s="12" t="s">
        <v>12302</v>
      </c>
      <c r="ONR5" s="12" t="s">
        <v>12303</v>
      </c>
      <c r="ONS5" s="12" t="s">
        <v>12304</v>
      </c>
      <c r="ONT5" s="12" t="s">
        <v>12305</v>
      </c>
      <c r="ONU5" s="12" t="s">
        <v>12306</v>
      </c>
      <c r="ONV5" s="12" t="s">
        <v>12307</v>
      </c>
      <c r="ONW5" s="12" t="s">
        <v>12308</v>
      </c>
      <c r="ONX5" s="12" t="s">
        <v>12309</v>
      </c>
      <c r="ONY5" s="12" t="s">
        <v>12310</v>
      </c>
      <c r="ONZ5" s="12" t="s">
        <v>12311</v>
      </c>
      <c r="OOA5" s="12" t="s">
        <v>12312</v>
      </c>
      <c r="OOB5" s="12" t="s">
        <v>12313</v>
      </c>
      <c r="OOC5" s="12" t="s">
        <v>12314</v>
      </c>
      <c r="OOD5" s="12" t="s">
        <v>12315</v>
      </c>
      <c r="OOE5" s="12" t="s">
        <v>12316</v>
      </c>
      <c r="OOF5" s="12" t="s">
        <v>12317</v>
      </c>
      <c r="OOG5" s="12" t="s">
        <v>12318</v>
      </c>
      <c r="OOH5" s="12" t="s">
        <v>12319</v>
      </c>
      <c r="OOI5" s="12" t="s">
        <v>12320</v>
      </c>
      <c r="OOJ5" s="12" t="s">
        <v>12321</v>
      </c>
      <c r="OOK5" s="12" t="s">
        <v>12322</v>
      </c>
      <c r="OOL5" s="12" t="s">
        <v>12323</v>
      </c>
      <c r="OOM5" s="12" t="s">
        <v>12324</v>
      </c>
      <c r="OON5" s="12" t="s">
        <v>12325</v>
      </c>
      <c r="OOO5" s="12" t="s">
        <v>12326</v>
      </c>
      <c r="OOP5" s="12" t="s">
        <v>12327</v>
      </c>
      <c r="OOQ5" s="12" t="s">
        <v>12328</v>
      </c>
      <c r="OOR5" s="12" t="s">
        <v>12329</v>
      </c>
      <c r="OOS5" s="12" t="s">
        <v>12330</v>
      </c>
      <c r="OOT5" s="12" t="s">
        <v>12331</v>
      </c>
      <c r="OOU5" s="12" t="s">
        <v>12332</v>
      </c>
      <c r="OOV5" s="12" t="s">
        <v>12333</v>
      </c>
      <c r="OOW5" s="12" t="s">
        <v>12334</v>
      </c>
      <c r="OOX5" s="12" t="s">
        <v>12335</v>
      </c>
      <c r="OOY5" s="12" t="s">
        <v>12336</v>
      </c>
      <c r="OOZ5" s="12" t="s">
        <v>12337</v>
      </c>
      <c r="OPA5" s="12" t="s">
        <v>12338</v>
      </c>
      <c r="OPB5" s="12" t="s">
        <v>12339</v>
      </c>
      <c r="OPC5" s="12" t="s">
        <v>12340</v>
      </c>
      <c r="OPD5" s="12" t="s">
        <v>12341</v>
      </c>
      <c r="OPE5" s="12" t="s">
        <v>12342</v>
      </c>
      <c r="OPF5" s="12" t="s">
        <v>12343</v>
      </c>
      <c r="OPG5" s="12" t="s">
        <v>12344</v>
      </c>
      <c r="OPH5" s="12" t="s">
        <v>12345</v>
      </c>
      <c r="OPI5" s="12" t="s">
        <v>12346</v>
      </c>
      <c r="OPJ5" s="12" t="s">
        <v>12347</v>
      </c>
      <c r="OPK5" s="12" t="s">
        <v>12348</v>
      </c>
      <c r="OPL5" s="12" t="s">
        <v>12349</v>
      </c>
      <c r="OPM5" s="12" t="s">
        <v>12350</v>
      </c>
      <c r="OPN5" s="12" t="s">
        <v>12351</v>
      </c>
      <c r="OPO5" s="12" t="s">
        <v>12352</v>
      </c>
      <c r="OPP5" s="12" t="s">
        <v>12353</v>
      </c>
      <c r="OPQ5" s="12" t="s">
        <v>12354</v>
      </c>
      <c r="OPR5" s="12" t="s">
        <v>12355</v>
      </c>
      <c r="OPS5" s="12" t="s">
        <v>12356</v>
      </c>
      <c r="OPT5" s="12" t="s">
        <v>12357</v>
      </c>
      <c r="OPU5" s="12" t="s">
        <v>12358</v>
      </c>
      <c r="OPV5" s="12" t="s">
        <v>12359</v>
      </c>
      <c r="OPW5" s="12" t="s">
        <v>12360</v>
      </c>
      <c r="OPX5" s="12" t="s">
        <v>12361</v>
      </c>
      <c r="OPY5" s="12" t="s">
        <v>12362</v>
      </c>
      <c r="OPZ5" s="12" t="s">
        <v>12363</v>
      </c>
      <c r="OQA5" s="12" t="s">
        <v>12364</v>
      </c>
      <c r="OQB5" s="12" t="s">
        <v>12365</v>
      </c>
      <c r="OQC5" s="12" t="s">
        <v>12366</v>
      </c>
      <c r="OQD5" s="12" t="s">
        <v>12367</v>
      </c>
      <c r="OQE5" s="12" t="s">
        <v>12368</v>
      </c>
      <c r="OQF5" s="12" t="s">
        <v>12369</v>
      </c>
      <c r="OQG5" s="12" t="s">
        <v>12370</v>
      </c>
      <c r="OQH5" s="12" t="s">
        <v>12371</v>
      </c>
      <c r="OQI5" s="12" t="s">
        <v>12372</v>
      </c>
      <c r="OQJ5" s="12" t="s">
        <v>12373</v>
      </c>
      <c r="OQK5" s="12" t="s">
        <v>12374</v>
      </c>
      <c r="OQL5" s="12" t="s">
        <v>12375</v>
      </c>
      <c r="OQM5" s="12" t="s">
        <v>12376</v>
      </c>
      <c r="OQN5" s="12" t="s">
        <v>12377</v>
      </c>
      <c r="OQO5" s="12" t="s">
        <v>12378</v>
      </c>
      <c r="OQP5" s="12" t="s">
        <v>12379</v>
      </c>
      <c r="OQQ5" s="12" t="s">
        <v>12380</v>
      </c>
      <c r="OQR5" s="12" t="s">
        <v>12381</v>
      </c>
      <c r="OQS5" s="12" t="s">
        <v>12382</v>
      </c>
      <c r="OQT5" s="12" t="s">
        <v>12383</v>
      </c>
      <c r="OQU5" s="12" t="s">
        <v>12384</v>
      </c>
      <c r="OQV5" s="12" t="s">
        <v>12385</v>
      </c>
      <c r="OQW5" s="12" t="s">
        <v>12386</v>
      </c>
      <c r="OQX5" s="12" t="s">
        <v>12387</v>
      </c>
      <c r="OQY5" s="12" t="s">
        <v>12388</v>
      </c>
      <c r="OQZ5" s="12" t="s">
        <v>12389</v>
      </c>
      <c r="ORA5" s="12" t="s">
        <v>12390</v>
      </c>
      <c r="ORB5" s="12" t="s">
        <v>12391</v>
      </c>
      <c r="ORC5" s="12" t="s">
        <v>12392</v>
      </c>
      <c r="ORD5" s="12" t="s">
        <v>12393</v>
      </c>
      <c r="ORE5" s="12" t="s">
        <v>12394</v>
      </c>
      <c r="ORF5" s="12" t="s">
        <v>12395</v>
      </c>
      <c r="ORG5" s="12" t="s">
        <v>12396</v>
      </c>
      <c r="ORH5" s="12" t="s">
        <v>12397</v>
      </c>
      <c r="ORI5" s="12" t="s">
        <v>12398</v>
      </c>
      <c r="ORJ5" s="12" t="s">
        <v>12399</v>
      </c>
      <c r="ORK5" s="12" t="s">
        <v>12400</v>
      </c>
      <c r="ORL5" s="12" t="s">
        <v>12401</v>
      </c>
      <c r="ORM5" s="12" t="s">
        <v>12402</v>
      </c>
      <c r="ORN5" s="12" t="s">
        <v>12403</v>
      </c>
      <c r="ORO5" s="12" t="s">
        <v>12404</v>
      </c>
      <c r="ORP5" s="12" t="s">
        <v>12405</v>
      </c>
      <c r="ORQ5" s="12" t="s">
        <v>12406</v>
      </c>
      <c r="ORR5" s="12" t="s">
        <v>12407</v>
      </c>
      <c r="ORS5" s="12" t="s">
        <v>12408</v>
      </c>
      <c r="ORT5" s="12" t="s">
        <v>12409</v>
      </c>
      <c r="ORU5" s="12" t="s">
        <v>12410</v>
      </c>
      <c r="ORV5" s="12" t="s">
        <v>12411</v>
      </c>
      <c r="ORW5" s="12" t="s">
        <v>12412</v>
      </c>
      <c r="ORX5" s="12" t="s">
        <v>12413</v>
      </c>
      <c r="ORY5" s="12" t="s">
        <v>12414</v>
      </c>
      <c r="ORZ5" s="12" t="s">
        <v>12415</v>
      </c>
      <c r="OSA5" s="12" t="s">
        <v>12416</v>
      </c>
      <c r="OSB5" s="12" t="s">
        <v>12417</v>
      </c>
      <c r="OSC5" s="12" t="s">
        <v>12418</v>
      </c>
      <c r="OSD5" s="12" t="s">
        <v>12419</v>
      </c>
      <c r="OSE5" s="12" t="s">
        <v>12420</v>
      </c>
      <c r="OSF5" s="12" t="s">
        <v>12421</v>
      </c>
      <c r="OSG5" s="12" t="s">
        <v>12422</v>
      </c>
      <c r="OSH5" s="12" t="s">
        <v>12423</v>
      </c>
      <c r="OSI5" s="12" t="s">
        <v>12424</v>
      </c>
      <c r="OSJ5" s="12" t="s">
        <v>12425</v>
      </c>
      <c r="OSK5" s="12" t="s">
        <v>12426</v>
      </c>
      <c r="OSL5" s="12" t="s">
        <v>12427</v>
      </c>
      <c r="OSM5" s="12" t="s">
        <v>12428</v>
      </c>
      <c r="OSN5" s="12" t="s">
        <v>12429</v>
      </c>
      <c r="OSO5" s="12" t="s">
        <v>12430</v>
      </c>
      <c r="OSP5" s="12" t="s">
        <v>12431</v>
      </c>
      <c r="OSQ5" s="12" t="s">
        <v>12432</v>
      </c>
      <c r="OSR5" s="12" t="s">
        <v>12433</v>
      </c>
      <c r="OSS5" s="12" t="s">
        <v>12434</v>
      </c>
      <c r="OST5" s="12" t="s">
        <v>12435</v>
      </c>
      <c r="OSU5" s="12" t="s">
        <v>12436</v>
      </c>
      <c r="OSV5" s="12" t="s">
        <v>12437</v>
      </c>
      <c r="OSW5" s="12" t="s">
        <v>12438</v>
      </c>
      <c r="OSX5" s="12" t="s">
        <v>12439</v>
      </c>
      <c r="OSY5" s="12" t="s">
        <v>12440</v>
      </c>
      <c r="OSZ5" s="12" t="s">
        <v>12441</v>
      </c>
      <c r="OTA5" s="12" t="s">
        <v>12442</v>
      </c>
      <c r="OTB5" s="12" t="s">
        <v>12443</v>
      </c>
      <c r="OTC5" s="12" t="s">
        <v>12444</v>
      </c>
      <c r="OTD5" s="12" t="s">
        <v>12445</v>
      </c>
      <c r="OTE5" s="12" t="s">
        <v>12446</v>
      </c>
      <c r="OTF5" s="12" t="s">
        <v>12447</v>
      </c>
      <c r="OTG5" s="12" t="s">
        <v>12448</v>
      </c>
      <c r="OTH5" s="12" t="s">
        <v>12449</v>
      </c>
      <c r="OTI5" s="12" t="s">
        <v>12450</v>
      </c>
      <c r="OTJ5" s="12" t="s">
        <v>12451</v>
      </c>
      <c r="OTK5" s="12" t="s">
        <v>12452</v>
      </c>
      <c r="OTL5" s="12" t="s">
        <v>12453</v>
      </c>
      <c r="OTM5" s="12" t="s">
        <v>12454</v>
      </c>
      <c r="OTN5" s="12" t="s">
        <v>12455</v>
      </c>
      <c r="OTO5" s="12" t="s">
        <v>12456</v>
      </c>
      <c r="OTP5" s="12" t="s">
        <v>12457</v>
      </c>
      <c r="OTQ5" s="12" t="s">
        <v>12458</v>
      </c>
      <c r="OTR5" s="12" t="s">
        <v>12459</v>
      </c>
      <c r="OTS5" s="12" t="s">
        <v>12460</v>
      </c>
      <c r="OTT5" s="12" t="s">
        <v>12461</v>
      </c>
      <c r="OTU5" s="12" t="s">
        <v>12462</v>
      </c>
      <c r="OTV5" s="12" t="s">
        <v>12463</v>
      </c>
      <c r="OTW5" s="12" t="s">
        <v>12464</v>
      </c>
      <c r="OTX5" s="12" t="s">
        <v>12465</v>
      </c>
      <c r="OTY5" s="12" t="s">
        <v>12466</v>
      </c>
      <c r="OTZ5" s="12" t="s">
        <v>12467</v>
      </c>
      <c r="OUA5" s="12" t="s">
        <v>12468</v>
      </c>
      <c r="OUB5" s="12" t="s">
        <v>12469</v>
      </c>
      <c r="OUC5" s="12" t="s">
        <v>12470</v>
      </c>
      <c r="OUD5" s="12" t="s">
        <v>12471</v>
      </c>
      <c r="OUE5" s="12" t="s">
        <v>12472</v>
      </c>
      <c r="OUF5" s="12" t="s">
        <v>12473</v>
      </c>
      <c r="OUG5" s="12" t="s">
        <v>12474</v>
      </c>
      <c r="OUH5" s="12" t="s">
        <v>12475</v>
      </c>
      <c r="OUI5" s="12" t="s">
        <v>12476</v>
      </c>
      <c r="OUJ5" s="12" t="s">
        <v>12477</v>
      </c>
      <c r="OUK5" s="12" t="s">
        <v>12478</v>
      </c>
      <c r="OUL5" s="12" t="s">
        <v>12479</v>
      </c>
      <c r="OUM5" s="12" t="s">
        <v>12480</v>
      </c>
      <c r="OUN5" s="12" t="s">
        <v>12481</v>
      </c>
      <c r="OUO5" s="12" t="s">
        <v>12482</v>
      </c>
      <c r="OUP5" s="12" t="s">
        <v>12483</v>
      </c>
      <c r="OUQ5" s="12" t="s">
        <v>12484</v>
      </c>
      <c r="OUR5" s="12" t="s">
        <v>12485</v>
      </c>
      <c r="OUS5" s="12" t="s">
        <v>12486</v>
      </c>
      <c r="OUT5" s="12" t="s">
        <v>12487</v>
      </c>
      <c r="OUU5" s="12" t="s">
        <v>12488</v>
      </c>
      <c r="OUV5" s="12" t="s">
        <v>12489</v>
      </c>
      <c r="OUW5" s="12" t="s">
        <v>12490</v>
      </c>
      <c r="OUX5" s="12" t="s">
        <v>12491</v>
      </c>
      <c r="OUY5" s="12" t="s">
        <v>12492</v>
      </c>
      <c r="OUZ5" s="12" t="s">
        <v>12493</v>
      </c>
      <c r="OVA5" s="12" t="s">
        <v>12494</v>
      </c>
      <c r="OVB5" s="12" t="s">
        <v>12495</v>
      </c>
      <c r="OVC5" s="12" t="s">
        <v>12496</v>
      </c>
      <c r="OVD5" s="12" t="s">
        <v>12497</v>
      </c>
      <c r="OVE5" s="12" t="s">
        <v>12498</v>
      </c>
      <c r="OVF5" s="12" t="s">
        <v>12499</v>
      </c>
      <c r="OVG5" s="12" t="s">
        <v>12500</v>
      </c>
      <c r="OVH5" s="12" t="s">
        <v>12501</v>
      </c>
      <c r="OVI5" s="12" t="s">
        <v>12502</v>
      </c>
      <c r="OVJ5" s="12" t="s">
        <v>12503</v>
      </c>
      <c r="OVK5" s="12" t="s">
        <v>12504</v>
      </c>
      <c r="OVL5" s="12" t="s">
        <v>12505</v>
      </c>
      <c r="OVM5" s="12" t="s">
        <v>12506</v>
      </c>
      <c r="OVN5" s="12" t="s">
        <v>12507</v>
      </c>
      <c r="OVO5" s="12" t="s">
        <v>12508</v>
      </c>
      <c r="OVP5" s="12" t="s">
        <v>12509</v>
      </c>
      <c r="OVQ5" s="12" t="s">
        <v>12510</v>
      </c>
      <c r="OVR5" s="12" t="s">
        <v>12511</v>
      </c>
      <c r="OVS5" s="12" t="s">
        <v>12512</v>
      </c>
      <c r="OVT5" s="12" t="s">
        <v>12513</v>
      </c>
      <c r="OVU5" s="12" t="s">
        <v>12514</v>
      </c>
      <c r="OVV5" s="12" t="s">
        <v>12515</v>
      </c>
      <c r="OVW5" s="12" t="s">
        <v>12516</v>
      </c>
      <c r="OVX5" s="12" t="s">
        <v>12517</v>
      </c>
      <c r="OVY5" s="12" t="s">
        <v>12518</v>
      </c>
      <c r="OVZ5" s="12" t="s">
        <v>12519</v>
      </c>
      <c r="OWA5" s="12" t="s">
        <v>12520</v>
      </c>
      <c r="OWB5" s="12" t="s">
        <v>12521</v>
      </c>
      <c r="OWC5" s="12" t="s">
        <v>12522</v>
      </c>
      <c r="OWD5" s="12" t="s">
        <v>12523</v>
      </c>
      <c r="OWE5" s="12" t="s">
        <v>12524</v>
      </c>
      <c r="OWF5" s="12" t="s">
        <v>12525</v>
      </c>
      <c r="OWG5" s="12" t="s">
        <v>12526</v>
      </c>
      <c r="OWH5" s="12" t="s">
        <v>12527</v>
      </c>
      <c r="OWI5" s="12" t="s">
        <v>12528</v>
      </c>
      <c r="OWJ5" s="12" t="s">
        <v>12529</v>
      </c>
      <c r="OWK5" s="12" t="s">
        <v>12530</v>
      </c>
      <c r="OWL5" s="12" t="s">
        <v>12531</v>
      </c>
      <c r="OWM5" s="12" t="s">
        <v>12532</v>
      </c>
      <c r="OWN5" s="12" t="s">
        <v>12533</v>
      </c>
      <c r="OWO5" s="12" t="s">
        <v>12534</v>
      </c>
      <c r="OWP5" s="12" t="s">
        <v>12535</v>
      </c>
      <c r="OWQ5" s="12" t="s">
        <v>12536</v>
      </c>
      <c r="OWR5" s="12" t="s">
        <v>12537</v>
      </c>
      <c r="OWS5" s="12" t="s">
        <v>12538</v>
      </c>
      <c r="OWT5" s="12" t="s">
        <v>12539</v>
      </c>
      <c r="OWU5" s="12" t="s">
        <v>12540</v>
      </c>
      <c r="OWV5" s="12" t="s">
        <v>12541</v>
      </c>
      <c r="OWW5" s="12" t="s">
        <v>12542</v>
      </c>
      <c r="OWX5" s="12" t="s">
        <v>12543</v>
      </c>
      <c r="OWY5" s="12" t="s">
        <v>12544</v>
      </c>
      <c r="OWZ5" s="12" t="s">
        <v>12545</v>
      </c>
      <c r="OXA5" s="12" t="s">
        <v>12546</v>
      </c>
      <c r="OXB5" s="12" t="s">
        <v>12547</v>
      </c>
      <c r="OXC5" s="12" t="s">
        <v>12548</v>
      </c>
      <c r="OXD5" s="12" t="s">
        <v>12549</v>
      </c>
      <c r="OXE5" s="12" t="s">
        <v>12550</v>
      </c>
      <c r="OXF5" s="12" t="s">
        <v>12551</v>
      </c>
      <c r="OXG5" s="12" t="s">
        <v>12552</v>
      </c>
      <c r="OXH5" s="12" t="s">
        <v>12553</v>
      </c>
      <c r="OXI5" s="12" t="s">
        <v>12554</v>
      </c>
      <c r="OXJ5" s="12" t="s">
        <v>12555</v>
      </c>
      <c r="OXK5" s="12" t="s">
        <v>12556</v>
      </c>
      <c r="OXL5" s="12" t="s">
        <v>12557</v>
      </c>
      <c r="OXM5" s="12" t="s">
        <v>12558</v>
      </c>
      <c r="OXN5" s="12" t="s">
        <v>12559</v>
      </c>
      <c r="OXO5" s="12" t="s">
        <v>12560</v>
      </c>
      <c r="OXP5" s="12" t="s">
        <v>12561</v>
      </c>
      <c r="OXQ5" s="12" t="s">
        <v>12562</v>
      </c>
      <c r="OXR5" s="12" t="s">
        <v>12563</v>
      </c>
      <c r="OXS5" s="12" t="s">
        <v>12564</v>
      </c>
      <c r="OXT5" s="12" t="s">
        <v>12565</v>
      </c>
      <c r="OXU5" s="12" t="s">
        <v>12566</v>
      </c>
      <c r="OXV5" s="12" t="s">
        <v>12567</v>
      </c>
      <c r="OXW5" s="12" t="s">
        <v>12568</v>
      </c>
      <c r="OXX5" s="12" t="s">
        <v>12569</v>
      </c>
      <c r="OXY5" s="12" t="s">
        <v>12570</v>
      </c>
      <c r="OXZ5" s="12" t="s">
        <v>12571</v>
      </c>
      <c r="OYA5" s="12" t="s">
        <v>12572</v>
      </c>
      <c r="OYB5" s="12" t="s">
        <v>12573</v>
      </c>
      <c r="OYC5" s="12" t="s">
        <v>12574</v>
      </c>
      <c r="OYD5" s="12" t="s">
        <v>12575</v>
      </c>
      <c r="OYE5" s="12" t="s">
        <v>12576</v>
      </c>
      <c r="OYF5" s="12" t="s">
        <v>12577</v>
      </c>
      <c r="OYG5" s="12" t="s">
        <v>12578</v>
      </c>
      <c r="OYH5" s="12" t="s">
        <v>12579</v>
      </c>
      <c r="OYI5" s="12" t="s">
        <v>12580</v>
      </c>
      <c r="OYJ5" s="12" t="s">
        <v>12581</v>
      </c>
      <c r="OYK5" s="12" t="s">
        <v>12582</v>
      </c>
      <c r="OYL5" s="12" t="s">
        <v>12583</v>
      </c>
      <c r="OYM5" s="12" t="s">
        <v>12584</v>
      </c>
      <c r="OYN5" s="12" t="s">
        <v>12585</v>
      </c>
      <c r="OYO5" s="12" t="s">
        <v>12586</v>
      </c>
      <c r="OYP5" s="12" t="s">
        <v>12587</v>
      </c>
      <c r="OYQ5" s="12" t="s">
        <v>12588</v>
      </c>
      <c r="OYR5" s="12" t="s">
        <v>12589</v>
      </c>
      <c r="OYS5" s="12" t="s">
        <v>12590</v>
      </c>
      <c r="OYT5" s="12" t="s">
        <v>12591</v>
      </c>
      <c r="OYU5" s="12" t="s">
        <v>12592</v>
      </c>
      <c r="OYV5" s="12" t="s">
        <v>12593</v>
      </c>
      <c r="OYW5" s="12" t="s">
        <v>12594</v>
      </c>
      <c r="OYX5" s="12" t="s">
        <v>12595</v>
      </c>
      <c r="OYY5" s="12" t="s">
        <v>12596</v>
      </c>
      <c r="OYZ5" s="12" t="s">
        <v>12597</v>
      </c>
      <c r="OZA5" s="12" t="s">
        <v>12598</v>
      </c>
      <c r="OZB5" s="12" t="s">
        <v>12599</v>
      </c>
      <c r="OZC5" s="12" t="s">
        <v>12600</v>
      </c>
      <c r="OZD5" s="12" t="s">
        <v>12601</v>
      </c>
      <c r="OZE5" s="12" t="s">
        <v>12602</v>
      </c>
      <c r="OZF5" s="12" t="s">
        <v>12603</v>
      </c>
      <c r="OZG5" s="12" t="s">
        <v>12604</v>
      </c>
      <c r="OZH5" s="12" t="s">
        <v>12605</v>
      </c>
      <c r="OZI5" s="12" t="s">
        <v>12606</v>
      </c>
      <c r="OZJ5" s="12" t="s">
        <v>12607</v>
      </c>
      <c r="OZK5" s="12" t="s">
        <v>12608</v>
      </c>
      <c r="OZL5" s="12" t="s">
        <v>12609</v>
      </c>
      <c r="OZM5" s="12" t="s">
        <v>12610</v>
      </c>
      <c r="OZN5" s="12" t="s">
        <v>12611</v>
      </c>
      <c r="OZO5" s="12" t="s">
        <v>12612</v>
      </c>
      <c r="OZP5" s="12" t="s">
        <v>12613</v>
      </c>
      <c r="OZQ5" s="12" t="s">
        <v>12614</v>
      </c>
      <c r="OZR5" s="12" t="s">
        <v>12615</v>
      </c>
      <c r="OZS5" s="12" t="s">
        <v>12616</v>
      </c>
      <c r="OZT5" s="12" t="s">
        <v>12617</v>
      </c>
      <c r="OZU5" s="12" t="s">
        <v>12618</v>
      </c>
      <c r="OZV5" s="12" t="s">
        <v>12619</v>
      </c>
      <c r="OZW5" s="12" t="s">
        <v>12620</v>
      </c>
      <c r="OZX5" s="12" t="s">
        <v>12621</v>
      </c>
      <c r="OZY5" s="12" t="s">
        <v>12622</v>
      </c>
      <c r="OZZ5" s="12" t="s">
        <v>12623</v>
      </c>
      <c r="PAA5" s="12" t="s">
        <v>12624</v>
      </c>
      <c r="PAB5" s="12" t="s">
        <v>12625</v>
      </c>
      <c r="PAC5" s="12" t="s">
        <v>12626</v>
      </c>
      <c r="PAD5" s="12" t="s">
        <v>12627</v>
      </c>
      <c r="PAE5" s="12" t="s">
        <v>12628</v>
      </c>
      <c r="PAF5" s="12" t="s">
        <v>12629</v>
      </c>
      <c r="PAG5" s="12" t="s">
        <v>12630</v>
      </c>
      <c r="PAH5" s="12" t="s">
        <v>12631</v>
      </c>
      <c r="PAI5" s="12" t="s">
        <v>12632</v>
      </c>
      <c r="PAJ5" s="12" t="s">
        <v>12633</v>
      </c>
      <c r="PAK5" s="12" t="s">
        <v>12634</v>
      </c>
      <c r="PAL5" s="12" t="s">
        <v>12635</v>
      </c>
      <c r="PAM5" s="12" t="s">
        <v>12636</v>
      </c>
      <c r="PAN5" s="12" t="s">
        <v>12637</v>
      </c>
      <c r="PAO5" s="12" t="s">
        <v>12638</v>
      </c>
      <c r="PAP5" s="12" t="s">
        <v>12639</v>
      </c>
      <c r="PAQ5" s="12" t="s">
        <v>12640</v>
      </c>
      <c r="PAR5" s="12" t="s">
        <v>12641</v>
      </c>
      <c r="PAS5" s="12" t="s">
        <v>12642</v>
      </c>
      <c r="PAT5" s="12" t="s">
        <v>12643</v>
      </c>
      <c r="PAU5" s="12" t="s">
        <v>12644</v>
      </c>
      <c r="PAV5" s="12" t="s">
        <v>12645</v>
      </c>
      <c r="PAW5" s="12" t="s">
        <v>12646</v>
      </c>
      <c r="PAX5" s="12" t="s">
        <v>12647</v>
      </c>
      <c r="PAY5" s="12" t="s">
        <v>12648</v>
      </c>
      <c r="PAZ5" s="12" t="s">
        <v>12649</v>
      </c>
      <c r="PBA5" s="12" t="s">
        <v>12650</v>
      </c>
      <c r="PBB5" s="12" t="s">
        <v>12651</v>
      </c>
      <c r="PBC5" s="12" t="s">
        <v>12652</v>
      </c>
      <c r="PBD5" s="12" t="s">
        <v>12653</v>
      </c>
      <c r="PBE5" s="12" t="s">
        <v>12654</v>
      </c>
      <c r="PBF5" s="12" t="s">
        <v>12655</v>
      </c>
      <c r="PBG5" s="12" t="s">
        <v>12656</v>
      </c>
      <c r="PBH5" s="12" t="s">
        <v>12657</v>
      </c>
      <c r="PBI5" s="12" t="s">
        <v>12658</v>
      </c>
      <c r="PBJ5" s="12" t="s">
        <v>12659</v>
      </c>
      <c r="PBK5" s="12" t="s">
        <v>12660</v>
      </c>
      <c r="PBL5" s="12" t="s">
        <v>12661</v>
      </c>
      <c r="PBM5" s="12" t="s">
        <v>12662</v>
      </c>
      <c r="PBN5" s="12" t="s">
        <v>12663</v>
      </c>
      <c r="PBO5" s="12" t="s">
        <v>12664</v>
      </c>
      <c r="PBP5" s="12" t="s">
        <v>12665</v>
      </c>
      <c r="PBQ5" s="12" t="s">
        <v>12666</v>
      </c>
      <c r="PBR5" s="12" t="s">
        <v>12667</v>
      </c>
      <c r="PBS5" s="12" t="s">
        <v>12668</v>
      </c>
      <c r="PBT5" s="12" t="s">
        <v>12669</v>
      </c>
      <c r="PBU5" s="12" t="s">
        <v>12670</v>
      </c>
      <c r="PBV5" s="12" t="s">
        <v>12671</v>
      </c>
      <c r="PBW5" s="12" t="s">
        <v>12672</v>
      </c>
      <c r="PBX5" s="12" t="s">
        <v>12673</v>
      </c>
      <c r="PBY5" s="12" t="s">
        <v>12674</v>
      </c>
      <c r="PBZ5" s="12" t="s">
        <v>12675</v>
      </c>
      <c r="PCA5" s="12" t="s">
        <v>12676</v>
      </c>
      <c r="PCB5" s="12" t="s">
        <v>12677</v>
      </c>
      <c r="PCC5" s="12" t="s">
        <v>12678</v>
      </c>
      <c r="PCD5" s="12" t="s">
        <v>12679</v>
      </c>
      <c r="PCE5" s="12" t="s">
        <v>12680</v>
      </c>
      <c r="PCF5" s="12" t="s">
        <v>12681</v>
      </c>
      <c r="PCG5" s="12" t="s">
        <v>12682</v>
      </c>
      <c r="PCH5" s="12" t="s">
        <v>12683</v>
      </c>
      <c r="PCI5" s="12" t="s">
        <v>12684</v>
      </c>
      <c r="PCJ5" s="12" t="s">
        <v>12685</v>
      </c>
      <c r="PCK5" s="12" t="s">
        <v>12686</v>
      </c>
      <c r="PCL5" s="12" t="s">
        <v>12687</v>
      </c>
      <c r="PCM5" s="12" t="s">
        <v>12688</v>
      </c>
      <c r="PCN5" s="12" t="s">
        <v>12689</v>
      </c>
      <c r="PCO5" s="12" t="s">
        <v>12690</v>
      </c>
      <c r="PCP5" s="12" t="s">
        <v>12691</v>
      </c>
      <c r="PCQ5" s="12" t="s">
        <v>12692</v>
      </c>
      <c r="PCR5" s="12" t="s">
        <v>12693</v>
      </c>
      <c r="PCS5" s="12" t="s">
        <v>12694</v>
      </c>
      <c r="PCT5" s="12" t="s">
        <v>12695</v>
      </c>
      <c r="PCU5" s="12" t="s">
        <v>12696</v>
      </c>
      <c r="PCV5" s="12" t="s">
        <v>12697</v>
      </c>
      <c r="PCW5" s="12" t="s">
        <v>12698</v>
      </c>
      <c r="PCX5" s="12" t="s">
        <v>12699</v>
      </c>
      <c r="PCY5" s="12" t="s">
        <v>12700</v>
      </c>
      <c r="PCZ5" s="12" t="s">
        <v>12701</v>
      </c>
      <c r="PDA5" s="12" t="s">
        <v>12702</v>
      </c>
      <c r="PDB5" s="12" t="s">
        <v>12703</v>
      </c>
      <c r="PDC5" s="12" t="s">
        <v>12704</v>
      </c>
      <c r="PDD5" s="12" t="s">
        <v>12705</v>
      </c>
      <c r="PDE5" s="12" t="s">
        <v>12706</v>
      </c>
      <c r="PDF5" s="12" t="s">
        <v>12707</v>
      </c>
      <c r="PDG5" s="12" t="s">
        <v>12708</v>
      </c>
      <c r="PDH5" s="12" t="s">
        <v>12709</v>
      </c>
      <c r="PDI5" s="12" t="s">
        <v>12710</v>
      </c>
      <c r="PDJ5" s="12" t="s">
        <v>12711</v>
      </c>
      <c r="PDK5" s="12" t="s">
        <v>12712</v>
      </c>
      <c r="PDL5" s="12" t="s">
        <v>12713</v>
      </c>
      <c r="PDM5" s="12" t="s">
        <v>12714</v>
      </c>
      <c r="PDN5" s="12" t="s">
        <v>12715</v>
      </c>
      <c r="PDO5" s="12" t="s">
        <v>12716</v>
      </c>
      <c r="PDP5" s="12" t="s">
        <v>12717</v>
      </c>
      <c r="PDQ5" s="12" t="s">
        <v>12718</v>
      </c>
      <c r="PDR5" s="12" t="s">
        <v>12719</v>
      </c>
      <c r="PDS5" s="12" t="s">
        <v>12720</v>
      </c>
      <c r="PDT5" s="12" t="s">
        <v>12721</v>
      </c>
      <c r="PDU5" s="12" t="s">
        <v>12722</v>
      </c>
      <c r="PDV5" s="12" t="s">
        <v>12723</v>
      </c>
      <c r="PDW5" s="12" t="s">
        <v>12724</v>
      </c>
      <c r="PDX5" s="12" t="s">
        <v>12725</v>
      </c>
      <c r="PDY5" s="12" t="s">
        <v>12726</v>
      </c>
      <c r="PDZ5" s="12" t="s">
        <v>12727</v>
      </c>
      <c r="PEA5" s="12" t="s">
        <v>12728</v>
      </c>
      <c r="PEB5" s="12" t="s">
        <v>12729</v>
      </c>
      <c r="PEC5" s="12" t="s">
        <v>12730</v>
      </c>
      <c r="PED5" s="12" t="s">
        <v>12731</v>
      </c>
      <c r="PEE5" s="12" t="s">
        <v>12732</v>
      </c>
      <c r="PEF5" s="12" t="s">
        <v>12733</v>
      </c>
      <c r="PEG5" s="12" t="s">
        <v>12734</v>
      </c>
      <c r="PEH5" s="12" t="s">
        <v>12735</v>
      </c>
      <c r="PEI5" s="12" t="s">
        <v>12736</v>
      </c>
      <c r="PEJ5" s="12" t="s">
        <v>12737</v>
      </c>
      <c r="PEK5" s="12" t="s">
        <v>12738</v>
      </c>
      <c r="PEL5" s="12" t="s">
        <v>12739</v>
      </c>
      <c r="PEM5" s="12" t="s">
        <v>12740</v>
      </c>
      <c r="PEN5" s="12" t="s">
        <v>12741</v>
      </c>
      <c r="PEO5" s="12" t="s">
        <v>12742</v>
      </c>
      <c r="PEP5" s="12" t="s">
        <v>12743</v>
      </c>
      <c r="PEQ5" s="12" t="s">
        <v>12744</v>
      </c>
      <c r="PER5" s="12" t="s">
        <v>12745</v>
      </c>
      <c r="PES5" s="12" t="s">
        <v>12746</v>
      </c>
      <c r="PET5" s="12" t="s">
        <v>12747</v>
      </c>
      <c r="PEU5" s="12" t="s">
        <v>12748</v>
      </c>
      <c r="PEV5" s="12" t="s">
        <v>12749</v>
      </c>
      <c r="PEW5" s="12" t="s">
        <v>12750</v>
      </c>
      <c r="PEX5" s="12" t="s">
        <v>12751</v>
      </c>
      <c r="PEY5" s="12" t="s">
        <v>12752</v>
      </c>
      <c r="PEZ5" s="12" t="s">
        <v>12753</v>
      </c>
      <c r="PFA5" s="12" t="s">
        <v>12754</v>
      </c>
      <c r="PFB5" s="12" t="s">
        <v>12755</v>
      </c>
      <c r="PFC5" s="12" t="s">
        <v>12756</v>
      </c>
      <c r="PFD5" s="12" t="s">
        <v>12757</v>
      </c>
      <c r="PFE5" s="12" t="s">
        <v>12758</v>
      </c>
      <c r="PFF5" s="12" t="s">
        <v>12759</v>
      </c>
      <c r="PFG5" s="12" t="s">
        <v>12760</v>
      </c>
      <c r="PFH5" s="12" t="s">
        <v>12761</v>
      </c>
      <c r="PFI5" s="12" t="s">
        <v>12762</v>
      </c>
      <c r="PFJ5" s="12" t="s">
        <v>12763</v>
      </c>
      <c r="PFK5" s="12" t="s">
        <v>12764</v>
      </c>
      <c r="PFL5" s="12" t="s">
        <v>12765</v>
      </c>
      <c r="PFM5" s="12" t="s">
        <v>12766</v>
      </c>
      <c r="PFN5" s="12" t="s">
        <v>12767</v>
      </c>
      <c r="PFO5" s="12" t="s">
        <v>12768</v>
      </c>
      <c r="PFP5" s="12" t="s">
        <v>12769</v>
      </c>
      <c r="PFQ5" s="12" t="s">
        <v>12770</v>
      </c>
      <c r="PFR5" s="12" t="s">
        <v>12771</v>
      </c>
      <c r="PFS5" s="12" t="s">
        <v>12772</v>
      </c>
      <c r="PFT5" s="12" t="s">
        <v>12773</v>
      </c>
      <c r="PFU5" s="12" t="s">
        <v>12774</v>
      </c>
      <c r="PFV5" s="12" t="s">
        <v>12775</v>
      </c>
      <c r="PFW5" s="12" t="s">
        <v>12776</v>
      </c>
      <c r="PFX5" s="12" t="s">
        <v>12777</v>
      </c>
      <c r="PFY5" s="12" t="s">
        <v>12778</v>
      </c>
      <c r="PFZ5" s="12" t="s">
        <v>12779</v>
      </c>
      <c r="PGA5" s="12" t="s">
        <v>12780</v>
      </c>
      <c r="PGB5" s="12" t="s">
        <v>12781</v>
      </c>
      <c r="PGC5" s="12" t="s">
        <v>12782</v>
      </c>
      <c r="PGD5" s="12" t="s">
        <v>12783</v>
      </c>
      <c r="PGE5" s="12" t="s">
        <v>12784</v>
      </c>
      <c r="PGF5" s="12" t="s">
        <v>12785</v>
      </c>
      <c r="PGG5" s="12" t="s">
        <v>12786</v>
      </c>
      <c r="PGH5" s="12" t="s">
        <v>12787</v>
      </c>
      <c r="PGI5" s="12" t="s">
        <v>12788</v>
      </c>
      <c r="PGJ5" s="12" t="s">
        <v>12789</v>
      </c>
      <c r="PGK5" s="12" t="s">
        <v>12790</v>
      </c>
      <c r="PGL5" s="12" t="s">
        <v>12791</v>
      </c>
      <c r="PGM5" s="12" t="s">
        <v>12792</v>
      </c>
      <c r="PGN5" s="12" t="s">
        <v>12793</v>
      </c>
      <c r="PGO5" s="12" t="s">
        <v>12794</v>
      </c>
      <c r="PGP5" s="12" t="s">
        <v>12795</v>
      </c>
      <c r="PGQ5" s="12" t="s">
        <v>12796</v>
      </c>
      <c r="PGR5" s="12" t="s">
        <v>12797</v>
      </c>
      <c r="PGS5" s="12" t="s">
        <v>12798</v>
      </c>
      <c r="PGT5" s="12" t="s">
        <v>12799</v>
      </c>
      <c r="PGU5" s="12" t="s">
        <v>12800</v>
      </c>
      <c r="PGV5" s="12" t="s">
        <v>12801</v>
      </c>
      <c r="PGW5" s="12" t="s">
        <v>12802</v>
      </c>
      <c r="PGX5" s="12" t="s">
        <v>12803</v>
      </c>
      <c r="PGY5" s="12" t="s">
        <v>12804</v>
      </c>
      <c r="PGZ5" s="12" t="s">
        <v>12805</v>
      </c>
      <c r="PHA5" s="12" t="s">
        <v>12806</v>
      </c>
      <c r="PHB5" s="12" t="s">
        <v>12807</v>
      </c>
      <c r="PHC5" s="12" t="s">
        <v>12808</v>
      </c>
      <c r="PHD5" s="12" t="s">
        <v>12809</v>
      </c>
      <c r="PHE5" s="12" t="s">
        <v>12810</v>
      </c>
      <c r="PHF5" s="12" t="s">
        <v>12811</v>
      </c>
      <c r="PHG5" s="12" t="s">
        <v>12812</v>
      </c>
      <c r="PHH5" s="12" t="s">
        <v>12813</v>
      </c>
      <c r="PHI5" s="12" t="s">
        <v>12814</v>
      </c>
      <c r="PHJ5" s="12" t="s">
        <v>12815</v>
      </c>
      <c r="PHK5" s="12" t="s">
        <v>12816</v>
      </c>
      <c r="PHL5" s="12" t="s">
        <v>12817</v>
      </c>
      <c r="PHM5" s="12" t="s">
        <v>12818</v>
      </c>
      <c r="PHN5" s="12" t="s">
        <v>12819</v>
      </c>
      <c r="PHO5" s="12" t="s">
        <v>12820</v>
      </c>
      <c r="PHP5" s="12" t="s">
        <v>12821</v>
      </c>
      <c r="PHQ5" s="12" t="s">
        <v>12822</v>
      </c>
      <c r="PHR5" s="12" t="s">
        <v>12823</v>
      </c>
      <c r="PHS5" s="12" t="s">
        <v>12824</v>
      </c>
      <c r="PHT5" s="12" t="s">
        <v>12825</v>
      </c>
      <c r="PHU5" s="12" t="s">
        <v>12826</v>
      </c>
      <c r="PHV5" s="12" t="s">
        <v>12827</v>
      </c>
      <c r="PHW5" s="12" t="s">
        <v>12828</v>
      </c>
      <c r="PHX5" s="12" t="s">
        <v>12829</v>
      </c>
      <c r="PHY5" s="12" t="s">
        <v>12830</v>
      </c>
      <c r="PHZ5" s="12" t="s">
        <v>12831</v>
      </c>
      <c r="PIA5" s="12" t="s">
        <v>12832</v>
      </c>
      <c r="PIB5" s="12" t="s">
        <v>12833</v>
      </c>
      <c r="PIC5" s="12" t="s">
        <v>12834</v>
      </c>
      <c r="PID5" s="12" t="s">
        <v>12835</v>
      </c>
      <c r="PIE5" s="12" t="s">
        <v>12836</v>
      </c>
      <c r="PIF5" s="12" t="s">
        <v>12837</v>
      </c>
      <c r="PIG5" s="12" t="s">
        <v>12838</v>
      </c>
      <c r="PIH5" s="12" t="s">
        <v>12839</v>
      </c>
      <c r="PII5" s="12" t="s">
        <v>12840</v>
      </c>
      <c r="PIJ5" s="12" t="s">
        <v>12841</v>
      </c>
      <c r="PIK5" s="12" t="s">
        <v>12842</v>
      </c>
      <c r="PIL5" s="12" t="s">
        <v>12843</v>
      </c>
      <c r="PIM5" s="12" t="s">
        <v>12844</v>
      </c>
      <c r="PIN5" s="12" t="s">
        <v>12845</v>
      </c>
      <c r="PIO5" s="12" t="s">
        <v>12846</v>
      </c>
      <c r="PIP5" s="12" t="s">
        <v>12847</v>
      </c>
      <c r="PIQ5" s="12" t="s">
        <v>12848</v>
      </c>
      <c r="PIR5" s="12" t="s">
        <v>12849</v>
      </c>
      <c r="PIS5" s="12" t="s">
        <v>12850</v>
      </c>
      <c r="PIT5" s="12" t="s">
        <v>12851</v>
      </c>
      <c r="PIU5" s="12" t="s">
        <v>12852</v>
      </c>
      <c r="PIV5" s="12" t="s">
        <v>12853</v>
      </c>
      <c r="PIW5" s="12" t="s">
        <v>12854</v>
      </c>
      <c r="PIX5" s="12" t="s">
        <v>12855</v>
      </c>
      <c r="PIY5" s="12" t="s">
        <v>12856</v>
      </c>
      <c r="PIZ5" s="12" t="s">
        <v>12857</v>
      </c>
      <c r="PJA5" s="12" t="s">
        <v>12858</v>
      </c>
      <c r="PJB5" s="12" t="s">
        <v>12859</v>
      </c>
      <c r="PJC5" s="12" t="s">
        <v>12860</v>
      </c>
      <c r="PJD5" s="12" t="s">
        <v>12861</v>
      </c>
      <c r="PJE5" s="12" t="s">
        <v>12862</v>
      </c>
      <c r="PJF5" s="12" t="s">
        <v>12863</v>
      </c>
      <c r="PJG5" s="12" t="s">
        <v>12864</v>
      </c>
      <c r="PJH5" s="12" t="s">
        <v>12865</v>
      </c>
      <c r="PJI5" s="12" t="s">
        <v>12866</v>
      </c>
      <c r="PJJ5" s="12" t="s">
        <v>12867</v>
      </c>
      <c r="PJK5" s="12" t="s">
        <v>12868</v>
      </c>
      <c r="PJL5" s="12" t="s">
        <v>12869</v>
      </c>
      <c r="PJM5" s="12" t="s">
        <v>12870</v>
      </c>
      <c r="PJN5" s="12" t="s">
        <v>12871</v>
      </c>
      <c r="PJO5" s="12" t="s">
        <v>12872</v>
      </c>
      <c r="PJP5" s="12" t="s">
        <v>12873</v>
      </c>
      <c r="PJQ5" s="12" t="s">
        <v>12874</v>
      </c>
      <c r="PJR5" s="12" t="s">
        <v>12875</v>
      </c>
      <c r="PJS5" s="12" t="s">
        <v>12876</v>
      </c>
      <c r="PJT5" s="12" t="s">
        <v>12877</v>
      </c>
      <c r="PJU5" s="12" t="s">
        <v>12878</v>
      </c>
      <c r="PJV5" s="12" t="s">
        <v>12879</v>
      </c>
      <c r="PJW5" s="12" t="s">
        <v>12880</v>
      </c>
      <c r="PJX5" s="12" t="s">
        <v>12881</v>
      </c>
      <c r="PJY5" s="12" t="s">
        <v>12882</v>
      </c>
      <c r="PJZ5" s="12" t="s">
        <v>12883</v>
      </c>
      <c r="PKA5" s="12" t="s">
        <v>12884</v>
      </c>
      <c r="PKB5" s="12" t="s">
        <v>12885</v>
      </c>
      <c r="PKC5" s="12" t="s">
        <v>12886</v>
      </c>
      <c r="PKD5" s="12" t="s">
        <v>12887</v>
      </c>
      <c r="PKE5" s="12" t="s">
        <v>12888</v>
      </c>
      <c r="PKF5" s="12" t="s">
        <v>12889</v>
      </c>
      <c r="PKG5" s="12" t="s">
        <v>12890</v>
      </c>
      <c r="PKH5" s="12" t="s">
        <v>12891</v>
      </c>
      <c r="PKI5" s="12" t="s">
        <v>12892</v>
      </c>
      <c r="PKJ5" s="12" t="s">
        <v>12893</v>
      </c>
      <c r="PKK5" s="12" t="s">
        <v>12894</v>
      </c>
      <c r="PKL5" s="12" t="s">
        <v>12895</v>
      </c>
      <c r="PKM5" s="12" t="s">
        <v>12896</v>
      </c>
      <c r="PKN5" s="12" t="s">
        <v>12897</v>
      </c>
      <c r="PKO5" s="12" t="s">
        <v>12898</v>
      </c>
      <c r="PKP5" s="12" t="s">
        <v>12899</v>
      </c>
      <c r="PKQ5" s="12" t="s">
        <v>12900</v>
      </c>
      <c r="PKR5" s="12" t="s">
        <v>12901</v>
      </c>
      <c r="PKS5" s="12" t="s">
        <v>12902</v>
      </c>
      <c r="PKT5" s="12" t="s">
        <v>12903</v>
      </c>
      <c r="PKU5" s="12" t="s">
        <v>12904</v>
      </c>
      <c r="PKV5" s="12" t="s">
        <v>12905</v>
      </c>
      <c r="PKW5" s="12" t="s">
        <v>12906</v>
      </c>
      <c r="PKX5" s="12" t="s">
        <v>12907</v>
      </c>
      <c r="PKY5" s="12" t="s">
        <v>12908</v>
      </c>
      <c r="PKZ5" s="12" t="s">
        <v>12909</v>
      </c>
      <c r="PLA5" s="12" t="s">
        <v>12910</v>
      </c>
      <c r="PLB5" s="12" t="s">
        <v>12911</v>
      </c>
      <c r="PLC5" s="12" t="s">
        <v>12912</v>
      </c>
      <c r="PLD5" s="12" t="s">
        <v>12913</v>
      </c>
      <c r="PLE5" s="12" t="s">
        <v>12914</v>
      </c>
      <c r="PLF5" s="12" t="s">
        <v>12915</v>
      </c>
      <c r="PLG5" s="12" t="s">
        <v>12916</v>
      </c>
      <c r="PLH5" s="12" t="s">
        <v>12917</v>
      </c>
      <c r="PLI5" s="12" t="s">
        <v>12918</v>
      </c>
      <c r="PLJ5" s="12" t="s">
        <v>12919</v>
      </c>
      <c r="PLK5" s="12" t="s">
        <v>12920</v>
      </c>
      <c r="PLL5" s="12" t="s">
        <v>12921</v>
      </c>
      <c r="PLM5" s="12" t="s">
        <v>12922</v>
      </c>
      <c r="PLN5" s="12" t="s">
        <v>12923</v>
      </c>
      <c r="PLO5" s="12" t="s">
        <v>12924</v>
      </c>
      <c r="PLP5" s="12" t="s">
        <v>12925</v>
      </c>
      <c r="PLQ5" s="12" t="s">
        <v>12926</v>
      </c>
      <c r="PLR5" s="12" t="s">
        <v>12927</v>
      </c>
      <c r="PLS5" s="12" t="s">
        <v>12928</v>
      </c>
      <c r="PLT5" s="12" t="s">
        <v>12929</v>
      </c>
      <c r="PLU5" s="12" t="s">
        <v>12930</v>
      </c>
      <c r="PLV5" s="12" t="s">
        <v>12931</v>
      </c>
      <c r="PLW5" s="12" t="s">
        <v>12932</v>
      </c>
      <c r="PLX5" s="12" t="s">
        <v>12933</v>
      </c>
      <c r="PLY5" s="12" t="s">
        <v>12934</v>
      </c>
      <c r="PLZ5" s="12" t="s">
        <v>12935</v>
      </c>
      <c r="PMA5" s="12" t="s">
        <v>12936</v>
      </c>
      <c r="PMB5" s="12" t="s">
        <v>12937</v>
      </c>
      <c r="PMC5" s="12" t="s">
        <v>12938</v>
      </c>
      <c r="PMD5" s="12" t="s">
        <v>12939</v>
      </c>
      <c r="PME5" s="12" t="s">
        <v>12940</v>
      </c>
      <c r="PMF5" s="12" t="s">
        <v>12941</v>
      </c>
      <c r="PMG5" s="12" t="s">
        <v>12942</v>
      </c>
      <c r="PMH5" s="12" t="s">
        <v>12943</v>
      </c>
      <c r="PMI5" s="12" t="s">
        <v>12944</v>
      </c>
      <c r="PMJ5" s="12" t="s">
        <v>12945</v>
      </c>
      <c r="PMK5" s="12" t="s">
        <v>12946</v>
      </c>
      <c r="PML5" s="12" t="s">
        <v>12947</v>
      </c>
      <c r="PMM5" s="12" t="s">
        <v>12948</v>
      </c>
      <c r="PMN5" s="12" t="s">
        <v>12949</v>
      </c>
      <c r="PMO5" s="12" t="s">
        <v>12950</v>
      </c>
      <c r="PMP5" s="12" t="s">
        <v>12951</v>
      </c>
      <c r="PMQ5" s="12" t="s">
        <v>12952</v>
      </c>
      <c r="PMR5" s="12" t="s">
        <v>12953</v>
      </c>
      <c r="PMS5" s="12" t="s">
        <v>12954</v>
      </c>
      <c r="PMT5" s="12" t="s">
        <v>12955</v>
      </c>
      <c r="PMU5" s="12" t="s">
        <v>12956</v>
      </c>
      <c r="PMV5" s="12" t="s">
        <v>12957</v>
      </c>
      <c r="PMW5" s="12" t="s">
        <v>12958</v>
      </c>
      <c r="PMX5" s="12" t="s">
        <v>12959</v>
      </c>
      <c r="PMY5" s="12" t="s">
        <v>12960</v>
      </c>
      <c r="PMZ5" s="12" t="s">
        <v>12961</v>
      </c>
      <c r="PNA5" s="12" t="s">
        <v>12962</v>
      </c>
      <c r="PNB5" s="12" t="s">
        <v>12963</v>
      </c>
      <c r="PNC5" s="12" t="s">
        <v>12964</v>
      </c>
      <c r="PND5" s="12" t="s">
        <v>12965</v>
      </c>
      <c r="PNE5" s="12" t="s">
        <v>12966</v>
      </c>
      <c r="PNF5" s="12" t="s">
        <v>12967</v>
      </c>
      <c r="PNG5" s="12" t="s">
        <v>12968</v>
      </c>
      <c r="PNH5" s="12" t="s">
        <v>12969</v>
      </c>
      <c r="PNI5" s="12" t="s">
        <v>12970</v>
      </c>
      <c r="PNJ5" s="12" t="s">
        <v>12971</v>
      </c>
      <c r="PNK5" s="12" t="s">
        <v>12972</v>
      </c>
      <c r="PNL5" s="12" t="s">
        <v>12973</v>
      </c>
      <c r="PNM5" s="12" t="s">
        <v>12974</v>
      </c>
      <c r="PNN5" s="12" t="s">
        <v>12975</v>
      </c>
      <c r="PNO5" s="12" t="s">
        <v>12976</v>
      </c>
      <c r="PNP5" s="12" t="s">
        <v>12977</v>
      </c>
      <c r="PNQ5" s="12" t="s">
        <v>12978</v>
      </c>
      <c r="PNR5" s="12" t="s">
        <v>12979</v>
      </c>
      <c r="PNS5" s="12" t="s">
        <v>12980</v>
      </c>
      <c r="PNT5" s="12" t="s">
        <v>12981</v>
      </c>
      <c r="PNU5" s="12" t="s">
        <v>12982</v>
      </c>
      <c r="PNV5" s="12" t="s">
        <v>12983</v>
      </c>
      <c r="PNW5" s="12" t="s">
        <v>12984</v>
      </c>
      <c r="PNX5" s="12" t="s">
        <v>12985</v>
      </c>
      <c r="PNY5" s="12" t="s">
        <v>12986</v>
      </c>
      <c r="PNZ5" s="12" t="s">
        <v>12987</v>
      </c>
      <c r="POA5" s="12" t="s">
        <v>12988</v>
      </c>
      <c r="POB5" s="12" t="s">
        <v>12989</v>
      </c>
      <c r="POC5" s="12" t="s">
        <v>12990</v>
      </c>
      <c r="POD5" s="12" t="s">
        <v>12991</v>
      </c>
      <c r="POE5" s="12" t="s">
        <v>12992</v>
      </c>
      <c r="POF5" s="12" t="s">
        <v>12993</v>
      </c>
      <c r="POG5" s="12" t="s">
        <v>12994</v>
      </c>
      <c r="POH5" s="12" t="s">
        <v>12995</v>
      </c>
      <c r="POI5" s="12" t="s">
        <v>12996</v>
      </c>
      <c r="POJ5" s="12" t="s">
        <v>12997</v>
      </c>
      <c r="POK5" s="12" t="s">
        <v>12998</v>
      </c>
      <c r="POL5" s="12" t="s">
        <v>12999</v>
      </c>
      <c r="POM5" s="12" t="s">
        <v>13000</v>
      </c>
      <c r="PON5" s="12" t="s">
        <v>13001</v>
      </c>
      <c r="POO5" s="12" t="s">
        <v>13002</v>
      </c>
      <c r="POP5" s="12" t="s">
        <v>13003</v>
      </c>
      <c r="POQ5" s="12" t="s">
        <v>13004</v>
      </c>
      <c r="POR5" s="12" t="s">
        <v>13005</v>
      </c>
      <c r="POS5" s="12" t="s">
        <v>13006</v>
      </c>
      <c r="POT5" s="12" t="s">
        <v>13007</v>
      </c>
      <c r="POU5" s="12" t="s">
        <v>13008</v>
      </c>
      <c r="POV5" s="12" t="s">
        <v>13009</v>
      </c>
      <c r="POW5" s="12" t="s">
        <v>13010</v>
      </c>
      <c r="POX5" s="12" t="s">
        <v>13011</v>
      </c>
      <c r="POY5" s="12" t="s">
        <v>13012</v>
      </c>
      <c r="POZ5" s="12" t="s">
        <v>13013</v>
      </c>
      <c r="PPA5" s="12" t="s">
        <v>13014</v>
      </c>
      <c r="PPB5" s="12" t="s">
        <v>13015</v>
      </c>
      <c r="PPC5" s="12" t="s">
        <v>13016</v>
      </c>
      <c r="PPD5" s="12" t="s">
        <v>13017</v>
      </c>
      <c r="PPE5" s="12" t="s">
        <v>13018</v>
      </c>
      <c r="PPF5" s="12" t="s">
        <v>13019</v>
      </c>
      <c r="PPG5" s="12" t="s">
        <v>13020</v>
      </c>
      <c r="PPH5" s="12" t="s">
        <v>13021</v>
      </c>
      <c r="PPI5" s="12" t="s">
        <v>13022</v>
      </c>
      <c r="PPJ5" s="12" t="s">
        <v>13023</v>
      </c>
      <c r="PPK5" s="12" t="s">
        <v>13024</v>
      </c>
      <c r="PPL5" s="12" t="s">
        <v>13025</v>
      </c>
      <c r="PPM5" s="12" t="s">
        <v>13026</v>
      </c>
      <c r="PPN5" s="12" t="s">
        <v>13027</v>
      </c>
      <c r="PPO5" s="12" t="s">
        <v>13028</v>
      </c>
      <c r="PPP5" s="12" t="s">
        <v>13029</v>
      </c>
      <c r="PPQ5" s="12" t="s">
        <v>13030</v>
      </c>
      <c r="PPR5" s="12" t="s">
        <v>13031</v>
      </c>
      <c r="PPS5" s="12" t="s">
        <v>13032</v>
      </c>
      <c r="PPT5" s="12" t="s">
        <v>13033</v>
      </c>
      <c r="PPU5" s="12" t="s">
        <v>13034</v>
      </c>
      <c r="PPV5" s="12" t="s">
        <v>13035</v>
      </c>
      <c r="PPW5" s="12" t="s">
        <v>13036</v>
      </c>
      <c r="PPX5" s="12" t="s">
        <v>13037</v>
      </c>
      <c r="PPY5" s="12" t="s">
        <v>13038</v>
      </c>
      <c r="PPZ5" s="12" t="s">
        <v>13039</v>
      </c>
      <c r="PQA5" s="12" t="s">
        <v>13040</v>
      </c>
      <c r="PQB5" s="12" t="s">
        <v>13041</v>
      </c>
      <c r="PQC5" s="12" t="s">
        <v>13042</v>
      </c>
      <c r="PQD5" s="12" t="s">
        <v>13043</v>
      </c>
      <c r="PQE5" s="12" t="s">
        <v>13044</v>
      </c>
      <c r="PQF5" s="12" t="s">
        <v>13045</v>
      </c>
      <c r="PQG5" s="12" t="s">
        <v>13046</v>
      </c>
      <c r="PQH5" s="12" t="s">
        <v>13047</v>
      </c>
      <c r="PQI5" s="12" t="s">
        <v>13048</v>
      </c>
      <c r="PQJ5" s="12" t="s">
        <v>13049</v>
      </c>
      <c r="PQK5" s="12" t="s">
        <v>13050</v>
      </c>
      <c r="PQL5" s="12" t="s">
        <v>13051</v>
      </c>
      <c r="PQM5" s="12" t="s">
        <v>13052</v>
      </c>
      <c r="PQN5" s="12" t="s">
        <v>13053</v>
      </c>
      <c r="PQO5" s="12" t="s">
        <v>13054</v>
      </c>
      <c r="PQP5" s="12" t="s">
        <v>13055</v>
      </c>
      <c r="PQQ5" s="12" t="s">
        <v>13056</v>
      </c>
      <c r="PQR5" s="12" t="s">
        <v>13057</v>
      </c>
      <c r="PQS5" s="12" t="s">
        <v>13058</v>
      </c>
      <c r="PQT5" s="12" t="s">
        <v>13059</v>
      </c>
      <c r="PQU5" s="12" t="s">
        <v>13060</v>
      </c>
      <c r="PQV5" s="12" t="s">
        <v>13061</v>
      </c>
      <c r="PQW5" s="12" t="s">
        <v>13062</v>
      </c>
      <c r="PQX5" s="12" t="s">
        <v>13063</v>
      </c>
      <c r="PQY5" s="12" t="s">
        <v>13064</v>
      </c>
      <c r="PQZ5" s="12" t="s">
        <v>13065</v>
      </c>
      <c r="PRA5" s="12" t="s">
        <v>13066</v>
      </c>
      <c r="PRB5" s="12" t="s">
        <v>13067</v>
      </c>
      <c r="PRC5" s="12" t="s">
        <v>13068</v>
      </c>
      <c r="PRD5" s="12" t="s">
        <v>13069</v>
      </c>
      <c r="PRE5" s="12" t="s">
        <v>13070</v>
      </c>
      <c r="PRF5" s="12" t="s">
        <v>13071</v>
      </c>
      <c r="PRG5" s="12" t="s">
        <v>13072</v>
      </c>
      <c r="PRH5" s="12" t="s">
        <v>13073</v>
      </c>
      <c r="PRI5" s="12" t="s">
        <v>13074</v>
      </c>
      <c r="PRJ5" s="12" t="s">
        <v>13075</v>
      </c>
      <c r="PRK5" s="12" t="s">
        <v>13076</v>
      </c>
      <c r="PRL5" s="12" t="s">
        <v>13077</v>
      </c>
      <c r="PRM5" s="12" t="s">
        <v>13078</v>
      </c>
      <c r="PRN5" s="12" t="s">
        <v>13079</v>
      </c>
      <c r="PRO5" s="12" t="s">
        <v>13080</v>
      </c>
      <c r="PRP5" s="12" t="s">
        <v>13081</v>
      </c>
      <c r="PRQ5" s="12" t="s">
        <v>13082</v>
      </c>
      <c r="PRR5" s="12" t="s">
        <v>13083</v>
      </c>
      <c r="PRS5" s="12" t="s">
        <v>13084</v>
      </c>
      <c r="PRT5" s="12" t="s">
        <v>13085</v>
      </c>
      <c r="PRU5" s="12" t="s">
        <v>13086</v>
      </c>
      <c r="PRV5" s="12" t="s">
        <v>13087</v>
      </c>
      <c r="PRW5" s="12" t="s">
        <v>13088</v>
      </c>
      <c r="PRX5" s="12" t="s">
        <v>13089</v>
      </c>
      <c r="PRY5" s="12" t="s">
        <v>13090</v>
      </c>
      <c r="PRZ5" s="12" t="s">
        <v>13091</v>
      </c>
      <c r="PSA5" s="12" t="s">
        <v>13092</v>
      </c>
      <c r="PSB5" s="12" t="s">
        <v>13093</v>
      </c>
      <c r="PSC5" s="12" t="s">
        <v>13094</v>
      </c>
      <c r="PSD5" s="12" t="s">
        <v>13095</v>
      </c>
      <c r="PSE5" s="12" t="s">
        <v>13096</v>
      </c>
      <c r="PSF5" s="12" t="s">
        <v>13097</v>
      </c>
      <c r="PSG5" s="12" t="s">
        <v>13098</v>
      </c>
      <c r="PSH5" s="12" t="s">
        <v>13099</v>
      </c>
      <c r="PSI5" s="12" t="s">
        <v>13100</v>
      </c>
      <c r="PSJ5" s="12" t="s">
        <v>13101</v>
      </c>
      <c r="PSK5" s="12" t="s">
        <v>13102</v>
      </c>
      <c r="PSL5" s="12" t="s">
        <v>13103</v>
      </c>
      <c r="PSM5" s="12" t="s">
        <v>13104</v>
      </c>
      <c r="PSN5" s="12" t="s">
        <v>13105</v>
      </c>
      <c r="PSO5" s="12" t="s">
        <v>13106</v>
      </c>
      <c r="PSP5" s="12" t="s">
        <v>13107</v>
      </c>
      <c r="PSQ5" s="12" t="s">
        <v>13108</v>
      </c>
      <c r="PSR5" s="12" t="s">
        <v>13109</v>
      </c>
      <c r="PSS5" s="12" t="s">
        <v>13110</v>
      </c>
      <c r="PST5" s="12" t="s">
        <v>13111</v>
      </c>
      <c r="PSU5" s="12" t="s">
        <v>13112</v>
      </c>
      <c r="PSV5" s="12" t="s">
        <v>13113</v>
      </c>
      <c r="PSW5" s="12" t="s">
        <v>13114</v>
      </c>
      <c r="PSX5" s="12" t="s">
        <v>13115</v>
      </c>
      <c r="PSY5" s="12" t="s">
        <v>13116</v>
      </c>
      <c r="PSZ5" s="12" t="s">
        <v>13117</v>
      </c>
      <c r="PTA5" s="12" t="s">
        <v>13118</v>
      </c>
      <c r="PTB5" s="12" t="s">
        <v>13119</v>
      </c>
      <c r="PTC5" s="12" t="s">
        <v>13120</v>
      </c>
      <c r="PTD5" s="12" t="s">
        <v>13121</v>
      </c>
      <c r="PTE5" s="12" t="s">
        <v>13122</v>
      </c>
      <c r="PTF5" s="12" t="s">
        <v>13123</v>
      </c>
      <c r="PTG5" s="12" t="s">
        <v>13124</v>
      </c>
      <c r="PTH5" s="12" t="s">
        <v>13125</v>
      </c>
      <c r="PTI5" s="12" t="s">
        <v>13126</v>
      </c>
      <c r="PTJ5" s="12" t="s">
        <v>13127</v>
      </c>
      <c r="PTK5" s="12" t="s">
        <v>13128</v>
      </c>
      <c r="PTL5" s="12" t="s">
        <v>13129</v>
      </c>
      <c r="PTM5" s="12" t="s">
        <v>13130</v>
      </c>
      <c r="PTN5" s="12" t="s">
        <v>13131</v>
      </c>
      <c r="PTO5" s="12" t="s">
        <v>13132</v>
      </c>
      <c r="PTP5" s="12" t="s">
        <v>13133</v>
      </c>
      <c r="PTQ5" s="12" t="s">
        <v>13134</v>
      </c>
      <c r="PTR5" s="12" t="s">
        <v>13135</v>
      </c>
      <c r="PTS5" s="12" t="s">
        <v>13136</v>
      </c>
      <c r="PTT5" s="12" t="s">
        <v>13137</v>
      </c>
      <c r="PTU5" s="12" t="s">
        <v>13138</v>
      </c>
      <c r="PTV5" s="12" t="s">
        <v>13139</v>
      </c>
      <c r="PTW5" s="12" t="s">
        <v>13140</v>
      </c>
      <c r="PTX5" s="12" t="s">
        <v>13141</v>
      </c>
      <c r="PTY5" s="12" t="s">
        <v>13142</v>
      </c>
      <c r="PTZ5" s="12" t="s">
        <v>13143</v>
      </c>
      <c r="PUA5" s="12" t="s">
        <v>13144</v>
      </c>
      <c r="PUB5" s="12" t="s">
        <v>13145</v>
      </c>
      <c r="PUC5" s="12" t="s">
        <v>13146</v>
      </c>
      <c r="PUD5" s="12" t="s">
        <v>13147</v>
      </c>
      <c r="PUE5" s="12" t="s">
        <v>13148</v>
      </c>
      <c r="PUF5" s="12" t="s">
        <v>13149</v>
      </c>
      <c r="PUG5" s="12" t="s">
        <v>13150</v>
      </c>
      <c r="PUH5" s="12" t="s">
        <v>13151</v>
      </c>
      <c r="PUI5" s="12" t="s">
        <v>13152</v>
      </c>
      <c r="PUJ5" s="12" t="s">
        <v>13153</v>
      </c>
      <c r="PUK5" s="12" t="s">
        <v>13154</v>
      </c>
      <c r="PUL5" s="12" t="s">
        <v>13155</v>
      </c>
      <c r="PUM5" s="12" t="s">
        <v>13156</v>
      </c>
      <c r="PUN5" s="12" t="s">
        <v>13157</v>
      </c>
      <c r="PUO5" s="12" t="s">
        <v>13158</v>
      </c>
      <c r="PUP5" s="12" t="s">
        <v>13159</v>
      </c>
      <c r="PUQ5" s="12" t="s">
        <v>13160</v>
      </c>
      <c r="PUR5" s="12" t="s">
        <v>13161</v>
      </c>
      <c r="PUS5" s="12" t="s">
        <v>13162</v>
      </c>
      <c r="PUT5" s="12" t="s">
        <v>13163</v>
      </c>
      <c r="PUU5" s="12" t="s">
        <v>13164</v>
      </c>
      <c r="PUV5" s="12" t="s">
        <v>13165</v>
      </c>
      <c r="PUW5" s="12" t="s">
        <v>13166</v>
      </c>
      <c r="PUX5" s="12" t="s">
        <v>13167</v>
      </c>
      <c r="PUY5" s="12" t="s">
        <v>13168</v>
      </c>
      <c r="PUZ5" s="12" t="s">
        <v>13169</v>
      </c>
      <c r="PVA5" s="12" t="s">
        <v>13170</v>
      </c>
      <c r="PVB5" s="12" t="s">
        <v>13171</v>
      </c>
      <c r="PVC5" s="12" t="s">
        <v>13172</v>
      </c>
      <c r="PVD5" s="12" t="s">
        <v>13173</v>
      </c>
      <c r="PVE5" s="12" t="s">
        <v>13174</v>
      </c>
      <c r="PVF5" s="12" t="s">
        <v>13175</v>
      </c>
      <c r="PVG5" s="12" t="s">
        <v>13176</v>
      </c>
      <c r="PVH5" s="12" t="s">
        <v>13177</v>
      </c>
      <c r="PVI5" s="12" t="s">
        <v>13178</v>
      </c>
      <c r="PVJ5" s="12" t="s">
        <v>13179</v>
      </c>
      <c r="PVK5" s="12" t="s">
        <v>13180</v>
      </c>
      <c r="PVL5" s="12" t="s">
        <v>13181</v>
      </c>
      <c r="PVM5" s="12" t="s">
        <v>13182</v>
      </c>
      <c r="PVN5" s="12" t="s">
        <v>13183</v>
      </c>
      <c r="PVO5" s="12" t="s">
        <v>13184</v>
      </c>
      <c r="PVP5" s="12" t="s">
        <v>13185</v>
      </c>
      <c r="PVQ5" s="12" t="s">
        <v>13186</v>
      </c>
      <c r="PVR5" s="12" t="s">
        <v>13187</v>
      </c>
      <c r="PVS5" s="12" t="s">
        <v>13188</v>
      </c>
      <c r="PVT5" s="12" t="s">
        <v>13189</v>
      </c>
      <c r="PVU5" s="12" t="s">
        <v>13190</v>
      </c>
      <c r="PVV5" s="12" t="s">
        <v>13191</v>
      </c>
      <c r="PVW5" s="12" t="s">
        <v>13192</v>
      </c>
      <c r="PVX5" s="12" t="s">
        <v>13193</v>
      </c>
      <c r="PVY5" s="12" t="s">
        <v>13194</v>
      </c>
      <c r="PVZ5" s="12" t="s">
        <v>13195</v>
      </c>
      <c r="PWA5" s="12" t="s">
        <v>13196</v>
      </c>
      <c r="PWB5" s="12" t="s">
        <v>13197</v>
      </c>
      <c r="PWC5" s="12" t="s">
        <v>13198</v>
      </c>
      <c r="PWD5" s="12" t="s">
        <v>13199</v>
      </c>
      <c r="PWE5" s="12" t="s">
        <v>13200</v>
      </c>
      <c r="PWF5" s="12" t="s">
        <v>13201</v>
      </c>
      <c r="PWG5" s="12" t="s">
        <v>13202</v>
      </c>
      <c r="PWH5" s="12" t="s">
        <v>13203</v>
      </c>
      <c r="PWI5" s="12" t="s">
        <v>13204</v>
      </c>
      <c r="PWJ5" s="12" t="s">
        <v>13205</v>
      </c>
      <c r="PWK5" s="12" t="s">
        <v>13206</v>
      </c>
      <c r="PWL5" s="12" t="s">
        <v>13207</v>
      </c>
      <c r="PWM5" s="12" t="s">
        <v>13208</v>
      </c>
      <c r="PWN5" s="12" t="s">
        <v>13209</v>
      </c>
      <c r="PWO5" s="12" t="s">
        <v>13210</v>
      </c>
      <c r="PWP5" s="12" t="s">
        <v>13211</v>
      </c>
      <c r="PWQ5" s="12" t="s">
        <v>13212</v>
      </c>
      <c r="PWR5" s="12" t="s">
        <v>13213</v>
      </c>
      <c r="PWS5" s="12" t="s">
        <v>13214</v>
      </c>
      <c r="PWT5" s="12" t="s">
        <v>13215</v>
      </c>
      <c r="PWU5" s="12" t="s">
        <v>13216</v>
      </c>
      <c r="PWV5" s="12" t="s">
        <v>13217</v>
      </c>
      <c r="PWW5" s="12" t="s">
        <v>13218</v>
      </c>
      <c r="PWX5" s="12" t="s">
        <v>13219</v>
      </c>
      <c r="PWY5" s="12" t="s">
        <v>13220</v>
      </c>
      <c r="PWZ5" s="12" t="s">
        <v>13221</v>
      </c>
      <c r="PXA5" s="12" t="s">
        <v>13222</v>
      </c>
      <c r="PXB5" s="12" t="s">
        <v>13223</v>
      </c>
      <c r="PXC5" s="12" t="s">
        <v>13224</v>
      </c>
      <c r="PXD5" s="12" t="s">
        <v>13225</v>
      </c>
      <c r="PXE5" s="12" t="s">
        <v>13226</v>
      </c>
      <c r="PXF5" s="12" t="s">
        <v>13227</v>
      </c>
      <c r="PXG5" s="12" t="s">
        <v>13228</v>
      </c>
      <c r="PXH5" s="12" t="s">
        <v>13229</v>
      </c>
      <c r="PXI5" s="12" t="s">
        <v>13230</v>
      </c>
      <c r="PXJ5" s="12" t="s">
        <v>13231</v>
      </c>
      <c r="PXK5" s="12" t="s">
        <v>13232</v>
      </c>
      <c r="PXL5" s="12" t="s">
        <v>13233</v>
      </c>
      <c r="PXM5" s="12" t="s">
        <v>13234</v>
      </c>
      <c r="PXN5" s="12" t="s">
        <v>13235</v>
      </c>
      <c r="PXO5" s="12" t="s">
        <v>13236</v>
      </c>
      <c r="PXP5" s="12" t="s">
        <v>13237</v>
      </c>
      <c r="PXQ5" s="12" t="s">
        <v>13238</v>
      </c>
      <c r="PXR5" s="12" t="s">
        <v>13239</v>
      </c>
      <c r="PXS5" s="12" t="s">
        <v>13240</v>
      </c>
      <c r="PXT5" s="12" t="s">
        <v>13241</v>
      </c>
      <c r="PXU5" s="12" t="s">
        <v>13242</v>
      </c>
      <c r="PXV5" s="12" t="s">
        <v>13243</v>
      </c>
      <c r="PXW5" s="12" t="s">
        <v>13244</v>
      </c>
      <c r="PXX5" s="12" t="s">
        <v>13245</v>
      </c>
      <c r="PXY5" s="12" t="s">
        <v>13246</v>
      </c>
      <c r="PXZ5" s="12" t="s">
        <v>13247</v>
      </c>
      <c r="PYA5" s="12" t="s">
        <v>13248</v>
      </c>
      <c r="PYB5" s="12" t="s">
        <v>13249</v>
      </c>
      <c r="PYC5" s="12" t="s">
        <v>13250</v>
      </c>
      <c r="PYD5" s="12" t="s">
        <v>13251</v>
      </c>
      <c r="PYE5" s="12" t="s">
        <v>13252</v>
      </c>
      <c r="PYF5" s="12" t="s">
        <v>13253</v>
      </c>
      <c r="PYG5" s="12" t="s">
        <v>13254</v>
      </c>
      <c r="PYH5" s="12" t="s">
        <v>13255</v>
      </c>
      <c r="PYI5" s="12" t="s">
        <v>13256</v>
      </c>
      <c r="PYJ5" s="12" t="s">
        <v>13257</v>
      </c>
      <c r="PYK5" s="12" t="s">
        <v>13258</v>
      </c>
      <c r="PYL5" s="12" t="s">
        <v>13259</v>
      </c>
      <c r="PYM5" s="12" t="s">
        <v>13260</v>
      </c>
      <c r="PYN5" s="12" t="s">
        <v>13261</v>
      </c>
      <c r="PYO5" s="12" t="s">
        <v>13262</v>
      </c>
      <c r="PYP5" s="12" t="s">
        <v>13263</v>
      </c>
      <c r="PYQ5" s="12" t="s">
        <v>13264</v>
      </c>
      <c r="PYR5" s="12" t="s">
        <v>13265</v>
      </c>
      <c r="PYS5" s="12" t="s">
        <v>13266</v>
      </c>
      <c r="PYT5" s="12" t="s">
        <v>13267</v>
      </c>
      <c r="PYU5" s="12" t="s">
        <v>13268</v>
      </c>
      <c r="PYV5" s="12" t="s">
        <v>13269</v>
      </c>
      <c r="PYW5" s="12" t="s">
        <v>13270</v>
      </c>
      <c r="PYX5" s="12" t="s">
        <v>13271</v>
      </c>
      <c r="PYY5" s="12" t="s">
        <v>13272</v>
      </c>
      <c r="PYZ5" s="12" t="s">
        <v>13273</v>
      </c>
      <c r="PZA5" s="12" t="s">
        <v>13274</v>
      </c>
      <c r="PZB5" s="12" t="s">
        <v>13275</v>
      </c>
      <c r="PZC5" s="12" t="s">
        <v>13276</v>
      </c>
      <c r="PZD5" s="12" t="s">
        <v>13277</v>
      </c>
      <c r="PZE5" s="12" t="s">
        <v>13278</v>
      </c>
      <c r="PZF5" s="12" t="s">
        <v>13279</v>
      </c>
      <c r="PZG5" s="12" t="s">
        <v>13280</v>
      </c>
      <c r="PZH5" s="12" t="s">
        <v>13281</v>
      </c>
      <c r="PZI5" s="12" t="s">
        <v>13282</v>
      </c>
      <c r="PZJ5" s="12" t="s">
        <v>13283</v>
      </c>
      <c r="PZK5" s="12" t="s">
        <v>13284</v>
      </c>
      <c r="PZL5" s="12" t="s">
        <v>13285</v>
      </c>
      <c r="PZM5" s="12" t="s">
        <v>13286</v>
      </c>
      <c r="PZN5" s="12" t="s">
        <v>13287</v>
      </c>
      <c r="PZO5" s="12" t="s">
        <v>13288</v>
      </c>
      <c r="PZP5" s="12" t="s">
        <v>13289</v>
      </c>
      <c r="PZQ5" s="12" t="s">
        <v>13290</v>
      </c>
      <c r="PZR5" s="12" t="s">
        <v>13291</v>
      </c>
      <c r="PZS5" s="12" t="s">
        <v>13292</v>
      </c>
      <c r="PZT5" s="12" t="s">
        <v>13293</v>
      </c>
      <c r="PZU5" s="12" t="s">
        <v>13294</v>
      </c>
      <c r="PZV5" s="12" t="s">
        <v>13295</v>
      </c>
      <c r="PZW5" s="12" t="s">
        <v>13296</v>
      </c>
      <c r="PZX5" s="12" t="s">
        <v>13297</v>
      </c>
      <c r="PZY5" s="12" t="s">
        <v>13298</v>
      </c>
      <c r="PZZ5" s="12" t="s">
        <v>13299</v>
      </c>
      <c r="QAA5" s="12" t="s">
        <v>13300</v>
      </c>
      <c r="QAB5" s="12" t="s">
        <v>13301</v>
      </c>
      <c r="QAC5" s="12" t="s">
        <v>13302</v>
      </c>
      <c r="QAD5" s="12" t="s">
        <v>13303</v>
      </c>
      <c r="QAE5" s="12" t="s">
        <v>13304</v>
      </c>
      <c r="QAF5" s="12" t="s">
        <v>13305</v>
      </c>
      <c r="QAG5" s="12" t="s">
        <v>13306</v>
      </c>
      <c r="QAH5" s="12" t="s">
        <v>13307</v>
      </c>
      <c r="QAI5" s="12" t="s">
        <v>13308</v>
      </c>
      <c r="QAJ5" s="12" t="s">
        <v>13309</v>
      </c>
      <c r="QAK5" s="12" t="s">
        <v>13310</v>
      </c>
      <c r="QAL5" s="12" t="s">
        <v>13311</v>
      </c>
      <c r="QAM5" s="12" t="s">
        <v>13312</v>
      </c>
      <c r="QAN5" s="12" t="s">
        <v>13313</v>
      </c>
      <c r="QAO5" s="12" t="s">
        <v>13314</v>
      </c>
      <c r="QAP5" s="12" t="s">
        <v>13315</v>
      </c>
      <c r="QAQ5" s="12" t="s">
        <v>13316</v>
      </c>
      <c r="QAR5" s="12" t="s">
        <v>13317</v>
      </c>
      <c r="QAS5" s="12" t="s">
        <v>13318</v>
      </c>
      <c r="QAT5" s="12" t="s">
        <v>13319</v>
      </c>
      <c r="QAU5" s="12" t="s">
        <v>13320</v>
      </c>
      <c r="QAV5" s="12" t="s">
        <v>13321</v>
      </c>
      <c r="QAW5" s="12" t="s">
        <v>13322</v>
      </c>
      <c r="QAX5" s="12" t="s">
        <v>13323</v>
      </c>
      <c r="QAY5" s="12" t="s">
        <v>13324</v>
      </c>
      <c r="QAZ5" s="12" t="s">
        <v>13325</v>
      </c>
      <c r="QBA5" s="12" t="s">
        <v>13326</v>
      </c>
      <c r="QBB5" s="12" t="s">
        <v>13327</v>
      </c>
      <c r="QBC5" s="12" t="s">
        <v>13328</v>
      </c>
      <c r="QBD5" s="12" t="s">
        <v>13329</v>
      </c>
      <c r="QBE5" s="12" t="s">
        <v>13330</v>
      </c>
      <c r="QBF5" s="12" t="s">
        <v>13331</v>
      </c>
      <c r="QBG5" s="12" t="s">
        <v>13332</v>
      </c>
      <c r="QBH5" s="12" t="s">
        <v>13333</v>
      </c>
      <c r="QBI5" s="12" t="s">
        <v>13334</v>
      </c>
      <c r="QBJ5" s="12" t="s">
        <v>13335</v>
      </c>
      <c r="QBK5" s="12" t="s">
        <v>13336</v>
      </c>
      <c r="QBL5" s="12" t="s">
        <v>13337</v>
      </c>
      <c r="QBM5" s="12" t="s">
        <v>13338</v>
      </c>
      <c r="QBN5" s="12" t="s">
        <v>13339</v>
      </c>
      <c r="QBO5" s="12" t="s">
        <v>13340</v>
      </c>
      <c r="QBP5" s="12" t="s">
        <v>13341</v>
      </c>
      <c r="QBQ5" s="12" t="s">
        <v>13342</v>
      </c>
      <c r="QBR5" s="12" t="s">
        <v>13343</v>
      </c>
      <c r="QBS5" s="12" t="s">
        <v>13344</v>
      </c>
      <c r="QBT5" s="12" t="s">
        <v>13345</v>
      </c>
      <c r="QBU5" s="12" t="s">
        <v>13346</v>
      </c>
      <c r="QBV5" s="12" t="s">
        <v>13347</v>
      </c>
      <c r="QBW5" s="12" t="s">
        <v>13348</v>
      </c>
      <c r="QBX5" s="12" t="s">
        <v>13349</v>
      </c>
      <c r="QBY5" s="12" t="s">
        <v>13350</v>
      </c>
      <c r="QBZ5" s="12" t="s">
        <v>13351</v>
      </c>
      <c r="QCA5" s="12" t="s">
        <v>13352</v>
      </c>
      <c r="QCB5" s="12" t="s">
        <v>13353</v>
      </c>
      <c r="QCC5" s="12" t="s">
        <v>13354</v>
      </c>
      <c r="QCD5" s="12" t="s">
        <v>13355</v>
      </c>
      <c r="QCE5" s="12" t="s">
        <v>13356</v>
      </c>
      <c r="QCF5" s="12" t="s">
        <v>13357</v>
      </c>
      <c r="QCG5" s="12" t="s">
        <v>13358</v>
      </c>
      <c r="QCH5" s="12" t="s">
        <v>13359</v>
      </c>
      <c r="QCI5" s="12" t="s">
        <v>13360</v>
      </c>
      <c r="QCJ5" s="12" t="s">
        <v>13361</v>
      </c>
      <c r="QCK5" s="12" t="s">
        <v>13362</v>
      </c>
      <c r="QCL5" s="12" t="s">
        <v>13363</v>
      </c>
      <c r="QCM5" s="12" t="s">
        <v>13364</v>
      </c>
      <c r="QCN5" s="12" t="s">
        <v>13365</v>
      </c>
      <c r="QCO5" s="12" t="s">
        <v>13366</v>
      </c>
      <c r="QCP5" s="12" t="s">
        <v>13367</v>
      </c>
      <c r="QCQ5" s="12" t="s">
        <v>13368</v>
      </c>
      <c r="QCR5" s="12" t="s">
        <v>13369</v>
      </c>
      <c r="QCS5" s="12" t="s">
        <v>13370</v>
      </c>
      <c r="QCT5" s="12" t="s">
        <v>13371</v>
      </c>
      <c r="QCU5" s="12" t="s">
        <v>13372</v>
      </c>
      <c r="QCV5" s="12" t="s">
        <v>13373</v>
      </c>
      <c r="QCW5" s="12" t="s">
        <v>13374</v>
      </c>
      <c r="QCX5" s="12" t="s">
        <v>13375</v>
      </c>
      <c r="QCY5" s="12" t="s">
        <v>13376</v>
      </c>
      <c r="QCZ5" s="12" t="s">
        <v>13377</v>
      </c>
      <c r="QDA5" s="12" t="s">
        <v>13378</v>
      </c>
      <c r="QDB5" s="12" t="s">
        <v>13379</v>
      </c>
      <c r="QDC5" s="12" t="s">
        <v>13380</v>
      </c>
      <c r="QDD5" s="12" t="s">
        <v>13381</v>
      </c>
      <c r="QDE5" s="12" t="s">
        <v>13382</v>
      </c>
      <c r="QDF5" s="12" t="s">
        <v>13383</v>
      </c>
      <c r="QDG5" s="12" t="s">
        <v>13384</v>
      </c>
      <c r="QDH5" s="12" t="s">
        <v>13385</v>
      </c>
      <c r="QDI5" s="12" t="s">
        <v>13386</v>
      </c>
      <c r="QDJ5" s="12" t="s">
        <v>13387</v>
      </c>
      <c r="QDK5" s="12" t="s">
        <v>13388</v>
      </c>
      <c r="QDL5" s="12" t="s">
        <v>13389</v>
      </c>
      <c r="QDM5" s="12" t="s">
        <v>13390</v>
      </c>
      <c r="QDN5" s="12" t="s">
        <v>13391</v>
      </c>
      <c r="QDO5" s="12" t="s">
        <v>13392</v>
      </c>
      <c r="QDP5" s="12" t="s">
        <v>13393</v>
      </c>
      <c r="QDQ5" s="12" t="s">
        <v>13394</v>
      </c>
      <c r="QDR5" s="12" t="s">
        <v>13395</v>
      </c>
      <c r="QDS5" s="12" t="s">
        <v>13396</v>
      </c>
      <c r="QDT5" s="12" t="s">
        <v>13397</v>
      </c>
      <c r="QDU5" s="12" t="s">
        <v>13398</v>
      </c>
      <c r="QDV5" s="12" t="s">
        <v>13399</v>
      </c>
      <c r="QDW5" s="12" t="s">
        <v>13400</v>
      </c>
      <c r="QDX5" s="12" t="s">
        <v>13401</v>
      </c>
      <c r="QDY5" s="12" t="s">
        <v>13402</v>
      </c>
      <c r="QDZ5" s="12" t="s">
        <v>13403</v>
      </c>
      <c r="QEA5" s="12" t="s">
        <v>13404</v>
      </c>
      <c r="QEB5" s="12" t="s">
        <v>13405</v>
      </c>
      <c r="QEC5" s="12" t="s">
        <v>13406</v>
      </c>
      <c r="QED5" s="12" t="s">
        <v>13407</v>
      </c>
      <c r="QEE5" s="12" t="s">
        <v>13408</v>
      </c>
      <c r="QEF5" s="12" t="s">
        <v>13409</v>
      </c>
      <c r="QEG5" s="12" t="s">
        <v>13410</v>
      </c>
      <c r="QEH5" s="12" t="s">
        <v>13411</v>
      </c>
      <c r="QEI5" s="12" t="s">
        <v>13412</v>
      </c>
      <c r="QEJ5" s="12" t="s">
        <v>13413</v>
      </c>
      <c r="QEK5" s="12" t="s">
        <v>13414</v>
      </c>
      <c r="QEL5" s="12" t="s">
        <v>13415</v>
      </c>
      <c r="QEM5" s="12" t="s">
        <v>13416</v>
      </c>
      <c r="QEN5" s="12" t="s">
        <v>13417</v>
      </c>
      <c r="QEO5" s="12" t="s">
        <v>13418</v>
      </c>
      <c r="QEP5" s="12" t="s">
        <v>13419</v>
      </c>
      <c r="QEQ5" s="12" t="s">
        <v>13420</v>
      </c>
      <c r="QER5" s="12" t="s">
        <v>13421</v>
      </c>
      <c r="QES5" s="12" t="s">
        <v>13422</v>
      </c>
      <c r="QET5" s="12" t="s">
        <v>13423</v>
      </c>
      <c r="QEU5" s="12" t="s">
        <v>13424</v>
      </c>
      <c r="QEV5" s="12" t="s">
        <v>13425</v>
      </c>
      <c r="QEW5" s="12" t="s">
        <v>13426</v>
      </c>
      <c r="QEX5" s="12" t="s">
        <v>13427</v>
      </c>
      <c r="QEY5" s="12" t="s">
        <v>13428</v>
      </c>
      <c r="QEZ5" s="12" t="s">
        <v>13429</v>
      </c>
      <c r="QFA5" s="12" t="s">
        <v>13430</v>
      </c>
      <c r="QFB5" s="12" t="s">
        <v>13431</v>
      </c>
      <c r="QFC5" s="12" t="s">
        <v>13432</v>
      </c>
      <c r="QFD5" s="12" t="s">
        <v>13433</v>
      </c>
      <c r="QFE5" s="12" t="s">
        <v>13434</v>
      </c>
      <c r="QFF5" s="12" t="s">
        <v>13435</v>
      </c>
      <c r="QFG5" s="12" t="s">
        <v>13436</v>
      </c>
      <c r="QFH5" s="12" t="s">
        <v>13437</v>
      </c>
      <c r="QFI5" s="12" t="s">
        <v>13438</v>
      </c>
      <c r="QFJ5" s="12" t="s">
        <v>13439</v>
      </c>
      <c r="QFK5" s="12" t="s">
        <v>13440</v>
      </c>
      <c r="QFL5" s="12" t="s">
        <v>13441</v>
      </c>
      <c r="QFM5" s="12" t="s">
        <v>13442</v>
      </c>
      <c r="QFN5" s="12" t="s">
        <v>13443</v>
      </c>
      <c r="QFO5" s="12" t="s">
        <v>13444</v>
      </c>
      <c r="QFP5" s="12" t="s">
        <v>13445</v>
      </c>
      <c r="QFQ5" s="12" t="s">
        <v>13446</v>
      </c>
      <c r="QFR5" s="12" t="s">
        <v>13447</v>
      </c>
      <c r="QFS5" s="12" t="s">
        <v>13448</v>
      </c>
      <c r="QFT5" s="12" t="s">
        <v>13449</v>
      </c>
      <c r="QFU5" s="12" t="s">
        <v>13450</v>
      </c>
      <c r="QFV5" s="12" t="s">
        <v>13451</v>
      </c>
      <c r="QFW5" s="12" t="s">
        <v>13452</v>
      </c>
      <c r="QFX5" s="12" t="s">
        <v>13453</v>
      </c>
      <c r="QFY5" s="12" t="s">
        <v>13454</v>
      </c>
      <c r="QFZ5" s="12" t="s">
        <v>13455</v>
      </c>
      <c r="QGA5" s="12" t="s">
        <v>13456</v>
      </c>
      <c r="QGB5" s="12" t="s">
        <v>13457</v>
      </c>
      <c r="QGC5" s="12" t="s">
        <v>13458</v>
      </c>
      <c r="QGD5" s="12" t="s">
        <v>13459</v>
      </c>
      <c r="QGE5" s="12" t="s">
        <v>13460</v>
      </c>
      <c r="QGF5" s="12" t="s">
        <v>13461</v>
      </c>
      <c r="QGG5" s="12" t="s">
        <v>13462</v>
      </c>
      <c r="QGH5" s="12" t="s">
        <v>13463</v>
      </c>
      <c r="QGI5" s="12" t="s">
        <v>13464</v>
      </c>
      <c r="QGJ5" s="12" t="s">
        <v>13465</v>
      </c>
      <c r="QGK5" s="12" t="s">
        <v>13466</v>
      </c>
      <c r="QGL5" s="12" t="s">
        <v>13467</v>
      </c>
      <c r="QGM5" s="12" t="s">
        <v>13468</v>
      </c>
      <c r="QGN5" s="12" t="s">
        <v>13469</v>
      </c>
      <c r="QGO5" s="12" t="s">
        <v>13470</v>
      </c>
      <c r="QGP5" s="12" t="s">
        <v>13471</v>
      </c>
      <c r="QGQ5" s="12" t="s">
        <v>13472</v>
      </c>
      <c r="QGR5" s="12" t="s">
        <v>13473</v>
      </c>
      <c r="QGS5" s="12" t="s">
        <v>13474</v>
      </c>
      <c r="QGT5" s="12" t="s">
        <v>13475</v>
      </c>
      <c r="QGU5" s="12" t="s">
        <v>13476</v>
      </c>
      <c r="QGV5" s="12" t="s">
        <v>13477</v>
      </c>
      <c r="QGW5" s="12" t="s">
        <v>13478</v>
      </c>
      <c r="QGX5" s="12" t="s">
        <v>13479</v>
      </c>
      <c r="QGY5" s="12" t="s">
        <v>13480</v>
      </c>
      <c r="QGZ5" s="12" t="s">
        <v>13481</v>
      </c>
      <c r="QHA5" s="12" t="s">
        <v>13482</v>
      </c>
      <c r="QHB5" s="12" t="s">
        <v>13483</v>
      </c>
      <c r="QHC5" s="12" t="s">
        <v>13484</v>
      </c>
      <c r="QHD5" s="12" t="s">
        <v>13485</v>
      </c>
      <c r="QHE5" s="12" t="s">
        <v>13486</v>
      </c>
      <c r="QHF5" s="12" t="s">
        <v>13487</v>
      </c>
      <c r="QHG5" s="12" t="s">
        <v>13488</v>
      </c>
      <c r="QHH5" s="12" t="s">
        <v>13489</v>
      </c>
      <c r="QHI5" s="12" t="s">
        <v>13490</v>
      </c>
      <c r="QHJ5" s="12" t="s">
        <v>13491</v>
      </c>
      <c r="QHK5" s="12" t="s">
        <v>13492</v>
      </c>
      <c r="QHL5" s="12" t="s">
        <v>13493</v>
      </c>
      <c r="QHM5" s="12" t="s">
        <v>13494</v>
      </c>
      <c r="QHN5" s="12" t="s">
        <v>13495</v>
      </c>
      <c r="QHO5" s="12" t="s">
        <v>13496</v>
      </c>
      <c r="QHP5" s="12" t="s">
        <v>13497</v>
      </c>
      <c r="QHQ5" s="12" t="s">
        <v>13498</v>
      </c>
      <c r="QHR5" s="12" t="s">
        <v>13499</v>
      </c>
      <c r="QHS5" s="12" t="s">
        <v>13500</v>
      </c>
      <c r="QHT5" s="12" t="s">
        <v>13501</v>
      </c>
      <c r="QHU5" s="12" t="s">
        <v>13502</v>
      </c>
      <c r="QHV5" s="12" t="s">
        <v>13503</v>
      </c>
      <c r="QHW5" s="12" t="s">
        <v>13504</v>
      </c>
      <c r="QHX5" s="12" t="s">
        <v>13505</v>
      </c>
      <c r="QHY5" s="12" t="s">
        <v>13506</v>
      </c>
      <c r="QHZ5" s="12" t="s">
        <v>13507</v>
      </c>
      <c r="QIA5" s="12" t="s">
        <v>13508</v>
      </c>
      <c r="QIB5" s="12" t="s">
        <v>13509</v>
      </c>
      <c r="QIC5" s="12" t="s">
        <v>13510</v>
      </c>
      <c r="QID5" s="12" t="s">
        <v>13511</v>
      </c>
      <c r="QIE5" s="12" t="s">
        <v>13512</v>
      </c>
      <c r="QIF5" s="12" t="s">
        <v>13513</v>
      </c>
      <c r="QIG5" s="12" t="s">
        <v>13514</v>
      </c>
      <c r="QIH5" s="12" t="s">
        <v>13515</v>
      </c>
      <c r="QII5" s="12" t="s">
        <v>13516</v>
      </c>
      <c r="QIJ5" s="12" t="s">
        <v>13517</v>
      </c>
      <c r="QIK5" s="12" t="s">
        <v>13518</v>
      </c>
      <c r="QIL5" s="12" t="s">
        <v>13519</v>
      </c>
      <c r="QIM5" s="12" t="s">
        <v>13520</v>
      </c>
      <c r="QIN5" s="12" t="s">
        <v>13521</v>
      </c>
      <c r="QIO5" s="12" t="s">
        <v>13522</v>
      </c>
      <c r="QIP5" s="12" t="s">
        <v>13523</v>
      </c>
      <c r="QIQ5" s="12" t="s">
        <v>13524</v>
      </c>
      <c r="QIR5" s="12" t="s">
        <v>13525</v>
      </c>
      <c r="QIS5" s="12" t="s">
        <v>13526</v>
      </c>
      <c r="QIT5" s="12" t="s">
        <v>13527</v>
      </c>
      <c r="QIU5" s="12" t="s">
        <v>13528</v>
      </c>
      <c r="QIV5" s="12" t="s">
        <v>13529</v>
      </c>
      <c r="QIW5" s="12" t="s">
        <v>13530</v>
      </c>
      <c r="QIX5" s="12" t="s">
        <v>13531</v>
      </c>
      <c r="QIY5" s="12" t="s">
        <v>13532</v>
      </c>
      <c r="QIZ5" s="12" t="s">
        <v>13533</v>
      </c>
      <c r="QJA5" s="12" t="s">
        <v>13534</v>
      </c>
      <c r="QJB5" s="12" t="s">
        <v>13535</v>
      </c>
      <c r="QJC5" s="12" t="s">
        <v>13536</v>
      </c>
      <c r="QJD5" s="12" t="s">
        <v>13537</v>
      </c>
      <c r="QJE5" s="12" t="s">
        <v>13538</v>
      </c>
      <c r="QJF5" s="12" t="s">
        <v>13539</v>
      </c>
      <c r="QJG5" s="12" t="s">
        <v>13540</v>
      </c>
      <c r="QJH5" s="12" t="s">
        <v>13541</v>
      </c>
      <c r="QJI5" s="12" t="s">
        <v>13542</v>
      </c>
      <c r="QJJ5" s="12" t="s">
        <v>13543</v>
      </c>
      <c r="QJK5" s="12" t="s">
        <v>13544</v>
      </c>
      <c r="QJL5" s="12" t="s">
        <v>13545</v>
      </c>
      <c r="QJM5" s="12" t="s">
        <v>13546</v>
      </c>
      <c r="QJN5" s="12" t="s">
        <v>13547</v>
      </c>
      <c r="QJO5" s="12" t="s">
        <v>13548</v>
      </c>
      <c r="QJP5" s="12" t="s">
        <v>13549</v>
      </c>
      <c r="QJQ5" s="12" t="s">
        <v>13550</v>
      </c>
      <c r="QJR5" s="12" t="s">
        <v>13551</v>
      </c>
      <c r="QJS5" s="12" t="s">
        <v>13552</v>
      </c>
      <c r="QJT5" s="12" t="s">
        <v>13553</v>
      </c>
      <c r="QJU5" s="12" t="s">
        <v>13554</v>
      </c>
      <c r="QJV5" s="12" t="s">
        <v>13555</v>
      </c>
      <c r="QJW5" s="12" t="s">
        <v>13556</v>
      </c>
      <c r="QJX5" s="12" t="s">
        <v>13557</v>
      </c>
      <c r="QJY5" s="12" t="s">
        <v>13558</v>
      </c>
      <c r="QJZ5" s="12" t="s">
        <v>13559</v>
      </c>
      <c r="QKA5" s="12" t="s">
        <v>13560</v>
      </c>
      <c r="QKB5" s="12" t="s">
        <v>13561</v>
      </c>
      <c r="QKC5" s="12" t="s">
        <v>13562</v>
      </c>
      <c r="QKD5" s="12" t="s">
        <v>13563</v>
      </c>
      <c r="QKE5" s="12" t="s">
        <v>13564</v>
      </c>
      <c r="QKF5" s="12" t="s">
        <v>13565</v>
      </c>
      <c r="QKG5" s="12" t="s">
        <v>13566</v>
      </c>
      <c r="QKH5" s="12" t="s">
        <v>13567</v>
      </c>
      <c r="QKI5" s="12" t="s">
        <v>13568</v>
      </c>
      <c r="QKJ5" s="12" t="s">
        <v>13569</v>
      </c>
      <c r="QKK5" s="12" t="s">
        <v>13570</v>
      </c>
      <c r="QKL5" s="12" t="s">
        <v>13571</v>
      </c>
      <c r="QKM5" s="12" t="s">
        <v>13572</v>
      </c>
      <c r="QKN5" s="12" t="s">
        <v>13573</v>
      </c>
      <c r="QKO5" s="12" t="s">
        <v>13574</v>
      </c>
      <c r="QKP5" s="12" t="s">
        <v>13575</v>
      </c>
      <c r="QKQ5" s="12" t="s">
        <v>13576</v>
      </c>
      <c r="QKR5" s="12" t="s">
        <v>13577</v>
      </c>
      <c r="QKS5" s="12" t="s">
        <v>13578</v>
      </c>
      <c r="QKT5" s="12" t="s">
        <v>13579</v>
      </c>
      <c r="QKU5" s="12" t="s">
        <v>13580</v>
      </c>
      <c r="QKV5" s="12" t="s">
        <v>13581</v>
      </c>
      <c r="QKW5" s="12" t="s">
        <v>13582</v>
      </c>
      <c r="QKX5" s="12" t="s">
        <v>13583</v>
      </c>
      <c r="QKY5" s="12" t="s">
        <v>13584</v>
      </c>
      <c r="QKZ5" s="12" t="s">
        <v>13585</v>
      </c>
      <c r="QLA5" s="12" t="s">
        <v>13586</v>
      </c>
      <c r="QLB5" s="12" t="s">
        <v>13587</v>
      </c>
      <c r="QLC5" s="12" t="s">
        <v>13588</v>
      </c>
      <c r="QLD5" s="12" t="s">
        <v>13589</v>
      </c>
      <c r="QLE5" s="12" t="s">
        <v>13590</v>
      </c>
      <c r="QLF5" s="12" t="s">
        <v>13591</v>
      </c>
      <c r="QLG5" s="12" t="s">
        <v>13592</v>
      </c>
      <c r="QLH5" s="12" t="s">
        <v>13593</v>
      </c>
      <c r="QLI5" s="12" t="s">
        <v>13594</v>
      </c>
      <c r="QLJ5" s="12" t="s">
        <v>13595</v>
      </c>
      <c r="QLK5" s="12" t="s">
        <v>13596</v>
      </c>
      <c r="QLL5" s="12" t="s">
        <v>13597</v>
      </c>
      <c r="QLM5" s="12" t="s">
        <v>13598</v>
      </c>
      <c r="QLN5" s="12" t="s">
        <v>13599</v>
      </c>
      <c r="QLO5" s="12" t="s">
        <v>13600</v>
      </c>
      <c r="QLP5" s="12" t="s">
        <v>13601</v>
      </c>
      <c r="QLQ5" s="12" t="s">
        <v>13602</v>
      </c>
      <c r="QLR5" s="12" t="s">
        <v>13603</v>
      </c>
      <c r="QLS5" s="12" t="s">
        <v>13604</v>
      </c>
      <c r="QLT5" s="12" t="s">
        <v>13605</v>
      </c>
      <c r="QLU5" s="12" t="s">
        <v>13606</v>
      </c>
      <c r="QLV5" s="12" t="s">
        <v>13607</v>
      </c>
      <c r="QLW5" s="12" t="s">
        <v>13608</v>
      </c>
      <c r="QLX5" s="12" t="s">
        <v>13609</v>
      </c>
      <c r="QLY5" s="12" t="s">
        <v>13610</v>
      </c>
      <c r="QLZ5" s="12" t="s">
        <v>13611</v>
      </c>
      <c r="QMA5" s="12" t="s">
        <v>13612</v>
      </c>
      <c r="QMB5" s="12" t="s">
        <v>13613</v>
      </c>
      <c r="QMC5" s="12" t="s">
        <v>13614</v>
      </c>
      <c r="QMD5" s="12" t="s">
        <v>13615</v>
      </c>
      <c r="QME5" s="12" t="s">
        <v>13616</v>
      </c>
      <c r="QMF5" s="12" t="s">
        <v>13617</v>
      </c>
      <c r="QMG5" s="12" t="s">
        <v>13618</v>
      </c>
      <c r="QMH5" s="12" t="s">
        <v>13619</v>
      </c>
      <c r="QMI5" s="12" t="s">
        <v>13620</v>
      </c>
      <c r="QMJ5" s="12" t="s">
        <v>13621</v>
      </c>
      <c r="QMK5" s="12" t="s">
        <v>13622</v>
      </c>
      <c r="QML5" s="12" t="s">
        <v>13623</v>
      </c>
      <c r="QMM5" s="12" t="s">
        <v>13624</v>
      </c>
      <c r="QMN5" s="12" t="s">
        <v>13625</v>
      </c>
      <c r="QMO5" s="12" t="s">
        <v>13626</v>
      </c>
      <c r="QMP5" s="12" t="s">
        <v>13627</v>
      </c>
      <c r="QMQ5" s="12" t="s">
        <v>13628</v>
      </c>
      <c r="QMR5" s="12" t="s">
        <v>13629</v>
      </c>
      <c r="QMS5" s="12" t="s">
        <v>13630</v>
      </c>
      <c r="QMT5" s="12" t="s">
        <v>13631</v>
      </c>
      <c r="QMU5" s="12" t="s">
        <v>13632</v>
      </c>
      <c r="QMV5" s="12" t="s">
        <v>13633</v>
      </c>
      <c r="QMW5" s="12" t="s">
        <v>13634</v>
      </c>
      <c r="QMX5" s="12" t="s">
        <v>13635</v>
      </c>
      <c r="QMY5" s="12" t="s">
        <v>13636</v>
      </c>
      <c r="QMZ5" s="12" t="s">
        <v>13637</v>
      </c>
      <c r="QNA5" s="12" t="s">
        <v>13638</v>
      </c>
      <c r="QNB5" s="12" t="s">
        <v>13639</v>
      </c>
      <c r="QNC5" s="12" t="s">
        <v>13640</v>
      </c>
      <c r="QND5" s="12" t="s">
        <v>13641</v>
      </c>
      <c r="QNE5" s="12" t="s">
        <v>13642</v>
      </c>
      <c r="QNF5" s="12" t="s">
        <v>13643</v>
      </c>
      <c r="QNG5" s="12" t="s">
        <v>13644</v>
      </c>
      <c r="QNH5" s="12" t="s">
        <v>13645</v>
      </c>
      <c r="QNI5" s="12" t="s">
        <v>13646</v>
      </c>
      <c r="QNJ5" s="12" t="s">
        <v>13647</v>
      </c>
      <c r="QNK5" s="12" t="s">
        <v>13648</v>
      </c>
      <c r="QNL5" s="12" t="s">
        <v>13649</v>
      </c>
      <c r="QNM5" s="12" t="s">
        <v>13650</v>
      </c>
      <c r="QNN5" s="12" t="s">
        <v>13651</v>
      </c>
      <c r="QNO5" s="12" t="s">
        <v>13652</v>
      </c>
      <c r="QNP5" s="12" t="s">
        <v>13653</v>
      </c>
      <c r="QNQ5" s="12" t="s">
        <v>13654</v>
      </c>
      <c r="QNR5" s="12" t="s">
        <v>13655</v>
      </c>
      <c r="QNS5" s="12" t="s">
        <v>13656</v>
      </c>
      <c r="QNT5" s="12" t="s">
        <v>13657</v>
      </c>
      <c r="QNU5" s="12" t="s">
        <v>13658</v>
      </c>
      <c r="QNV5" s="12" t="s">
        <v>13659</v>
      </c>
      <c r="QNW5" s="12" t="s">
        <v>13660</v>
      </c>
      <c r="QNX5" s="12" t="s">
        <v>13661</v>
      </c>
      <c r="QNY5" s="12" t="s">
        <v>13662</v>
      </c>
      <c r="QNZ5" s="12" t="s">
        <v>13663</v>
      </c>
      <c r="QOA5" s="12" t="s">
        <v>13664</v>
      </c>
      <c r="QOB5" s="12" t="s">
        <v>13665</v>
      </c>
      <c r="QOC5" s="12" t="s">
        <v>13666</v>
      </c>
      <c r="QOD5" s="12" t="s">
        <v>13667</v>
      </c>
      <c r="QOE5" s="12" t="s">
        <v>13668</v>
      </c>
      <c r="QOF5" s="12" t="s">
        <v>13669</v>
      </c>
      <c r="QOG5" s="12" t="s">
        <v>13670</v>
      </c>
      <c r="QOH5" s="12" t="s">
        <v>13671</v>
      </c>
      <c r="QOI5" s="12" t="s">
        <v>13672</v>
      </c>
      <c r="QOJ5" s="12" t="s">
        <v>13673</v>
      </c>
      <c r="QOK5" s="12" t="s">
        <v>13674</v>
      </c>
      <c r="QOL5" s="12" t="s">
        <v>13675</v>
      </c>
      <c r="QOM5" s="12" t="s">
        <v>13676</v>
      </c>
      <c r="QON5" s="12" t="s">
        <v>13677</v>
      </c>
      <c r="QOO5" s="12" t="s">
        <v>13678</v>
      </c>
      <c r="QOP5" s="12" t="s">
        <v>13679</v>
      </c>
      <c r="QOQ5" s="12" t="s">
        <v>13680</v>
      </c>
      <c r="QOR5" s="12" t="s">
        <v>13681</v>
      </c>
      <c r="QOS5" s="12" t="s">
        <v>13682</v>
      </c>
      <c r="QOT5" s="12" t="s">
        <v>13683</v>
      </c>
      <c r="QOU5" s="12" t="s">
        <v>13684</v>
      </c>
      <c r="QOV5" s="12" t="s">
        <v>13685</v>
      </c>
      <c r="QOW5" s="12" t="s">
        <v>13686</v>
      </c>
      <c r="QOX5" s="12" t="s">
        <v>13687</v>
      </c>
      <c r="QOY5" s="12" t="s">
        <v>13688</v>
      </c>
      <c r="QOZ5" s="12" t="s">
        <v>13689</v>
      </c>
      <c r="QPA5" s="12" t="s">
        <v>13690</v>
      </c>
      <c r="QPB5" s="12" t="s">
        <v>13691</v>
      </c>
      <c r="QPC5" s="12" t="s">
        <v>13692</v>
      </c>
      <c r="QPD5" s="12" t="s">
        <v>13693</v>
      </c>
      <c r="QPE5" s="12" t="s">
        <v>13694</v>
      </c>
      <c r="QPF5" s="12" t="s">
        <v>13695</v>
      </c>
      <c r="QPG5" s="12" t="s">
        <v>13696</v>
      </c>
      <c r="QPH5" s="12" t="s">
        <v>13697</v>
      </c>
      <c r="QPI5" s="12" t="s">
        <v>13698</v>
      </c>
      <c r="QPJ5" s="12" t="s">
        <v>13699</v>
      </c>
      <c r="QPK5" s="12" t="s">
        <v>13700</v>
      </c>
      <c r="QPL5" s="12" t="s">
        <v>13701</v>
      </c>
      <c r="QPM5" s="12" t="s">
        <v>13702</v>
      </c>
      <c r="QPN5" s="12" t="s">
        <v>13703</v>
      </c>
      <c r="QPO5" s="12" t="s">
        <v>13704</v>
      </c>
      <c r="QPP5" s="12" t="s">
        <v>13705</v>
      </c>
      <c r="QPQ5" s="12" t="s">
        <v>13706</v>
      </c>
      <c r="QPR5" s="12" t="s">
        <v>13707</v>
      </c>
      <c r="QPS5" s="12" t="s">
        <v>13708</v>
      </c>
      <c r="QPT5" s="12" t="s">
        <v>13709</v>
      </c>
      <c r="QPU5" s="12" t="s">
        <v>13710</v>
      </c>
      <c r="QPV5" s="12" t="s">
        <v>13711</v>
      </c>
      <c r="QPW5" s="12" t="s">
        <v>13712</v>
      </c>
      <c r="QPX5" s="12" t="s">
        <v>13713</v>
      </c>
      <c r="QPY5" s="12" t="s">
        <v>13714</v>
      </c>
      <c r="QPZ5" s="12" t="s">
        <v>13715</v>
      </c>
      <c r="QQA5" s="12" t="s">
        <v>13716</v>
      </c>
      <c r="QQB5" s="12" t="s">
        <v>13717</v>
      </c>
      <c r="QQC5" s="12" t="s">
        <v>13718</v>
      </c>
      <c r="QQD5" s="12" t="s">
        <v>13719</v>
      </c>
      <c r="QQE5" s="12" t="s">
        <v>13720</v>
      </c>
      <c r="QQF5" s="12" t="s">
        <v>13721</v>
      </c>
      <c r="QQG5" s="12" t="s">
        <v>13722</v>
      </c>
      <c r="QQH5" s="12" t="s">
        <v>13723</v>
      </c>
      <c r="QQI5" s="12" t="s">
        <v>13724</v>
      </c>
      <c r="QQJ5" s="12" t="s">
        <v>13725</v>
      </c>
      <c r="QQK5" s="12" t="s">
        <v>13726</v>
      </c>
      <c r="QQL5" s="12" t="s">
        <v>13727</v>
      </c>
      <c r="QQM5" s="12" t="s">
        <v>13728</v>
      </c>
      <c r="QQN5" s="12" t="s">
        <v>13729</v>
      </c>
      <c r="QQO5" s="12" t="s">
        <v>13730</v>
      </c>
      <c r="QQP5" s="12" t="s">
        <v>13731</v>
      </c>
      <c r="QQQ5" s="12" t="s">
        <v>13732</v>
      </c>
      <c r="QQR5" s="12" t="s">
        <v>13733</v>
      </c>
      <c r="QQS5" s="12" t="s">
        <v>13734</v>
      </c>
      <c r="QQT5" s="12" t="s">
        <v>13735</v>
      </c>
      <c r="QQU5" s="12" t="s">
        <v>13736</v>
      </c>
      <c r="QQV5" s="12" t="s">
        <v>13737</v>
      </c>
      <c r="QQW5" s="12" t="s">
        <v>13738</v>
      </c>
      <c r="QQX5" s="12" t="s">
        <v>13739</v>
      </c>
      <c r="QQY5" s="12" t="s">
        <v>13740</v>
      </c>
      <c r="QQZ5" s="12" t="s">
        <v>13741</v>
      </c>
      <c r="QRA5" s="12" t="s">
        <v>13742</v>
      </c>
      <c r="QRB5" s="12" t="s">
        <v>13743</v>
      </c>
      <c r="QRC5" s="12" t="s">
        <v>13744</v>
      </c>
      <c r="QRD5" s="12" t="s">
        <v>13745</v>
      </c>
      <c r="QRE5" s="12" t="s">
        <v>13746</v>
      </c>
      <c r="QRF5" s="12" t="s">
        <v>13747</v>
      </c>
      <c r="QRG5" s="12" t="s">
        <v>13748</v>
      </c>
      <c r="QRH5" s="12" t="s">
        <v>13749</v>
      </c>
      <c r="QRI5" s="12" t="s">
        <v>13750</v>
      </c>
      <c r="QRJ5" s="12" t="s">
        <v>13751</v>
      </c>
      <c r="QRK5" s="12" t="s">
        <v>13752</v>
      </c>
      <c r="QRL5" s="12" t="s">
        <v>13753</v>
      </c>
      <c r="QRM5" s="12" t="s">
        <v>13754</v>
      </c>
      <c r="QRN5" s="12" t="s">
        <v>13755</v>
      </c>
      <c r="QRO5" s="12" t="s">
        <v>13756</v>
      </c>
      <c r="QRP5" s="12" t="s">
        <v>13757</v>
      </c>
      <c r="QRQ5" s="12" t="s">
        <v>13758</v>
      </c>
      <c r="QRR5" s="12" t="s">
        <v>13759</v>
      </c>
      <c r="QRS5" s="12" t="s">
        <v>13760</v>
      </c>
      <c r="QRT5" s="12" t="s">
        <v>13761</v>
      </c>
      <c r="QRU5" s="12" t="s">
        <v>13762</v>
      </c>
      <c r="QRV5" s="12" t="s">
        <v>13763</v>
      </c>
      <c r="QRW5" s="12" t="s">
        <v>13764</v>
      </c>
      <c r="QRX5" s="12" t="s">
        <v>13765</v>
      </c>
      <c r="QRY5" s="12" t="s">
        <v>13766</v>
      </c>
      <c r="QRZ5" s="12" t="s">
        <v>13767</v>
      </c>
      <c r="QSA5" s="12" t="s">
        <v>13768</v>
      </c>
      <c r="QSB5" s="12" t="s">
        <v>13769</v>
      </c>
      <c r="QSC5" s="12" t="s">
        <v>13770</v>
      </c>
      <c r="QSD5" s="12" t="s">
        <v>13771</v>
      </c>
      <c r="QSE5" s="12" t="s">
        <v>13772</v>
      </c>
      <c r="QSF5" s="12" t="s">
        <v>13773</v>
      </c>
      <c r="QSG5" s="12" t="s">
        <v>13774</v>
      </c>
      <c r="QSH5" s="12" t="s">
        <v>13775</v>
      </c>
      <c r="QSI5" s="12" t="s">
        <v>13776</v>
      </c>
      <c r="QSJ5" s="12" t="s">
        <v>13777</v>
      </c>
      <c r="QSK5" s="12" t="s">
        <v>13778</v>
      </c>
      <c r="QSL5" s="12" t="s">
        <v>13779</v>
      </c>
      <c r="QSM5" s="12" t="s">
        <v>13780</v>
      </c>
      <c r="QSN5" s="12" t="s">
        <v>13781</v>
      </c>
      <c r="QSO5" s="12" t="s">
        <v>13782</v>
      </c>
      <c r="QSP5" s="12" t="s">
        <v>13783</v>
      </c>
      <c r="QSQ5" s="12" t="s">
        <v>13784</v>
      </c>
      <c r="QSR5" s="12" t="s">
        <v>13785</v>
      </c>
      <c r="QSS5" s="12" t="s">
        <v>13786</v>
      </c>
      <c r="QST5" s="12" t="s">
        <v>13787</v>
      </c>
      <c r="QSU5" s="12" t="s">
        <v>13788</v>
      </c>
      <c r="QSV5" s="12" t="s">
        <v>13789</v>
      </c>
      <c r="QSW5" s="12" t="s">
        <v>13790</v>
      </c>
      <c r="QSX5" s="12" t="s">
        <v>13791</v>
      </c>
      <c r="QSY5" s="12" t="s">
        <v>13792</v>
      </c>
      <c r="QSZ5" s="12" t="s">
        <v>13793</v>
      </c>
      <c r="QTA5" s="12" t="s">
        <v>13794</v>
      </c>
      <c r="QTB5" s="12" t="s">
        <v>13795</v>
      </c>
      <c r="QTC5" s="12" t="s">
        <v>13796</v>
      </c>
      <c r="QTD5" s="12" t="s">
        <v>13797</v>
      </c>
      <c r="QTE5" s="12" t="s">
        <v>13798</v>
      </c>
      <c r="QTF5" s="12" t="s">
        <v>13799</v>
      </c>
      <c r="QTG5" s="12" t="s">
        <v>13800</v>
      </c>
      <c r="QTH5" s="12" t="s">
        <v>13801</v>
      </c>
      <c r="QTI5" s="12" t="s">
        <v>13802</v>
      </c>
      <c r="QTJ5" s="12" t="s">
        <v>13803</v>
      </c>
      <c r="QTK5" s="12" t="s">
        <v>13804</v>
      </c>
      <c r="QTL5" s="12" t="s">
        <v>13805</v>
      </c>
      <c r="QTM5" s="12" t="s">
        <v>13806</v>
      </c>
      <c r="QTN5" s="12" t="s">
        <v>13807</v>
      </c>
      <c r="QTO5" s="12" t="s">
        <v>13808</v>
      </c>
      <c r="QTP5" s="12" t="s">
        <v>13809</v>
      </c>
      <c r="QTQ5" s="12" t="s">
        <v>13810</v>
      </c>
      <c r="QTR5" s="12" t="s">
        <v>13811</v>
      </c>
      <c r="QTS5" s="12" t="s">
        <v>13812</v>
      </c>
      <c r="QTT5" s="12" t="s">
        <v>13813</v>
      </c>
      <c r="QTU5" s="12" t="s">
        <v>13814</v>
      </c>
      <c r="QTV5" s="12" t="s">
        <v>13815</v>
      </c>
      <c r="QTW5" s="12" t="s">
        <v>13816</v>
      </c>
      <c r="QTX5" s="12" t="s">
        <v>13817</v>
      </c>
      <c r="QTY5" s="12" t="s">
        <v>13818</v>
      </c>
      <c r="QTZ5" s="12" t="s">
        <v>13819</v>
      </c>
      <c r="QUA5" s="12" t="s">
        <v>13820</v>
      </c>
      <c r="QUB5" s="12" t="s">
        <v>13821</v>
      </c>
      <c r="QUC5" s="12" t="s">
        <v>13822</v>
      </c>
      <c r="QUD5" s="12" t="s">
        <v>13823</v>
      </c>
      <c r="QUE5" s="12" t="s">
        <v>13824</v>
      </c>
      <c r="QUF5" s="12" t="s">
        <v>13825</v>
      </c>
      <c r="QUG5" s="12" t="s">
        <v>13826</v>
      </c>
      <c r="QUH5" s="12" t="s">
        <v>13827</v>
      </c>
      <c r="QUI5" s="12" t="s">
        <v>13828</v>
      </c>
      <c r="QUJ5" s="12" t="s">
        <v>13829</v>
      </c>
      <c r="QUK5" s="12" t="s">
        <v>13830</v>
      </c>
      <c r="QUL5" s="12" t="s">
        <v>13831</v>
      </c>
      <c r="QUM5" s="12" t="s">
        <v>13832</v>
      </c>
      <c r="QUN5" s="12" t="s">
        <v>13833</v>
      </c>
      <c r="QUO5" s="12" t="s">
        <v>13834</v>
      </c>
      <c r="QUP5" s="12" t="s">
        <v>13835</v>
      </c>
      <c r="QUQ5" s="12" t="s">
        <v>13836</v>
      </c>
      <c r="QUR5" s="12" t="s">
        <v>13837</v>
      </c>
      <c r="QUS5" s="12" t="s">
        <v>13838</v>
      </c>
      <c r="QUT5" s="12" t="s">
        <v>13839</v>
      </c>
      <c r="QUU5" s="12" t="s">
        <v>13840</v>
      </c>
      <c r="QUV5" s="12" t="s">
        <v>13841</v>
      </c>
      <c r="QUW5" s="12" t="s">
        <v>13842</v>
      </c>
      <c r="QUX5" s="12" t="s">
        <v>13843</v>
      </c>
      <c r="QUY5" s="12" t="s">
        <v>13844</v>
      </c>
      <c r="QUZ5" s="12" t="s">
        <v>13845</v>
      </c>
      <c r="QVA5" s="12" t="s">
        <v>13846</v>
      </c>
      <c r="QVB5" s="12" t="s">
        <v>13847</v>
      </c>
      <c r="QVC5" s="12" t="s">
        <v>13848</v>
      </c>
      <c r="QVD5" s="12" t="s">
        <v>13849</v>
      </c>
      <c r="QVE5" s="12" t="s">
        <v>13850</v>
      </c>
      <c r="QVF5" s="12" t="s">
        <v>13851</v>
      </c>
      <c r="QVG5" s="12" t="s">
        <v>13852</v>
      </c>
      <c r="QVH5" s="12" t="s">
        <v>13853</v>
      </c>
      <c r="QVI5" s="12" t="s">
        <v>13854</v>
      </c>
      <c r="QVJ5" s="12" t="s">
        <v>13855</v>
      </c>
      <c r="QVK5" s="12" t="s">
        <v>13856</v>
      </c>
      <c r="QVL5" s="12" t="s">
        <v>13857</v>
      </c>
      <c r="QVM5" s="12" t="s">
        <v>13858</v>
      </c>
      <c r="QVN5" s="12" t="s">
        <v>13859</v>
      </c>
      <c r="QVO5" s="12" t="s">
        <v>13860</v>
      </c>
      <c r="QVP5" s="12" t="s">
        <v>13861</v>
      </c>
      <c r="QVQ5" s="12" t="s">
        <v>13862</v>
      </c>
      <c r="QVR5" s="12" t="s">
        <v>13863</v>
      </c>
      <c r="QVS5" s="12" t="s">
        <v>13864</v>
      </c>
      <c r="QVT5" s="12" t="s">
        <v>13865</v>
      </c>
      <c r="QVU5" s="12" t="s">
        <v>13866</v>
      </c>
      <c r="QVV5" s="12" t="s">
        <v>13867</v>
      </c>
      <c r="QVW5" s="12" t="s">
        <v>13868</v>
      </c>
      <c r="QVX5" s="12" t="s">
        <v>13869</v>
      </c>
      <c r="QVY5" s="12" t="s">
        <v>13870</v>
      </c>
      <c r="QVZ5" s="12" t="s">
        <v>13871</v>
      </c>
      <c r="QWA5" s="12" t="s">
        <v>13872</v>
      </c>
      <c r="QWB5" s="12" t="s">
        <v>13873</v>
      </c>
      <c r="QWC5" s="12" t="s">
        <v>13874</v>
      </c>
      <c r="QWD5" s="12" t="s">
        <v>13875</v>
      </c>
      <c r="QWE5" s="12" t="s">
        <v>13876</v>
      </c>
      <c r="QWF5" s="12" t="s">
        <v>13877</v>
      </c>
      <c r="QWG5" s="12" t="s">
        <v>13878</v>
      </c>
      <c r="QWH5" s="12" t="s">
        <v>13879</v>
      </c>
      <c r="QWI5" s="12" t="s">
        <v>13880</v>
      </c>
      <c r="QWJ5" s="12" t="s">
        <v>13881</v>
      </c>
      <c r="QWK5" s="12" t="s">
        <v>13882</v>
      </c>
      <c r="QWL5" s="12" t="s">
        <v>13883</v>
      </c>
      <c r="QWM5" s="12" t="s">
        <v>13884</v>
      </c>
      <c r="QWN5" s="12" t="s">
        <v>13885</v>
      </c>
      <c r="QWO5" s="12" t="s">
        <v>13886</v>
      </c>
      <c r="QWP5" s="12" t="s">
        <v>13887</v>
      </c>
      <c r="QWQ5" s="12" t="s">
        <v>13888</v>
      </c>
      <c r="QWR5" s="12" t="s">
        <v>13889</v>
      </c>
      <c r="QWS5" s="12" t="s">
        <v>13890</v>
      </c>
      <c r="QWT5" s="12" t="s">
        <v>13891</v>
      </c>
      <c r="QWU5" s="12" t="s">
        <v>13892</v>
      </c>
      <c r="QWV5" s="12" t="s">
        <v>13893</v>
      </c>
      <c r="QWW5" s="12" t="s">
        <v>13894</v>
      </c>
      <c r="QWX5" s="12" t="s">
        <v>13895</v>
      </c>
      <c r="QWY5" s="12" t="s">
        <v>13896</v>
      </c>
      <c r="QWZ5" s="12" t="s">
        <v>13897</v>
      </c>
      <c r="QXA5" s="12" t="s">
        <v>13898</v>
      </c>
      <c r="QXB5" s="12" t="s">
        <v>13899</v>
      </c>
      <c r="QXC5" s="12" t="s">
        <v>13900</v>
      </c>
      <c r="QXD5" s="12" t="s">
        <v>13901</v>
      </c>
      <c r="QXE5" s="12" t="s">
        <v>13902</v>
      </c>
      <c r="QXF5" s="12" t="s">
        <v>13903</v>
      </c>
      <c r="QXG5" s="12" t="s">
        <v>13904</v>
      </c>
      <c r="QXH5" s="12" t="s">
        <v>13905</v>
      </c>
      <c r="QXI5" s="12" t="s">
        <v>13906</v>
      </c>
      <c r="QXJ5" s="12" t="s">
        <v>13907</v>
      </c>
      <c r="QXK5" s="12" t="s">
        <v>13908</v>
      </c>
      <c r="QXL5" s="12" t="s">
        <v>13909</v>
      </c>
      <c r="QXM5" s="12" t="s">
        <v>13910</v>
      </c>
      <c r="QXN5" s="12" t="s">
        <v>13911</v>
      </c>
      <c r="QXO5" s="12" t="s">
        <v>13912</v>
      </c>
      <c r="QXP5" s="12" t="s">
        <v>13913</v>
      </c>
      <c r="QXQ5" s="12" t="s">
        <v>13914</v>
      </c>
      <c r="QXR5" s="12" t="s">
        <v>13915</v>
      </c>
      <c r="QXS5" s="12" t="s">
        <v>13916</v>
      </c>
      <c r="QXT5" s="12" t="s">
        <v>13917</v>
      </c>
      <c r="QXU5" s="12" t="s">
        <v>13918</v>
      </c>
      <c r="QXV5" s="12" t="s">
        <v>13919</v>
      </c>
      <c r="QXW5" s="12" t="s">
        <v>13920</v>
      </c>
      <c r="QXX5" s="12" t="s">
        <v>13921</v>
      </c>
      <c r="QXY5" s="12" t="s">
        <v>13922</v>
      </c>
      <c r="QXZ5" s="12" t="s">
        <v>13923</v>
      </c>
      <c r="QYA5" s="12" t="s">
        <v>13924</v>
      </c>
      <c r="QYB5" s="12" t="s">
        <v>13925</v>
      </c>
      <c r="QYC5" s="12" t="s">
        <v>13926</v>
      </c>
      <c r="QYD5" s="12" t="s">
        <v>13927</v>
      </c>
      <c r="QYE5" s="12" t="s">
        <v>13928</v>
      </c>
      <c r="QYF5" s="12" t="s">
        <v>13929</v>
      </c>
      <c r="QYG5" s="12" t="s">
        <v>13930</v>
      </c>
      <c r="QYH5" s="12" t="s">
        <v>13931</v>
      </c>
      <c r="QYI5" s="12" t="s">
        <v>13932</v>
      </c>
      <c r="QYJ5" s="12" t="s">
        <v>13933</v>
      </c>
      <c r="QYK5" s="12" t="s">
        <v>13934</v>
      </c>
      <c r="QYL5" s="12" t="s">
        <v>13935</v>
      </c>
      <c r="QYM5" s="12" t="s">
        <v>13936</v>
      </c>
      <c r="QYN5" s="12" t="s">
        <v>13937</v>
      </c>
      <c r="QYO5" s="12" t="s">
        <v>13938</v>
      </c>
      <c r="QYP5" s="12" t="s">
        <v>13939</v>
      </c>
      <c r="QYQ5" s="12" t="s">
        <v>13940</v>
      </c>
      <c r="QYR5" s="12" t="s">
        <v>13941</v>
      </c>
      <c r="QYS5" s="12" t="s">
        <v>13942</v>
      </c>
      <c r="QYT5" s="12" t="s">
        <v>13943</v>
      </c>
      <c r="QYU5" s="12" t="s">
        <v>13944</v>
      </c>
      <c r="QYV5" s="12" t="s">
        <v>13945</v>
      </c>
      <c r="QYW5" s="12" t="s">
        <v>13946</v>
      </c>
      <c r="QYX5" s="12" t="s">
        <v>13947</v>
      </c>
      <c r="QYY5" s="12" t="s">
        <v>13948</v>
      </c>
      <c r="QYZ5" s="12" t="s">
        <v>13949</v>
      </c>
      <c r="QZA5" s="12" t="s">
        <v>13950</v>
      </c>
      <c r="QZB5" s="12" t="s">
        <v>13951</v>
      </c>
      <c r="QZC5" s="12" t="s">
        <v>13952</v>
      </c>
      <c r="QZD5" s="12" t="s">
        <v>13953</v>
      </c>
      <c r="QZE5" s="12" t="s">
        <v>13954</v>
      </c>
      <c r="QZF5" s="12" t="s">
        <v>13955</v>
      </c>
      <c r="QZG5" s="12" t="s">
        <v>13956</v>
      </c>
      <c r="QZH5" s="12" t="s">
        <v>13957</v>
      </c>
      <c r="QZI5" s="12" t="s">
        <v>13958</v>
      </c>
      <c r="QZJ5" s="12" t="s">
        <v>13959</v>
      </c>
      <c r="QZK5" s="12" t="s">
        <v>13960</v>
      </c>
      <c r="QZL5" s="12" t="s">
        <v>13961</v>
      </c>
      <c r="QZM5" s="12" t="s">
        <v>13962</v>
      </c>
      <c r="QZN5" s="12" t="s">
        <v>13963</v>
      </c>
      <c r="QZO5" s="12" t="s">
        <v>13964</v>
      </c>
      <c r="QZP5" s="12" t="s">
        <v>13965</v>
      </c>
      <c r="QZQ5" s="12" t="s">
        <v>13966</v>
      </c>
      <c r="QZR5" s="12" t="s">
        <v>13967</v>
      </c>
      <c r="QZS5" s="12" t="s">
        <v>13968</v>
      </c>
      <c r="QZT5" s="12" t="s">
        <v>13969</v>
      </c>
      <c r="QZU5" s="12" t="s">
        <v>13970</v>
      </c>
      <c r="QZV5" s="12" t="s">
        <v>13971</v>
      </c>
      <c r="QZW5" s="12" t="s">
        <v>13972</v>
      </c>
      <c r="QZX5" s="12" t="s">
        <v>13973</v>
      </c>
      <c r="QZY5" s="12" t="s">
        <v>13974</v>
      </c>
      <c r="QZZ5" s="12" t="s">
        <v>13975</v>
      </c>
      <c r="RAA5" s="12" t="s">
        <v>13976</v>
      </c>
      <c r="RAB5" s="12" t="s">
        <v>13977</v>
      </c>
      <c r="RAC5" s="12" t="s">
        <v>13978</v>
      </c>
      <c r="RAD5" s="12" t="s">
        <v>13979</v>
      </c>
      <c r="RAE5" s="12" t="s">
        <v>13980</v>
      </c>
      <c r="RAF5" s="12" t="s">
        <v>13981</v>
      </c>
      <c r="RAG5" s="12" t="s">
        <v>13982</v>
      </c>
      <c r="RAH5" s="12" t="s">
        <v>13983</v>
      </c>
      <c r="RAI5" s="12" t="s">
        <v>13984</v>
      </c>
      <c r="RAJ5" s="12" t="s">
        <v>13985</v>
      </c>
      <c r="RAK5" s="12" t="s">
        <v>13986</v>
      </c>
      <c r="RAL5" s="12" t="s">
        <v>13987</v>
      </c>
      <c r="RAM5" s="12" t="s">
        <v>13988</v>
      </c>
      <c r="RAN5" s="12" t="s">
        <v>13989</v>
      </c>
      <c r="RAO5" s="12" t="s">
        <v>13990</v>
      </c>
      <c r="RAP5" s="12" t="s">
        <v>13991</v>
      </c>
      <c r="RAQ5" s="12" t="s">
        <v>13992</v>
      </c>
      <c r="RAR5" s="12" t="s">
        <v>13993</v>
      </c>
      <c r="RAS5" s="12" t="s">
        <v>13994</v>
      </c>
      <c r="RAT5" s="12" t="s">
        <v>13995</v>
      </c>
      <c r="RAU5" s="12" t="s">
        <v>13996</v>
      </c>
      <c r="RAV5" s="12" t="s">
        <v>13997</v>
      </c>
      <c r="RAW5" s="12" t="s">
        <v>13998</v>
      </c>
      <c r="RAX5" s="12" t="s">
        <v>13999</v>
      </c>
      <c r="RAY5" s="12" t="s">
        <v>14000</v>
      </c>
      <c r="RAZ5" s="12" t="s">
        <v>14001</v>
      </c>
      <c r="RBA5" s="12" t="s">
        <v>14002</v>
      </c>
      <c r="RBB5" s="12" t="s">
        <v>14003</v>
      </c>
      <c r="RBC5" s="12" t="s">
        <v>14004</v>
      </c>
      <c r="RBD5" s="12" t="s">
        <v>14005</v>
      </c>
      <c r="RBE5" s="12" t="s">
        <v>14006</v>
      </c>
      <c r="RBF5" s="12" t="s">
        <v>14007</v>
      </c>
      <c r="RBG5" s="12" t="s">
        <v>14008</v>
      </c>
      <c r="RBH5" s="12" t="s">
        <v>14009</v>
      </c>
      <c r="RBI5" s="12" t="s">
        <v>14010</v>
      </c>
      <c r="RBJ5" s="12" t="s">
        <v>14011</v>
      </c>
      <c r="RBK5" s="12" t="s">
        <v>14012</v>
      </c>
      <c r="RBL5" s="12" t="s">
        <v>14013</v>
      </c>
      <c r="RBM5" s="12" t="s">
        <v>14014</v>
      </c>
      <c r="RBN5" s="12" t="s">
        <v>14015</v>
      </c>
      <c r="RBO5" s="12" t="s">
        <v>14016</v>
      </c>
      <c r="RBP5" s="12" t="s">
        <v>14017</v>
      </c>
      <c r="RBQ5" s="12" t="s">
        <v>14018</v>
      </c>
      <c r="RBR5" s="12" t="s">
        <v>14019</v>
      </c>
      <c r="RBS5" s="12" t="s">
        <v>14020</v>
      </c>
      <c r="RBT5" s="12" t="s">
        <v>14021</v>
      </c>
      <c r="RBU5" s="12" t="s">
        <v>14022</v>
      </c>
      <c r="RBV5" s="12" t="s">
        <v>14023</v>
      </c>
      <c r="RBW5" s="12" t="s">
        <v>14024</v>
      </c>
      <c r="RBX5" s="12" t="s">
        <v>14025</v>
      </c>
      <c r="RBY5" s="12" t="s">
        <v>14026</v>
      </c>
      <c r="RBZ5" s="12" t="s">
        <v>14027</v>
      </c>
      <c r="RCA5" s="12" t="s">
        <v>14028</v>
      </c>
      <c r="RCB5" s="12" t="s">
        <v>14029</v>
      </c>
      <c r="RCC5" s="12" t="s">
        <v>14030</v>
      </c>
      <c r="RCD5" s="12" t="s">
        <v>14031</v>
      </c>
      <c r="RCE5" s="12" t="s">
        <v>14032</v>
      </c>
      <c r="RCF5" s="12" t="s">
        <v>14033</v>
      </c>
      <c r="RCG5" s="12" t="s">
        <v>14034</v>
      </c>
      <c r="RCH5" s="12" t="s">
        <v>14035</v>
      </c>
      <c r="RCI5" s="12" t="s">
        <v>14036</v>
      </c>
      <c r="RCJ5" s="12" t="s">
        <v>14037</v>
      </c>
      <c r="RCK5" s="12" t="s">
        <v>14038</v>
      </c>
      <c r="RCL5" s="12" t="s">
        <v>14039</v>
      </c>
      <c r="RCM5" s="12" t="s">
        <v>14040</v>
      </c>
      <c r="RCN5" s="12" t="s">
        <v>14041</v>
      </c>
      <c r="RCO5" s="12" t="s">
        <v>14042</v>
      </c>
      <c r="RCP5" s="12" t="s">
        <v>14043</v>
      </c>
      <c r="RCQ5" s="12" t="s">
        <v>14044</v>
      </c>
      <c r="RCR5" s="12" t="s">
        <v>14045</v>
      </c>
      <c r="RCS5" s="12" t="s">
        <v>14046</v>
      </c>
      <c r="RCT5" s="12" t="s">
        <v>14047</v>
      </c>
      <c r="RCU5" s="12" t="s">
        <v>14048</v>
      </c>
      <c r="RCV5" s="12" t="s">
        <v>14049</v>
      </c>
      <c r="RCW5" s="12" t="s">
        <v>14050</v>
      </c>
      <c r="RCX5" s="12" t="s">
        <v>14051</v>
      </c>
      <c r="RCY5" s="12" t="s">
        <v>14052</v>
      </c>
      <c r="RCZ5" s="12" t="s">
        <v>14053</v>
      </c>
      <c r="RDA5" s="12" t="s">
        <v>14054</v>
      </c>
      <c r="RDB5" s="12" t="s">
        <v>14055</v>
      </c>
      <c r="RDC5" s="12" t="s">
        <v>14056</v>
      </c>
      <c r="RDD5" s="12" t="s">
        <v>14057</v>
      </c>
      <c r="RDE5" s="12" t="s">
        <v>14058</v>
      </c>
      <c r="RDF5" s="12" t="s">
        <v>14059</v>
      </c>
      <c r="RDG5" s="12" t="s">
        <v>14060</v>
      </c>
      <c r="RDH5" s="12" t="s">
        <v>14061</v>
      </c>
      <c r="RDI5" s="12" t="s">
        <v>14062</v>
      </c>
      <c r="RDJ5" s="12" t="s">
        <v>14063</v>
      </c>
      <c r="RDK5" s="12" t="s">
        <v>14064</v>
      </c>
      <c r="RDL5" s="12" t="s">
        <v>14065</v>
      </c>
      <c r="RDM5" s="12" t="s">
        <v>14066</v>
      </c>
      <c r="RDN5" s="12" t="s">
        <v>14067</v>
      </c>
      <c r="RDO5" s="12" t="s">
        <v>14068</v>
      </c>
      <c r="RDP5" s="12" t="s">
        <v>14069</v>
      </c>
      <c r="RDQ5" s="12" t="s">
        <v>14070</v>
      </c>
      <c r="RDR5" s="12" t="s">
        <v>14071</v>
      </c>
      <c r="RDS5" s="12" t="s">
        <v>14072</v>
      </c>
      <c r="RDT5" s="12" t="s">
        <v>14073</v>
      </c>
      <c r="RDU5" s="12" t="s">
        <v>14074</v>
      </c>
      <c r="RDV5" s="12" t="s">
        <v>14075</v>
      </c>
      <c r="RDW5" s="12" t="s">
        <v>14076</v>
      </c>
      <c r="RDX5" s="12" t="s">
        <v>14077</v>
      </c>
      <c r="RDY5" s="12" t="s">
        <v>14078</v>
      </c>
      <c r="RDZ5" s="12" t="s">
        <v>14079</v>
      </c>
      <c r="REA5" s="12" t="s">
        <v>14080</v>
      </c>
      <c r="REB5" s="12" t="s">
        <v>14081</v>
      </c>
      <c r="REC5" s="12" t="s">
        <v>14082</v>
      </c>
      <c r="RED5" s="12" t="s">
        <v>14083</v>
      </c>
      <c r="REE5" s="12" t="s">
        <v>14084</v>
      </c>
      <c r="REF5" s="12" t="s">
        <v>14085</v>
      </c>
      <c r="REG5" s="12" t="s">
        <v>14086</v>
      </c>
      <c r="REH5" s="12" t="s">
        <v>14087</v>
      </c>
      <c r="REI5" s="12" t="s">
        <v>14088</v>
      </c>
      <c r="REJ5" s="12" t="s">
        <v>14089</v>
      </c>
      <c r="REK5" s="12" t="s">
        <v>14090</v>
      </c>
      <c r="REL5" s="12" t="s">
        <v>14091</v>
      </c>
      <c r="REM5" s="12" t="s">
        <v>14092</v>
      </c>
      <c r="REN5" s="12" t="s">
        <v>14093</v>
      </c>
      <c r="REO5" s="12" t="s">
        <v>14094</v>
      </c>
      <c r="REP5" s="12" t="s">
        <v>14095</v>
      </c>
      <c r="REQ5" s="12" t="s">
        <v>14096</v>
      </c>
      <c r="RER5" s="12" t="s">
        <v>14097</v>
      </c>
      <c r="RES5" s="12" t="s">
        <v>14098</v>
      </c>
      <c r="RET5" s="12" t="s">
        <v>14099</v>
      </c>
      <c r="REU5" s="12" t="s">
        <v>14100</v>
      </c>
      <c r="REV5" s="12" t="s">
        <v>14101</v>
      </c>
      <c r="REW5" s="12" t="s">
        <v>14102</v>
      </c>
      <c r="REX5" s="12" t="s">
        <v>14103</v>
      </c>
      <c r="REY5" s="12" t="s">
        <v>14104</v>
      </c>
      <c r="REZ5" s="12" t="s">
        <v>14105</v>
      </c>
      <c r="RFA5" s="12" t="s">
        <v>14106</v>
      </c>
      <c r="RFB5" s="12" t="s">
        <v>14107</v>
      </c>
      <c r="RFC5" s="12" t="s">
        <v>14108</v>
      </c>
      <c r="RFD5" s="12" t="s">
        <v>14109</v>
      </c>
      <c r="RFE5" s="12" t="s">
        <v>14110</v>
      </c>
      <c r="RFF5" s="12" t="s">
        <v>14111</v>
      </c>
      <c r="RFG5" s="12" t="s">
        <v>14112</v>
      </c>
      <c r="RFH5" s="12" t="s">
        <v>14113</v>
      </c>
      <c r="RFI5" s="12" t="s">
        <v>14114</v>
      </c>
      <c r="RFJ5" s="12" t="s">
        <v>14115</v>
      </c>
      <c r="RFK5" s="12" t="s">
        <v>14116</v>
      </c>
      <c r="RFL5" s="12" t="s">
        <v>14117</v>
      </c>
      <c r="RFM5" s="12" t="s">
        <v>14118</v>
      </c>
      <c r="RFN5" s="12" t="s">
        <v>14119</v>
      </c>
      <c r="RFO5" s="12" t="s">
        <v>14120</v>
      </c>
      <c r="RFP5" s="12" t="s">
        <v>14121</v>
      </c>
      <c r="RFQ5" s="12" t="s">
        <v>14122</v>
      </c>
      <c r="RFR5" s="12" t="s">
        <v>14123</v>
      </c>
      <c r="RFS5" s="12" t="s">
        <v>14124</v>
      </c>
      <c r="RFT5" s="12" t="s">
        <v>14125</v>
      </c>
      <c r="RFU5" s="12" t="s">
        <v>14126</v>
      </c>
      <c r="RFV5" s="12" t="s">
        <v>14127</v>
      </c>
      <c r="RFW5" s="12" t="s">
        <v>14128</v>
      </c>
      <c r="RFX5" s="12" t="s">
        <v>14129</v>
      </c>
      <c r="RFY5" s="12" t="s">
        <v>14130</v>
      </c>
      <c r="RFZ5" s="12" t="s">
        <v>14131</v>
      </c>
      <c r="RGA5" s="12" t="s">
        <v>14132</v>
      </c>
      <c r="RGB5" s="12" t="s">
        <v>14133</v>
      </c>
      <c r="RGC5" s="12" t="s">
        <v>14134</v>
      </c>
      <c r="RGD5" s="12" t="s">
        <v>14135</v>
      </c>
      <c r="RGE5" s="12" t="s">
        <v>14136</v>
      </c>
      <c r="RGF5" s="12" t="s">
        <v>14137</v>
      </c>
      <c r="RGG5" s="12" t="s">
        <v>14138</v>
      </c>
      <c r="RGH5" s="12" t="s">
        <v>14139</v>
      </c>
      <c r="RGI5" s="12" t="s">
        <v>14140</v>
      </c>
      <c r="RGJ5" s="12" t="s">
        <v>14141</v>
      </c>
      <c r="RGK5" s="12" t="s">
        <v>14142</v>
      </c>
      <c r="RGL5" s="12" t="s">
        <v>14143</v>
      </c>
      <c r="RGM5" s="12" t="s">
        <v>14144</v>
      </c>
      <c r="RGN5" s="12" t="s">
        <v>14145</v>
      </c>
      <c r="RGO5" s="12" t="s">
        <v>14146</v>
      </c>
      <c r="RGP5" s="12" t="s">
        <v>14147</v>
      </c>
      <c r="RGQ5" s="12" t="s">
        <v>14148</v>
      </c>
      <c r="RGR5" s="12" t="s">
        <v>14149</v>
      </c>
      <c r="RGS5" s="12" t="s">
        <v>14150</v>
      </c>
      <c r="RGT5" s="12" t="s">
        <v>14151</v>
      </c>
      <c r="RGU5" s="12" t="s">
        <v>14152</v>
      </c>
      <c r="RGV5" s="12" t="s">
        <v>14153</v>
      </c>
      <c r="RGW5" s="12" t="s">
        <v>14154</v>
      </c>
      <c r="RGX5" s="12" t="s">
        <v>14155</v>
      </c>
      <c r="RGY5" s="12" t="s">
        <v>14156</v>
      </c>
      <c r="RGZ5" s="12" t="s">
        <v>14157</v>
      </c>
      <c r="RHA5" s="12" t="s">
        <v>14158</v>
      </c>
      <c r="RHB5" s="12" t="s">
        <v>14159</v>
      </c>
      <c r="RHC5" s="12" t="s">
        <v>14160</v>
      </c>
      <c r="RHD5" s="12" t="s">
        <v>14161</v>
      </c>
      <c r="RHE5" s="12" t="s">
        <v>14162</v>
      </c>
      <c r="RHF5" s="12" t="s">
        <v>14163</v>
      </c>
      <c r="RHG5" s="12" t="s">
        <v>14164</v>
      </c>
      <c r="RHH5" s="12" t="s">
        <v>14165</v>
      </c>
      <c r="RHI5" s="12" t="s">
        <v>14166</v>
      </c>
      <c r="RHJ5" s="12" t="s">
        <v>14167</v>
      </c>
      <c r="RHK5" s="12" t="s">
        <v>14168</v>
      </c>
      <c r="RHL5" s="12" t="s">
        <v>14169</v>
      </c>
      <c r="RHM5" s="12" t="s">
        <v>14170</v>
      </c>
      <c r="RHN5" s="12" t="s">
        <v>14171</v>
      </c>
      <c r="RHO5" s="12" t="s">
        <v>14172</v>
      </c>
      <c r="RHP5" s="12" t="s">
        <v>14173</v>
      </c>
      <c r="RHQ5" s="12" t="s">
        <v>14174</v>
      </c>
      <c r="RHR5" s="12" t="s">
        <v>14175</v>
      </c>
      <c r="RHS5" s="12" t="s">
        <v>14176</v>
      </c>
      <c r="RHT5" s="12" t="s">
        <v>14177</v>
      </c>
      <c r="RHU5" s="12" t="s">
        <v>14178</v>
      </c>
      <c r="RHV5" s="12" t="s">
        <v>14179</v>
      </c>
      <c r="RHW5" s="12" t="s">
        <v>14180</v>
      </c>
      <c r="RHX5" s="12" t="s">
        <v>14181</v>
      </c>
      <c r="RHY5" s="12" t="s">
        <v>14182</v>
      </c>
      <c r="RHZ5" s="12" t="s">
        <v>14183</v>
      </c>
      <c r="RIA5" s="12" t="s">
        <v>14184</v>
      </c>
      <c r="RIB5" s="12" t="s">
        <v>14185</v>
      </c>
      <c r="RIC5" s="12" t="s">
        <v>14186</v>
      </c>
      <c r="RID5" s="12" t="s">
        <v>14187</v>
      </c>
      <c r="RIE5" s="12" t="s">
        <v>14188</v>
      </c>
      <c r="RIF5" s="12" t="s">
        <v>14189</v>
      </c>
      <c r="RIG5" s="12" t="s">
        <v>14190</v>
      </c>
      <c r="RIH5" s="12" t="s">
        <v>14191</v>
      </c>
      <c r="RII5" s="12" t="s">
        <v>14192</v>
      </c>
      <c r="RIJ5" s="12" t="s">
        <v>14193</v>
      </c>
      <c r="RIK5" s="12" t="s">
        <v>14194</v>
      </c>
      <c r="RIL5" s="12" t="s">
        <v>14195</v>
      </c>
      <c r="RIM5" s="12" t="s">
        <v>14196</v>
      </c>
      <c r="RIN5" s="12" t="s">
        <v>14197</v>
      </c>
      <c r="RIO5" s="12" t="s">
        <v>14198</v>
      </c>
      <c r="RIP5" s="12" t="s">
        <v>14199</v>
      </c>
      <c r="RIQ5" s="12" t="s">
        <v>14200</v>
      </c>
      <c r="RIR5" s="12" t="s">
        <v>14201</v>
      </c>
      <c r="RIS5" s="12" t="s">
        <v>14202</v>
      </c>
      <c r="RIT5" s="12" t="s">
        <v>14203</v>
      </c>
      <c r="RIU5" s="12" t="s">
        <v>14204</v>
      </c>
      <c r="RIV5" s="12" t="s">
        <v>14205</v>
      </c>
      <c r="RIW5" s="12" t="s">
        <v>14206</v>
      </c>
      <c r="RIX5" s="12" t="s">
        <v>14207</v>
      </c>
      <c r="RIY5" s="12" t="s">
        <v>14208</v>
      </c>
      <c r="RIZ5" s="12" t="s">
        <v>14209</v>
      </c>
      <c r="RJA5" s="12" t="s">
        <v>14210</v>
      </c>
      <c r="RJB5" s="12" t="s">
        <v>14211</v>
      </c>
      <c r="RJC5" s="12" t="s">
        <v>14212</v>
      </c>
      <c r="RJD5" s="12" t="s">
        <v>14213</v>
      </c>
      <c r="RJE5" s="12" t="s">
        <v>14214</v>
      </c>
      <c r="RJF5" s="12" t="s">
        <v>14215</v>
      </c>
      <c r="RJG5" s="12" t="s">
        <v>14216</v>
      </c>
      <c r="RJH5" s="12" t="s">
        <v>14217</v>
      </c>
      <c r="RJI5" s="12" t="s">
        <v>14218</v>
      </c>
      <c r="RJJ5" s="12" t="s">
        <v>14219</v>
      </c>
      <c r="RJK5" s="12" t="s">
        <v>14220</v>
      </c>
      <c r="RJL5" s="12" t="s">
        <v>14221</v>
      </c>
      <c r="RJM5" s="12" t="s">
        <v>14222</v>
      </c>
      <c r="RJN5" s="12" t="s">
        <v>14223</v>
      </c>
      <c r="RJO5" s="12" t="s">
        <v>14224</v>
      </c>
      <c r="RJP5" s="12" t="s">
        <v>14225</v>
      </c>
      <c r="RJQ5" s="12" t="s">
        <v>14226</v>
      </c>
      <c r="RJR5" s="12" t="s">
        <v>14227</v>
      </c>
      <c r="RJS5" s="12" t="s">
        <v>14228</v>
      </c>
      <c r="RJT5" s="12" t="s">
        <v>14229</v>
      </c>
      <c r="RJU5" s="12" t="s">
        <v>14230</v>
      </c>
      <c r="RJV5" s="12" t="s">
        <v>14231</v>
      </c>
      <c r="RJW5" s="12" t="s">
        <v>14232</v>
      </c>
      <c r="RJX5" s="12" t="s">
        <v>14233</v>
      </c>
      <c r="RJY5" s="12" t="s">
        <v>14234</v>
      </c>
      <c r="RJZ5" s="12" t="s">
        <v>14235</v>
      </c>
      <c r="RKA5" s="12" t="s">
        <v>14236</v>
      </c>
      <c r="RKB5" s="12" t="s">
        <v>14237</v>
      </c>
      <c r="RKC5" s="12" t="s">
        <v>14238</v>
      </c>
      <c r="RKD5" s="12" t="s">
        <v>14239</v>
      </c>
      <c r="RKE5" s="12" t="s">
        <v>14240</v>
      </c>
      <c r="RKF5" s="12" t="s">
        <v>14241</v>
      </c>
      <c r="RKG5" s="12" t="s">
        <v>14242</v>
      </c>
      <c r="RKH5" s="12" t="s">
        <v>14243</v>
      </c>
      <c r="RKI5" s="12" t="s">
        <v>14244</v>
      </c>
      <c r="RKJ5" s="12" t="s">
        <v>14245</v>
      </c>
      <c r="RKK5" s="12" t="s">
        <v>14246</v>
      </c>
      <c r="RKL5" s="12" t="s">
        <v>14247</v>
      </c>
      <c r="RKM5" s="12" t="s">
        <v>14248</v>
      </c>
      <c r="RKN5" s="12" t="s">
        <v>14249</v>
      </c>
      <c r="RKO5" s="12" t="s">
        <v>14250</v>
      </c>
      <c r="RKP5" s="12" t="s">
        <v>14251</v>
      </c>
      <c r="RKQ5" s="12" t="s">
        <v>14252</v>
      </c>
      <c r="RKR5" s="12" t="s">
        <v>14253</v>
      </c>
      <c r="RKS5" s="12" t="s">
        <v>14254</v>
      </c>
      <c r="RKT5" s="12" t="s">
        <v>14255</v>
      </c>
      <c r="RKU5" s="12" t="s">
        <v>14256</v>
      </c>
      <c r="RKV5" s="12" t="s">
        <v>14257</v>
      </c>
      <c r="RKW5" s="12" t="s">
        <v>14258</v>
      </c>
      <c r="RKX5" s="12" t="s">
        <v>14259</v>
      </c>
      <c r="RKY5" s="12" t="s">
        <v>14260</v>
      </c>
      <c r="RKZ5" s="12" t="s">
        <v>14261</v>
      </c>
      <c r="RLA5" s="12" t="s">
        <v>14262</v>
      </c>
      <c r="RLB5" s="12" t="s">
        <v>14263</v>
      </c>
      <c r="RLC5" s="12" t="s">
        <v>14264</v>
      </c>
      <c r="RLD5" s="12" t="s">
        <v>14265</v>
      </c>
      <c r="RLE5" s="12" t="s">
        <v>14266</v>
      </c>
      <c r="RLF5" s="12" t="s">
        <v>14267</v>
      </c>
      <c r="RLG5" s="12" t="s">
        <v>14268</v>
      </c>
      <c r="RLH5" s="12" t="s">
        <v>14269</v>
      </c>
      <c r="RLI5" s="12" t="s">
        <v>14270</v>
      </c>
      <c r="RLJ5" s="12" t="s">
        <v>14271</v>
      </c>
      <c r="RLK5" s="12" t="s">
        <v>14272</v>
      </c>
      <c r="RLL5" s="12" t="s">
        <v>14273</v>
      </c>
      <c r="RLM5" s="12" t="s">
        <v>14274</v>
      </c>
      <c r="RLN5" s="12" t="s">
        <v>14275</v>
      </c>
      <c r="RLO5" s="12" t="s">
        <v>14276</v>
      </c>
      <c r="RLP5" s="12" t="s">
        <v>14277</v>
      </c>
      <c r="RLQ5" s="12" t="s">
        <v>14278</v>
      </c>
      <c r="RLR5" s="12" t="s">
        <v>14279</v>
      </c>
      <c r="RLS5" s="12" t="s">
        <v>14280</v>
      </c>
      <c r="RLT5" s="12" t="s">
        <v>14281</v>
      </c>
      <c r="RLU5" s="12" t="s">
        <v>14282</v>
      </c>
      <c r="RLV5" s="12" t="s">
        <v>14283</v>
      </c>
      <c r="RLW5" s="12" t="s">
        <v>14284</v>
      </c>
      <c r="RLX5" s="12" t="s">
        <v>14285</v>
      </c>
      <c r="RLY5" s="12" t="s">
        <v>14286</v>
      </c>
      <c r="RLZ5" s="12" t="s">
        <v>14287</v>
      </c>
      <c r="RMA5" s="12" t="s">
        <v>14288</v>
      </c>
      <c r="RMB5" s="12" t="s">
        <v>14289</v>
      </c>
      <c r="RMC5" s="12" t="s">
        <v>14290</v>
      </c>
      <c r="RMD5" s="12" t="s">
        <v>14291</v>
      </c>
      <c r="RME5" s="12" t="s">
        <v>14292</v>
      </c>
      <c r="RMF5" s="12" t="s">
        <v>14293</v>
      </c>
      <c r="RMG5" s="12" t="s">
        <v>14294</v>
      </c>
      <c r="RMH5" s="12" t="s">
        <v>14295</v>
      </c>
      <c r="RMI5" s="12" t="s">
        <v>14296</v>
      </c>
      <c r="RMJ5" s="12" t="s">
        <v>14297</v>
      </c>
      <c r="RMK5" s="12" t="s">
        <v>14298</v>
      </c>
      <c r="RML5" s="12" t="s">
        <v>14299</v>
      </c>
      <c r="RMM5" s="12" t="s">
        <v>14300</v>
      </c>
      <c r="RMN5" s="12" t="s">
        <v>14301</v>
      </c>
      <c r="RMO5" s="12" t="s">
        <v>14302</v>
      </c>
      <c r="RMP5" s="12" t="s">
        <v>14303</v>
      </c>
      <c r="RMQ5" s="12" t="s">
        <v>14304</v>
      </c>
      <c r="RMR5" s="12" t="s">
        <v>14305</v>
      </c>
      <c r="RMS5" s="12" t="s">
        <v>14306</v>
      </c>
      <c r="RMT5" s="12" t="s">
        <v>14307</v>
      </c>
      <c r="RMU5" s="12" t="s">
        <v>14308</v>
      </c>
      <c r="RMV5" s="12" t="s">
        <v>14309</v>
      </c>
      <c r="RMW5" s="12" t="s">
        <v>14310</v>
      </c>
      <c r="RMX5" s="12" t="s">
        <v>14311</v>
      </c>
      <c r="RMY5" s="12" t="s">
        <v>14312</v>
      </c>
      <c r="RMZ5" s="12" t="s">
        <v>14313</v>
      </c>
      <c r="RNA5" s="12" t="s">
        <v>14314</v>
      </c>
      <c r="RNB5" s="12" t="s">
        <v>14315</v>
      </c>
      <c r="RNC5" s="12" t="s">
        <v>14316</v>
      </c>
      <c r="RND5" s="12" t="s">
        <v>14317</v>
      </c>
      <c r="RNE5" s="12" t="s">
        <v>14318</v>
      </c>
      <c r="RNF5" s="12" t="s">
        <v>14319</v>
      </c>
      <c r="RNG5" s="12" t="s">
        <v>14320</v>
      </c>
      <c r="RNH5" s="12" t="s">
        <v>14321</v>
      </c>
      <c r="RNI5" s="12" t="s">
        <v>14322</v>
      </c>
      <c r="RNJ5" s="12" t="s">
        <v>14323</v>
      </c>
      <c r="RNK5" s="12" t="s">
        <v>14324</v>
      </c>
      <c r="RNL5" s="12" t="s">
        <v>14325</v>
      </c>
      <c r="RNM5" s="12" t="s">
        <v>14326</v>
      </c>
      <c r="RNN5" s="12" t="s">
        <v>14327</v>
      </c>
      <c r="RNO5" s="12" t="s">
        <v>14328</v>
      </c>
      <c r="RNP5" s="12" t="s">
        <v>14329</v>
      </c>
      <c r="RNQ5" s="12" t="s">
        <v>14330</v>
      </c>
      <c r="RNR5" s="12" t="s">
        <v>14331</v>
      </c>
      <c r="RNS5" s="12" t="s">
        <v>14332</v>
      </c>
      <c r="RNT5" s="12" t="s">
        <v>14333</v>
      </c>
      <c r="RNU5" s="12" t="s">
        <v>14334</v>
      </c>
      <c r="RNV5" s="12" t="s">
        <v>14335</v>
      </c>
      <c r="RNW5" s="12" t="s">
        <v>14336</v>
      </c>
      <c r="RNX5" s="12" t="s">
        <v>14337</v>
      </c>
      <c r="RNY5" s="12" t="s">
        <v>14338</v>
      </c>
      <c r="RNZ5" s="12" t="s">
        <v>14339</v>
      </c>
      <c r="ROA5" s="12" t="s">
        <v>14340</v>
      </c>
      <c r="ROB5" s="12" t="s">
        <v>14341</v>
      </c>
      <c r="ROC5" s="12" t="s">
        <v>14342</v>
      </c>
      <c r="ROD5" s="12" t="s">
        <v>14343</v>
      </c>
      <c r="ROE5" s="12" t="s">
        <v>14344</v>
      </c>
      <c r="ROF5" s="12" t="s">
        <v>14345</v>
      </c>
      <c r="ROG5" s="12" t="s">
        <v>14346</v>
      </c>
      <c r="ROH5" s="12" t="s">
        <v>14347</v>
      </c>
      <c r="ROI5" s="12" t="s">
        <v>14348</v>
      </c>
      <c r="ROJ5" s="12" t="s">
        <v>14349</v>
      </c>
      <c r="ROK5" s="12" t="s">
        <v>14350</v>
      </c>
      <c r="ROL5" s="12" t="s">
        <v>14351</v>
      </c>
      <c r="ROM5" s="12" t="s">
        <v>14352</v>
      </c>
      <c r="RON5" s="12" t="s">
        <v>14353</v>
      </c>
      <c r="ROO5" s="12" t="s">
        <v>14354</v>
      </c>
      <c r="ROP5" s="12" t="s">
        <v>14355</v>
      </c>
      <c r="ROQ5" s="12" t="s">
        <v>14356</v>
      </c>
      <c r="ROR5" s="12" t="s">
        <v>14357</v>
      </c>
      <c r="ROS5" s="12" t="s">
        <v>14358</v>
      </c>
      <c r="ROT5" s="12" t="s">
        <v>14359</v>
      </c>
      <c r="ROU5" s="12" t="s">
        <v>14360</v>
      </c>
      <c r="ROV5" s="12" t="s">
        <v>14361</v>
      </c>
      <c r="ROW5" s="12" t="s">
        <v>14362</v>
      </c>
      <c r="ROX5" s="12" t="s">
        <v>14363</v>
      </c>
      <c r="ROY5" s="12" t="s">
        <v>14364</v>
      </c>
      <c r="ROZ5" s="12" t="s">
        <v>14365</v>
      </c>
      <c r="RPA5" s="12" t="s">
        <v>14366</v>
      </c>
      <c r="RPB5" s="12" t="s">
        <v>14367</v>
      </c>
      <c r="RPC5" s="12" t="s">
        <v>14368</v>
      </c>
      <c r="RPD5" s="12" t="s">
        <v>14369</v>
      </c>
      <c r="RPE5" s="12" t="s">
        <v>14370</v>
      </c>
      <c r="RPF5" s="12" t="s">
        <v>14371</v>
      </c>
      <c r="RPG5" s="12" t="s">
        <v>14372</v>
      </c>
      <c r="RPH5" s="12" t="s">
        <v>14373</v>
      </c>
      <c r="RPI5" s="12" t="s">
        <v>14374</v>
      </c>
      <c r="RPJ5" s="12" t="s">
        <v>14375</v>
      </c>
      <c r="RPK5" s="12" t="s">
        <v>14376</v>
      </c>
      <c r="RPL5" s="12" t="s">
        <v>14377</v>
      </c>
      <c r="RPM5" s="12" t="s">
        <v>14378</v>
      </c>
      <c r="RPN5" s="12" t="s">
        <v>14379</v>
      </c>
      <c r="RPO5" s="12" t="s">
        <v>14380</v>
      </c>
      <c r="RPP5" s="12" t="s">
        <v>14381</v>
      </c>
      <c r="RPQ5" s="12" t="s">
        <v>14382</v>
      </c>
      <c r="RPR5" s="12" t="s">
        <v>14383</v>
      </c>
      <c r="RPS5" s="12" t="s">
        <v>14384</v>
      </c>
      <c r="RPT5" s="12" t="s">
        <v>14385</v>
      </c>
      <c r="RPU5" s="12" t="s">
        <v>14386</v>
      </c>
      <c r="RPV5" s="12" t="s">
        <v>14387</v>
      </c>
      <c r="RPW5" s="12" t="s">
        <v>14388</v>
      </c>
      <c r="RPX5" s="12" t="s">
        <v>14389</v>
      </c>
      <c r="RPY5" s="12" t="s">
        <v>14390</v>
      </c>
      <c r="RPZ5" s="12" t="s">
        <v>14391</v>
      </c>
      <c r="RQA5" s="12" t="s">
        <v>14392</v>
      </c>
      <c r="RQB5" s="12" t="s">
        <v>14393</v>
      </c>
      <c r="RQC5" s="12" t="s">
        <v>14394</v>
      </c>
      <c r="RQD5" s="12" t="s">
        <v>14395</v>
      </c>
      <c r="RQE5" s="12" t="s">
        <v>14396</v>
      </c>
      <c r="RQF5" s="12" t="s">
        <v>14397</v>
      </c>
      <c r="RQG5" s="12" t="s">
        <v>14398</v>
      </c>
      <c r="RQH5" s="12" t="s">
        <v>14399</v>
      </c>
      <c r="RQI5" s="12" t="s">
        <v>14400</v>
      </c>
      <c r="RQJ5" s="12" t="s">
        <v>14401</v>
      </c>
      <c r="RQK5" s="12" t="s">
        <v>14402</v>
      </c>
      <c r="RQL5" s="12" t="s">
        <v>14403</v>
      </c>
      <c r="RQM5" s="12" t="s">
        <v>14404</v>
      </c>
      <c r="RQN5" s="12" t="s">
        <v>14405</v>
      </c>
      <c r="RQO5" s="12" t="s">
        <v>14406</v>
      </c>
      <c r="RQP5" s="12" t="s">
        <v>14407</v>
      </c>
      <c r="RQQ5" s="12" t="s">
        <v>14408</v>
      </c>
      <c r="RQR5" s="12" t="s">
        <v>14409</v>
      </c>
      <c r="RQS5" s="12" t="s">
        <v>14410</v>
      </c>
      <c r="RQT5" s="12" t="s">
        <v>14411</v>
      </c>
      <c r="RQU5" s="12" t="s">
        <v>14412</v>
      </c>
      <c r="RQV5" s="12" t="s">
        <v>14413</v>
      </c>
      <c r="RQW5" s="12" t="s">
        <v>14414</v>
      </c>
      <c r="RQX5" s="12" t="s">
        <v>14415</v>
      </c>
      <c r="RQY5" s="12" t="s">
        <v>14416</v>
      </c>
      <c r="RQZ5" s="12" t="s">
        <v>14417</v>
      </c>
      <c r="RRA5" s="12" t="s">
        <v>14418</v>
      </c>
      <c r="RRB5" s="12" t="s">
        <v>14419</v>
      </c>
      <c r="RRC5" s="12" t="s">
        <v>14420</v>
      </c>
      <c r="RRD5" s="12" t="s">
        <v>14421</v>
      </c>
      <c r="RRE5" s="12" t="s">
        <v>14422</v>
      </c>
      <c r="RRF5" s="12" t="s">
        <v>14423</v>
      </c>
      <c r="RRG5" s="12" t="s">
        <v>14424</v>
      </c>
      <c r="RRH5" s="12" t="s">
        <v>14425</v>
      </c>
      <c r="RRI5" s="12" t="s">
        <v>14426</v>
      </c>
      <c r="RRJ5" s="12" t="s">
        <v>14427</v>
      </c>
      <c r="RRK5" s="12" t="s">
        <v>14428</v>
      </c>
      <c r="RRL5" s="12" t="s">
        <v>14429</v>
      </c>
      <c r="RRM5" s="12" t="s">
        <v>14430</v>
      </c>
      <c r="RRN5" s="12" t="s">
        <v>14431</v>
      </c>
      <c r="RRO5" s="12" t="s">
        <v>14432</v>
      </c>
      <c r="RRP5" s="12" t="s">
        <v>14433</v>
      </c>
      <c r="RRQ5" s="12" t="s">
        <v>14434</v>
      </c>
      <c r="RRR5" s="12" t="s">
        <v>14435</v>
      </c>
      <c r="RRS5" s="12" t="s">
        <v>14436</v>
      </c>
      <c r="RRT5" s="12" t="s">
        <v>14437</v>
      </c>
      <c r="RRU5" s="12" t="s">
        <v>14438</v>
      </c>
      <c r="RRV5" s="12" t="s">
        <v>14439</v>
      </c>
      <c r="RRW5" s="12" t="s">
        <v>14440</v>
      </c>
      <c r="RRX5" s="12" t="s">
        <v>14441</v>
      </c>
      <c r="RRY5" s="12" t="s">
        <v>14442</v>
      </c>
      <c r="RRZ5" s="12" t="s">
        <v>14443</v>
      </c>
      <c r="RSA5" s="12" t="s">
        <v>14444</v>
      </c>
      <c r="RSB5" s="12" t="s">
        <v>14445</v>
      </c>
      <c r="RSC5" s="12" t="s">
        <v>14446</v>
      </c>
      <c r="RSD5" s="12" t="s">
        <v>14447</v>
      </c>
      <c r="RSE5" s="12" t="s">
        <v>14448</v>
      </c>
      <c r="RSF5" s="12" t="s">
        <v>14449</v>
      </c>
      <c r="RSG5" s="12" t="s">
        <v>14450</v>
      </c>
      <c r="RSH5" s="12" t="s">
        <v>14451</v>
      </c>
      <c r="RSI5" s="12" t="s">
        <v>14452</v>
      </c>
      <c r="RSJ5" s="12" t="s">
        <v>14453</v>
      </c>
      <c r="RSK5" s="12" t="s">
        <v>14454</v>
      </c>
      <c r="RSL5" s="12" t="s">
        <v>14455</v>
      </c>
      <c r="RSM5" s="12" t="s">
        <v>14456</v>
      </c>
      <c r="RSN5" s="12" t="s">
        <v>14457</v>
      </c>
      <c r="RSO5" s="12" t="s">
        <v>14458</v>
      </c>
      <c r="RSP5" s="12" t="s">
        <v>14459</v>
      </c>
      <c r="RSQ5" s="12" t="s">
        <v>14460</v>
      </c>
      <c r="RSR5" s="12" t="s">
        <v>14461</v>
      </c>
      <c r="RSS5" s="12" t="s">
        <v>14462</v>
      </c>
      <c r="RST5" s="12" t="s">
        <v>14463</v>
      </c>
      <c r="RSU5" s="12" t="s">
        <v>14464</v>
      </c>
      <c r="RSV5" s="12" t="s">
        <v>14465</v>
      </c>
      <c r="RSW5" s="12" t="s">
        <v>14466</v>
      </c>
      <c r="RSX5" s="12" t="s">
        <v>14467</v>
      </c>
      <c r="RSY5" s="12" t="s">
        <v>14468</v>
      </c>
      <c r="RSZ5" s="12" t="s">
        <v>14469</v>
      </c>
      <c r="RTA5" s="12" t="s">
        <v>14470</v>
      </c>
      <c r="RTB5" s="12" t="s">
        <v>14471</v>
      </c>
      <c r="RTC5" s="12" t="s">
        <v>14472</v>
      </c>
      <c r="RTD5" s="12" t="s">
        <v>14473</v>
      </c>
      <c r="RTE5" s="12" t="s">
        <v>14474</v>
      </c>
      <c r="RTF5" s="12" t="s">
        <v>14475</v>
      </c>
      <c r="RTG5" s="12" t="s">
        <v>14476</v>
      </c>
      <c r="RTH5" s="12" t="s">
        <v>14477</v>
      </c>
      <c r="RTI5" s="12" t="s">
        <v>14478</v>
      </c>
      <c r="RTJ5" s="12" t="s">
        <v>14479</v>
      </c>
      <c r="RTK5" s="12" t="s">
        <v>14480</v>
      </c>
      <c r="RTL5" s="12" t="s">
        <v>14481</v>
      </c>
      <c r="RTM5" s="12" t="s">
        <v>14482</v>
      </c>
      <c r="RTN5" s="12" t="s">
        <v>14483</v>
      </c>
      <c r="RTO5" s="12" t="s">
        <v>14484</v>
      </c>
      <c r="RTP5" s="12" t="s">
        <v>14485</v>
      </c>
      <c r="RTQ5" s="12" t="s">
        <v>14486</v>
      </c>
      <c r="RTR5" s="12" t="s">
        <v>14487</v>
      </c>
      <c r="RTS5" s="12" t="s">
        <v>14488</v>
      </c>
      <c r="RTT5" s="12" t="s">
        <v>14489</v>
      </c>
      <c r="RTU5" s="12" t="s">
        <v>14490</v>
      </c>
      <c r="RTV5" s="12" t="s">
        <v>14491</v>
      </c>
      <c r="RTW5" s="12" t="s">
        <v>14492</v>
      </c>
      <c r="RTX5" s="12" t="s">
        <v>14493</v>
      </c>
      <c r="RTY5" s="12" t="s">
        <v>14494</v>
      </c>
      <c r="RTZ5" s="12" t="s">
        <v>14495</v>
      </c>
      <c r="RUA5" s="12" t="s">
        <v>14496</v>
      </c>
      <c r="RUB5" s="12" t="s">
        <v>14497</v>
      </c>
      <c r="RUC5" s="12" t="s">
        <v>14498</v>
      </c>
      <c r="RUD5" s="12" t="s">
        <v>14499</v>
      </c>
      <c r="RUE5" s="12" t="s">
        <v>14500</v>
      </c>
      <c r="RUF5" s="12" t="s">
        <v>14501</v>
      </c>
      <c r="RUG5" s="12" t="s">
        <v>14502</v>
      </c>
      <c r="RUH5" s="12" t="s">
        <v>14503</v>
      </c>
      <c r="RUI5" s="12" t="s">
        <v>14504</v>
      </c>
      <c r="RUJ5" s="12" t="s">
        <v>14505</v>
      </c>
      <c r="RUK5" s="12" t="s">
        <v>14506</v>
      </c>
      <c r="RUL5" s="12" t="s">
        <v>14507</v>
      </c>
      <c r="RUM5" s="12" t="s">
        <v>14508</v>
      </c>
      <c r="RUN5" s="12" t="s">
        <v>14509</v>
      </c>
      <c r="RUO5" s="12" t="s">
        <v>14510</v>
      </c>
      <c r="RUP5" s="12" t="s">
        <v>14511</v>
      </c>
      <c r="RUQ5" s="12" t="s">
        <v>14512</v>
      </c>
      <c r="RUR5" s="12" t="s">
        <v>14513</v>
      </c>
      <c r="RUS5" s="12" t="s">
        <v>14514</v>
      </c>
      <c r="RUT5" s="12" t="s">
        <v>14515</v>
      </c>
      <c r="RUU5" s="12" t="s">
        <v>14516</v>
      </c>
      <c r="RUV5" s="12" t="s">
        <v>14517</v>
      </c>
      <c r="RUW5" s="12" t="s">
        <v>14518</v>
      </c>
      <c r="RUX5" s="12" t="s">
        <v>14519</v>
      </c>
      <c r="RUY5" s="12" t="s">
        <v>14520</v>
      </c>
      <c r="RUZ5" s="12" t="s">
        <v>14521</v>
      </c>
      <c r="RVA5" s="12" t="s">
        <v>14522</v>
      </c>
      <c r="RVB5" s="12" t="s">
        <v>14523</v>
      </c>
      <c r="RVC5" s="12" t="s">
        <v>14524</v>
      </c>
      <c r="RVD5" s="12" t="s">
        <v>14525</v>
      </c>
      <c r="RVE5" s="12" t="s">
        <v>14526</v>
      </c>
      <c r="RVF5" s="12" t="s">
        <v>14527</v>
      </c>
      <c r="RVG5" s="12" t="s">
        <v>14528</v>
      </c>
      <c r="RVH5" s="12" t="s">
        <v>14529</v>
      </c>
      <c r="RVI5" s="12" t="s">
        <v>14530</v>
      </c>
      <c r="RVJ5" s="12" t="s">
        <v>14531</v>
      </c>
      <c r="RVK5" s="12" t="s">
        <v>14532</v>
      </c>
      <c r="RVL5" s="12" t="s">
        <v>14533</v>
      </c>
      <c r="RVM5" s="12" t="s">
        <v>14534</v>
      </c>
      <c r="RVN5" s="12" t="s">
        <v>14535</v>
      </c>
      <c r="RVO5" s="12" t="s">
        <v>14536</v>
      </c>
      <c r="RVP5" s="12" t="s">
        <v>14537</v>
      </c>
      <c r="RVQ5" s="12" t="s">
        <v>14538</v>
      </c>
      <c r="RVR5" s="12" t="s">
        <v>14539</v>
      </c>
      <c r="RVS5" s="12" t="s">
        <v>14540</v>
      </c>
      <c r="RVT5" s="12" t="s">
        <v>14541</v>
      </c>
      <c r="RVU5" s="12" t="s">
        <v>14542</v>
      </c>
      <c r="RVV5" s="12" t="s">
        <v>14543</v>
      </c>
      <c r="RVW5" s="12" t="s">
        <v>14544</v>
      </c>
      <c r="RVX5" s="12" t="s">
        <v>14545</v>
      </c>
      <c r="RVY5" s="12" t="s">
        <v>14546</v>
      </c>
      <c r="RVZ5" s="12" t="s">
        <v>14547</v>
      </c>
      <c r="RWA5" s="12" t="s">
        <v>14548</v>
      </c>
      <c r="RWB5" s="12" t="s">
        <v>14549</v>
      </c>
      <c r="RWC5" s="12" t="s">
        <v>14550</v>
      </c>
      <c r="RWD5" s="12" t="s">
        <v>14551</v>
      </c>
      <c r="RWE5" s="12" t="s">
        <v>14552</v>
      </c>
      <c r="RWF5" s="12" t="s">
        <v>14553</v>
      </c>
      <c r="RWG5" s="12" t="s">
        <v>14554</v>
      </c>
      <c r="RWH5" s="12" t="s">
        <v>14555</v>
      </c>
      <c r="RWI5" s="12" t="s">
        <v>14556</v>
      </c>
      <c r="RWJ5" s="12" t="s">
        <v>14557</v>
      </c>
      <c r="RWK5" s="12" t="s">
        <v>14558</v>
      </c>
      <c r="RWL5" s="12" t="s">
        <v>14559</v>
      </c>
      <c r="RWM5" s="12" t="s">
        <v>14560</v>
      </c>
      <c r="RWN5" s="12" t="s">
        <v>14561</v>
      </c>
      <c r="RWO5" s="12" t="s">
        <v>14562</v>
      </c>
      <c r="RWP5" s="12" t="s">
        <v>14563</v>
      </c>
      <c r="RWQ5" s="12" t="s">
        <v>14564</v>
      </c>
      <c r="RWR5" s="12" t="s">
        <v>14565</v>
      </c>
      <c r="RWS5" s="12" t="s">
        <v>14566</v>
      </c>
      <c r="RWT5" s="12" t="s">
        <v>14567</v>
      </c>
      <c r="RWU5" s="12" t="s">
        <v>14568</v>
      </c>
      <c r="RWV5" s="12" t="s">
        <v>14569</v>
      </c>
      <c r="RWW5" s="12" t="s">
        <v>14570</v>
      </c>
      <c r="RWX5" s="12" t="s">
        <v>14571</v>
      </c>
      <c r="RWY5" s="12" t="s">
        <v>14572</v>
      </c>
      <c r="RWZ5" s="12" t="s">
        <v>14573</v>
      </c>
      <c r="RXA5" s="12" t="s">
        <v>14574</v>
      </c>
      <c r="RXB5" s="12" t="s">
        <v>14575</v>
      </c>
      <c r="RXC5" s="12" t="s">
        <v>14576</v>
      </c>
      <c r="RXD5" s="12" t="s">
        <v>14577</v>
      </c>
      <c r="RXE5" s="12" t="s">
        <v>14578</v>
      </c>
      <c r="RXF5" s="12" t="s">
        <v>14579</v>
      </c>
      <c r="RXG5" s="12" t="s">
        <v>14580</v>
      </c>
      <c r="RXH5" s="12" t="s">
        <v>14581</v>
      </c>
      <c r="RXI5" s="12" t="s">
        <v>14582</v>
      </c>
      <c r="RXJ5" s="12" t="s">
        <v>14583</v>
      </c>
      <c r="RXK5" s="12" t="s">
        <v>14584</v>
      </c>
      <c r="RXL5" s="12" t="s">
        <v>14585</v>
      </c>
      <c r="RXM5" s="12" t="s">
        <v>14586</v>
      </c>
      <c r="RXN5" s="12" t="s">
        <v>14587</v>
      </c>
      <c r="RXO5" s="12" t="s">
        <v>14588</v>
      </c>
      <c r="RXP5" s="12" t="s">
        <v>14589</v>
      </c>
      <c r="RXQ5" s="12" t="s">
        <v>14590</v>
      </c>
      <c r="RXR5" s="12" t="s">
        <v>14591</v>
      </c>
      <c r="RXS5" s="12" t="s">
        <v>14592</v>
      </c>
      <c r="RXT5" s="12" t="s">
        <v>14593</v>
      </c>
      <c r="RXU5" s="12" t="s">
        <v>14594</v>
      </c>
      <c r="RXV5" s="12" t="s">
        <v>14595</v>
      </c>
      <c r="RXW5" s="12" t="s">
        <v>14596</v>
      </c>
      <c r="RXX5" s="12" t="s">
        <v>14597</v>
      </c>
      <c r="RXY5" s="12" t="s">
        <v>14598</v>
      </c>
      <c r="RXZ5" s="12" t="s">
        <v>14599</v>
      </c>
      <c r="RYA5" s="12" t="s">
        <v>14600</v>
      </c>
      <c r="RYB5" s="12" t="s">
        <v>14601</v>
      </c>
      <c r="RYC5" s="12" t="s">
        <v>14602</v>
      </c>
      <c r="RYD5" s="12" t="s">
        <v>14603</v>
      </c>
      <c r="RYE5" s="12" t="s">
        <v>14604</v>
      </c>
      <c r="RYF5" s="12" t="s">
        <v>14605</v>
      </c>
      <c r="RYG5" s="12" t="s">
        <v>14606</v>
      </c>
      <c r="RYH5" s="12" t="s">
        <v>14607</v>
      </c>
      <c r="RYI5" s="12" t="s">
        <v>14608</v>
      </c>
      <c r="RYJ5" s="12" t="s">
        <v>14609</v>
      </c>
      <c r="RYK5" s="12" t="s">
        <v>14610</v>
      </c>
      <c r="RYL5" s="12" t="s">
        <v>14611</v>
      </c>
      <c r="RYM5" s="12" t="s">
        <v>14612</v>
      </c>
      <c r="RYN5" s="12" t="s">
        <v>14613</v>
      </c>
      <c r="RYO5" s="12" t="s">
        <v>14614</v>
      </c>
      <c r="RYP5" s="12" t="s">
        <v>14615</v>
      </c>
      <c r="RYQ5" s="12" t="s">
        <v>14616</v>
      </c>
      <c r="RYR5" s="12" t="s">
        <v>14617</v>
      </c>
      <c r="RYS5" s="12" t="s">
        <v>14618</v>
      </c>
      <c r="RYT5" s="12" t="s">
        <v>14619</v>
      </c>
      <c r="RYU5" s="12" t="s">
        <v>14620</v>
      </c>
      <c r="RYV5" s="12" t="s">
        <v>14621</v>
      </c>
      <c r="RYW5" s="12" t="s">
        <v>14622</v>
      </c>
      <c r="RYX5" s="12" t="s">
        <v>14623</v>
      </c>
      <c r="RYY5" s="12" t="s">
        <v>14624</v>
      </c>
      <c r="RYZ5" s="12" t="s">
        <v>14625</v>
      </c>
      <c r="RZA5" s="12" t="s">
        <v>14626</v>
      </c>
      <c r="RZB5" s="12" t="s">
        <v>14627</v>
      </c>
      <c r="RZC5" s="12" t="s">
        <v>14628</v>
      </c>
      <c r="RZD5" s="12" t="s">
        <v>14629</v>
      </c>
      <c r="RZE5" s="12" t="s">
        <v>14630</v>
      </c>
      <c r="RZF5" s="12" t="s">
        <v>14631</v>
      </c>
      <c r="RZG5" s="12" t="s">
        <v>14632</v>
      </c>
      <c r="RZH5" s="12" t="s">
        <v>14633</v>
      </c>
      <c r="RZI5" s="12" t="s">
        <v>14634</v>
      </c>
      <c r="RZJ5" s="12" t="s">
        <v>14635</v>
      </c>
      <c r="RZK5" s="12" t="s">
        <v>14636</v>
      </c>
      <c r="RZL5" s="12" t="s">
        <v>14637</v>
      </c>
      <c r="RZM5" s="12" t="s">
        <v>14638</v>
      </c>
      <c r="RZN5" s="12" t="s">
        <v>14639</v>
      </c>
      <c r="RZO5" s="12" t="s">
        <v>14640</v>
      </c>
      <c r="RZP5" s="12" t="s">
        <v>14641</v>
      </c>
      <c r="RZQ5" s="12" t="s">
        <v>14642</v>
      </c>
      <c r="RZR5" s="12" t="s">
        <v>14643</v>
      </c>
      <c r="RZS5" s="12" t="s">
        <v>14644</v>
      </c>
      <c r="RZT5" s="12" t="s">
        <v>14645</v>
      </c>
      <c r="RZU5" s="12" t="s">
        <v>14646</v>
      </c>
      <c r="RZV5" s="12" t="s">
        <v>14647</v>
      </c>
      <c r="RZW5" s="12" t="s">
        <v>14648</v>
      </c>
      <c r="RZX5" s="12" t="s">
        <v>14649</v>
      </c>
      <c r="RZY5" s="12" t="s">
        <v>14650</v>
      </c>
      <c r="RZZ5" s="12" t="s">
        <v>14651</v>
      </c>
      <c r="SAA5" s="12" t="s">
        <v>14652</v>
      </c>
      <c r="SAB5" s="12" t="s">
        <v>14653</v>
      </c>
      <c r="SAC5" s="12" t="s">
        <v>14654</v>
      </c>
      <c r="SAD5" s="12" t="s">
        <v>14655</v>
      </c>
      <c r="SAE5" s="12" t="s">
        <v>14656</v>
      </c>
      <c r="SAF5" s="12" t="s">
        <v>14657</v>
      </c>
      <c r="SAG5" s="12" t="s">
        <v>14658</v>
      </c>
      <c r="SAH5" s="12" t="s">
        <v>14659</v>
      </c>
      <c r="SAI5" s="12" t="s">
        <v>14660</v>
      </c>
      <c r="SAJ5" s="12" t="s">
        <v>14661</v>
      </c>
      <c r="SAK5" s="12" t="s">
        <v>14662</v>
      </c>
      <c r="SAL5" s="12" t="s">
        <v>14663</v>
      </c>
      <c r="SAM5" s="12" t="s">
        <v>14664</v>
      </c>
      <c r="SAN5" s="12" t="s">
        <v>14665</v>
      </c>
      <c r="SAO5" s="12" t="s">
        <v>14666</v>
      </c>
      <c r="SAP5" s="12" t="s">
        <v>14667</v>
      </c>
      <c r="SAQ5" s="12" t="s">
        <v>14668</v>
      </c>
      <c r="SAR5" s="12" t="s">
        <v>14669</v>
      </c>
      <c r="SAS5" s="12" t="s">
        <v>14670</v>
      </c>
      <c r="SAT5" s="12" t="s">
        <v>14671</v>
      </c>
      <c r="SAU5" s="12" t="s">
        <v>14672</v>
      </c>
      <c r="SAV5" s="12" t="s">
        <v>14673</v>
      </c>
      <c r="SAW5" s="12" t="s">
        <v>14674</v>
      </c>
      <c r="SAX5" s="12" t="s">
        <v>14675</v>
      </c>
      <c r="SAY5" s="12" t="s">
        <v>14676</v>
      </c>
      <c r="SAZ5" s="12" t="s">
        <v>14677</v>
      </c>
      <c r="SBA5" s="12" t="s">
        <v>14678</v>
      </c>
      <c r="SBB5" s="12" t="s">
        <v>14679</v>
      </c>
      <c r="SBC5" s="12" t="s">
        <v>14680</v>
      </c>
      <c r="SBD5" s="12" t="s">
        <v>14681</v>
      </c>
      <c r="SBE5" s="12" t="s">
        <v>14682</v>
      </c>
      <c r="SBF5" s="12" t="s">
        <v>14683</v>
      </c>
      <c r="SBG5" s="12" t="s">
        <v>14684</v>
      </c>
      <c r="SBH5" s="12" t="s">
        <v>14685</v>
      </c>
      <c r="SBI5" s="12" t="s">
        <v>14686</v>
      </c>
      <c r="SBJ5" s="12" t="s">
        <v>14687</v>
      </c>
      <c r="SBK5" s="12" t="s">
        <v>14688</v>
      </c>
      <c r="SBL5" s="12" t="s">
        <v>14689</v>
      </c>
      <c r="SBM5" s="12" t="s">
        <v>14690</v>
      </c>
      <c r="SBN5" s="12" t="s">
        <v>14691</v>
      </c>
      <c r="SBO5" s="12" t="s">
        <v>14692</v>
      </c>
      <c r="SBP5" s="12" t="s">
        <v>14693</v>
      </c>
      <c r="SBQ5" s="12" t="s">
        <v>14694</v>
      </c>
      <c r="SBR5" s="12" t="s">
        <v>14695</v>
      </c>
      <c r="SBS5" s="12" t="s">
        <v>14696</v>
      </c>
      <c r="SBT5" s="12" t="s">
        <v>14697</v>
      </c>
      <c r="SBU5" s="12" t="s">
        <v>14698</v>
      </c>
      <c r="SBV5" s="12" t="s">
        <v>14699</v>
      </c>
      <c r="SBW5" s="12" t="s">
        <v>14700</v>
      </c>
      <c r="SBX5" s="12" t="s">
        <v>14701</v>
      </c>
      <c r="SBY5" s="12" t="s">
        <v>14702</v>
      </c>
      <c r="SBZ5" s="12" t="s">
        <v>14703</v>
      </c>
      <c r="SCA5" s="12" t="s">
        <v>14704</v>
      </c>
      <c r="SCB5" s="12" t="s">
        <v>14705</v>
      </c>
      <c r="SCC5" s="12" t="s">
        <v>14706</v>
      </c>
      <c r="SCD5" s="12" t="s">
        <v>14707</v>
      </c>
      <c r="SCE5" s="12" t="s">
        <v>14708</v>
      </c>
      <c r="SCF5" s="12" t="s">
        <v>14709</v>
      </c>
      <c r="SCG5" s="12" t="s">
        <v>14710</v>
      </c>
      <c r="SCH5" s="12" t="s">
        <v>14711</v>
      </c>
      <c r="SCI5" s="12" t="s">
        <v>14712</v>
      </c>
      <c r="SCJ5" s="12" t="s">
        <v>14713</v>
      </c>
      <c r="SCK5" s="12" t="s">
        <v>14714</v>
      </c>
      <c r="SCL5" s="12" t="s">
        <v>14715</v>
      </c>
      <c r="SCM5" s="12" t="s">
        <v>14716</v>
      </c>
      <c r="SCN5" s="12" t="s">
        <v>14717</v>
      </c>
      <c r="SCO5" s="12" t="s">
        <v>14718</v>
      </c>
      <c r="SCP5" s="12" t="s">
        <v>14719</v>
      </c>
      <c r="SCQ5" s="12" t="s">
        <v>14720</v>
      </c>
      <c r="SCR5" s="12" t="s">
        <v>14721</v>
      </c>
      <c r="SCS5" s="12" t="s">
        <v>14722</v>
      </c>
      <c r="SCT5" s="12" t="s">
        <v>14723</v>
      </c>
      <c r="SCU5" s="12" t="s">
        <v>14724</v>
      </c>
      <c r="SCV5" s="12" t="s">
        <v>14725</v>
      </c>
      <c r="SCW5" s="12" t="s">
        <v>14726</v>
      </c>
      <c r="SCX5" s="12" t="s">
        <v>14727</v>
      </c>
      <c r="SCY5" s="12" t="s">
        <v>14728</v>
      </c>
      <c r="SCZ5" s="12" t="s">
        <v>14729</v>
      </c>
      <c r="SDA5" s="12" t="s">
        <v>14730</v>
      </c>
      <c r="SDB5" s="12" t="s">
        <v>14731</v>
      </c>
      <c r="SDC5" s="12" t="s">
        <v>14732</v>
      </c>
      <c r="SDD5" s="12" t="s">
        <v>14733</v>
      </c>
      <c r="SDE5" s="12" t="s">
        <v>14734</v>
      </c>
      <c r="SDF5" s="12" t="s">
        <v>14735</v>
      </c>
      <c r="SDG5" s="12" t="s">
        <v>14736</v>
      </c>
      <c r="SDH5" s="12" t="s">
        <v>14737</v>
      </c>
      <c r="SDI5" s="12" t="s">
        <v>14738</v>
      </c>
      <c r="SDJ5" s="12" t="s">
        <v>14739</v>
      </c>
      <c r="SDK5" s="12" t="s">
        <v>14740</v>
      </c>
      <c r="SDL5" s="12" t="s">
        <v>14741</v>
      </c>
      <c r="SDM5" s="12" t="s">
        <v>14742</v>
      </c>
      <c r="SDN5" s="12" t="s">
        <v>14743</v>
      </c>
      <c r="SDO5" s="12" t="s">
        <v>14744</v>
      </c>
      <c r="SDP5" s="12" t="s">
        <v>14745</v>
      </c>
      <c r="SDQ5" s="12" t="s">
        <v>14746</v>
      </c>
      <c r="SDR5" s="12" t="s">
        <v>14747</v>
      </c>
      <c r="SDS5" s="12" t="s">
        <v>14748</v>
      </c>
      <c r="SDT5" s="12" t="s">
        <v>14749</v>
      </c>
      <c r="SDU5" s="12" t="s">
        <v>14750</v>
      </c>
      <c r="SDV5" s="12" t="s">
        <v>14751</v>
      </c>
      <c r="SDW5" s="12" t="s">
        <v>14752</v>
      </c>
      <c r="SDX5" s="12" t="s">
        <v>14753</v>
      </c>
      <c r="SDY5" s="12" t="s">
        <v>14754</v>
      </c>
      <c r="SDZ5" s="12" t="s">
        <v>14755</v>
      </c>
      <c r="SEA5" s="12" t="s">
        <v>14756</v>
      </c>
      <c r="SEB5" s="12" t="s">
        <v>14757</v>
      </c>
      <c r="SEC5" s="12" t="s">
        <v>14758</v>
      </c>
      <c r="SED5" s="12" t="s">
        <v>14759</v>
      </c>
      <c r="SEE5" s="12" t="s">
        <v>14760</v>
      </c>
      <c r="SEF5" s="12" t="s">
        <v>14761</v>
      </c>
      <c r="SEG5" s="12" t="s">
        <v>14762</v>
      </c>
      <c r="SEH5" s="12" t="s">
        <v>14763</v>
      </c>
      <c r="SEI5" s="12" t="s">
        <v>14764</v>
      </c>
      <c r="SEJ5" s="12" t="s">
        <v>14765</v>
      </c>
      <c r="SEK5" s="12" t="s">
        <v>14766</v>
      </c>
      <c r="SEL5" s="12" t="s">
        <v>14767</v>
      </c>
      <c r="SEM5" s="12" t="s">
        <v>14768</v>
      </c>
      <c r="SEN5" s="12" t="s">
        <v>14769</v>
      </c>
      <c r="SEO5" s="12" t="s">
        <v>14770</v>
      </c>
      <c r="SEP5" s="12" t="s">
        <v>14771</v>
      </c>
      <c r="SEQ5" s="12" t="s">
        <v>14772</v>
      </c>
      <c r="SER5" s="12" t="s">
        <v>14773</v>
      </c>
      <c r="SES5" s="12" t="s">
        <v>14774</v>
      </c>
      <c r="SET5" s="12" t="s">
        <v>14775</v>
      </c>
      <c r="SEU5" s="12" t="s">
        <v>14776</v>
      </c>
      <c r="SEV5" s="12" t="s">
        <v>14777</v>
      </c>
      <c r="SEW5" s="12" t="s">
        <v>14778</v>
      </c>
      <c r="SEX5" s="12" t="s">
        <v>14779</v>
      </c>
      <c r="SEY5" s="12" t="s">
        <v>14780</v>
      </c>
      <c r="SEZ5" s="12" t="s">
        <v>14781</v>
      </c>
      <c r="SFA5" s="12" t="s">
        <v>14782</v>
      </c>
      <c r="SFB5" s="12" t="s">
        <v>14783</v>
      </c>
      <c r="SFC5" s="12" t="s">
        <v>14784</v>
      </c>
      <c r="SFD5" s="12" t="s">
        <v>14785</v>
      </c>
      <c r="SFE5" s="12" t="s">
        <v>14786</v>
      </c>
      <c r="SFF5" s="12" t="s">
        <v>14787</v>
      </c>
      <c r="SFG5" s="12" t="s">
        <v>14788</v>
      </c>
      <c r="SFH5" s="12" t="s">
        <v>14789</v>
      </c>
      <c r="SFI5" s="12" t="s">
        <v>14790</v>
      </c>
      <c r="SFJ5" s="12" t="s">
        <v>14791</v>
      </c>
      <c r="SFK5" s="12" t="s">
        <v>14792</v>
      </c>
      <c r="SFL5" s="12" t="s">
        <v>14793</v>
      </c>
      <c r="SFM5" s="12" t="s">
        <v>14794</v>
      </c>
      <c r="SFN5" s="12" t="s">
        <v>14795</v>
      </c>
      <c r="SFO5" s="12" t="s">
        <v>14796</v>
      </c>
      <c r="SFP5" s="12" t="s">
        <v>14797</v>
      </c>
      <c r="SFQ5" s="12" t="s">
        <v>14798</v>
      </c>
      <c r="SFR5" s="12" t="s">
        <v>14799</v>
      </c>
      <c r="SFS5" s="12" t="s">
        <v>14800</v>
      </c>
      <c r="SFT5" s="12" t="s">
        <v>14801</v>
      </c>
      <c r="SFU5" s="12" t="s">
        <v>14802</v>
      </c>
      <c r="SFV5" s="12" t="s">
        <v>14803</v>
      </c>
      <c r="SFW5" s="12" t="s">
        <v>14804</v>
      </c>
      <c r="SFX5" s="12" t="s">
        <v>14805</v>
      </c>
      <c r="SFY5" s="12" t="s">
        <v>14806</v>
      </c>
      <c r="SFZ5" s="12" t="s">
        <v>14807</v>
      </c>
      <c r="SGA5" s="12" t="s">
        <v>14808</v>
      </c>
      <c r="SGB5" s="12" t="s">
        <v>14809</v>
      </c>
      <c r="SGC5" s="12" t="s">
        <v>14810</v>
      </c>
      <c r="SGD5" s="12" t="s">
        <v>14811</v>
      </c>
      <c r="SGE5" s="12" t="s">
        <v>14812</v>
      </c>
      <c r="SGF5" s="12" t="s">
        <v>14813</v>
      </c>
      <c r="SGG5" s="12" t="s">
        <v>14814</v>
      </c>
      <c r="SGH5" s="12" t="s">
        <v>14815</v>
      </c>
      <c r="SGI5" s="12" t="s">
        <v>14816</v>
      </c>
      <c r="SGJ5" s="12" t="s">
        <v>14817</v>
      </c>
      <c r="SGK5" s="12" t="s">
        <v>14818</v>
      </c>
      <c r="SGL5" s="12" t="s">
        <v>14819</v>
      </c>
      <c r="SGM5" s="12" t="s">
        <v>14820</v>
      </c>
      <c r="SGN5" s="12" t="s">
        <v>14821</v>
      </c>
      <c r="SGO5" s="12" t="s">
        <v>14822</v>
      </c>
      <c r="SGP5" s="12" t="s">
        <v>14823</v>
      </c>
      <c r="SGQ5" s="12" t="s">
        <v>14824</v>
      </c>
      <c r="SGR5" s="12" t="s">
        <v>14825</v>
      </c>
      <c r="SGS5" s="12" t="s">
        <v>14826</v>
      </c>
      <c r="SGT5" s="12" t="s">
        <v>14827</v>
      </c>
      <c r="SGU5" s="12" t="s">
        <v>14828</v>
      </c>
      <c r="SGV5" s="12" t="s">
        <v>14829</v>
      </c>
      <c r="SGW5" s="12" t="s">
        <v>14830</v>
      </c>
      <c r="SGX5" s="12" t="s">
        <v>14831</v>
      </c>
      <c r="SGY5" s="12" t="s">
        <v>14832</v>
      </c>
      <c r="SGZ5" s="12" t="s">
        <v>14833</v>
      </c>
      <c r="SHA5" s="12" t="s">
        <v>14834</v>
      </c>
      <c r="SHB5" s="12" t="s">
        <v>14835</v>
      </c>
      <c r="SHC5" s="12" t="s">
        <v>14836</v>
      </c>
      <c r="SHD5" s="12" t="s">
        <v>14837</v>
      </c>
      <c r="SHE5" s="12" t="s">
        <v>14838</v>
      </c>
      <c r="SHF5" s="12" t="s">
        <v>14839</v>
      </c>
      <c r="SHG5" s="12" t="s">
        <v>14840</v>
      </c>
      <c r="SHH5" s="12" t="s">
        <v>14841</v>
      </c>
      <c r="SHI5" s="12" t="s">
        <v>14842</v>
      </c>
      <c r="SHJ5" s="12" t="s">
        <v>14843</v>
      </c>
      <c r="SHK5" s="12" t="s">
        <v>14844</v>
      </c>
      <c r="SHL5" s="12" t="s">
        <v>14845</v>
      </c>
      <c r="SHM5" s="12" t="s">
        <v>14846</v>
      </c>
      <c r="SHN5" s="12" t="s">
        <v>14847</v>
      </c>
      <c r="SHO5" s="12" t="s">
        <v>14848</v>
      </c>
      <c r="SHP5" s="12" t="s">
        <v>14849</v>
      </c>
      <c r="SHQ5" s="12" t="s">
        <v>14850</v>
      </c>
      <c r="SHR5" s="12" t="s">
        <v>14851</v>
      </c>
      <c r="SHS5" s="12" t="s">
        <v>14852</v>
      </c>
      <c r="SHT5" s="12" t="s">
        <v>14853</v>
      </c>
      <c r="SHU5" s="12" t="s">
        <v>14854</v>
      </c>
      <c r="SHV5" s="12" t="s">
        <v>14855</v>
      </c>
      <c r="SHW5" s="12" t="s">
        <v>14856</v>
      </c>
      <c r="SHX5" s="12" t="s">
        <v>14857</v>
      </c>
      <c r="SHY5" s="12" t="s">
        <v>14858</v>
      </c>
      <c r="SHZ5" s="12" t="s">
        <v>14859</v>
      </c>
      <c r="SIA5" s="12" t="s">
        <v>14860</v>
      </c>
      <c r="SIB5" s="12" t="s">
        <v>14861</v>
      </c>
      <c r="SIC5" s="12" t="s">
        <v>14862</v>
      </c>
      <c r="SID5" s="12" t="s">
        <v>14863</v>
      </c>
      <c r="SIE5" s="12" t="s">
        <v>14864</v>
      </c>
      <c r="SIF5" s="12" t="s">
        <v>14865</v>
      </c>
      <c r="SIG5" s="12" t="s">
        <v>14866</v>
      </c>
      <c r="SIH5" s="12" t="s">
        <v>14867</v>
      </c>
      <c r="SII5" s="12" t="s">
        <v>14868</v>
      </c>
      <c r="SIJ5" s="12" t="s">
        <v>14869</v>
      </c>
      <c r="SIK5" s="12" t="s">
        <v>14870</v>
      </c>
      <c r="SIL5" s="12" t="s">
        <v>14871</v>
      </c>
      <c r="SIM5" s="12" t="s">
        <v>14872</v>
      </c>
      <c r="SIN5" s="12" t="s">
        <v>14873</v>
      </c>
      <c r="SIO5" s="12" t="s">
        <v>14874</v>
      </c>
      <c r="SIP5" s="12" t="s">
        <v>14875</v>
      </c>
      <c r="SIQ5" s="12" t="s">
        <v>14876</v>
      </c>
      <c r="SIR5" s="12" t="s">
        <v>14877</v>
      </c>
      <c r="SIS5" s="12" t="s">
        <v>14878</v>
      </c>
      <c r="SIT5" s="12" t="s">
        <v>14879</v>
      </c>
      <c r="SIU5" s="12" t="s">
        <v>14880</v>
      </c>
      <c r="SIV5" s="12" t="s">
        <v>14881</v>
      </c>
      <c r="SIW5" s="12" t="s">
        <v>14882</v>
      </c>
      <c r="SIX5" s="12" t="s">
        <v>14883</v>
      </c>
      <c r="SIY5" s="12" t="s">
        <v>14884</v>
      </c>
      <c r="SIZ5" s="12" t="s">
        <v>14885</v>
      </c>
      <c r="SJA5" s="12" t="s">
        <v>14886</v>
      </c>
      <c r="SJB5" s="12" t="s">
        <v>14887</v>
      </c>
      <c r="SJC5" s="12" t="s">
        <v>14888</v>
      </c>
      <c r="SJD5" s="12" t="s">
        <v>14889</v>
      </c>
      <c r="SJE5" s="12" t="s">
        <v>14890</v>
      </c>
      <c r="SJF5" s="12" t="s">
        <v>14891</v>
      </c>
      <c r="SJG5" s="12" t="s">
        <v>14892</v>
      </c>
      <c r="SJH5" s="12" t="s">
        <v>14893</v>
      </c>
      <c r="SJI5" s="12" t="s">
        <v>14894</v>
      </c>
      <c r="SJJ5" s="12" t="s">
        <v>14895</v>
      </c>
      <c r="SJK5" s="12" t="s">
        <v>14896</v>
      </c>
      <c r="SJL5" s="12" t="s">
        <v>14897</v>
      </c>
      <c r="SJM5" s="12" t="s">
        <v>14898</v>
      </c>
      <c r="SJN5" s="12" t="s">
        <v>14899</v>
      </c>
      <c r="SJO5" s="12" t="s">
        <v>14900</v>
      </c>
      <c r="SJP5" s="12" t="s">
        <v>14901</v>
      </c>
      <c r="SJQ5" s="12" t="s">
        <v>14902</v>
      </c>
      <c r="SJR5" s="12" t="s">
        <v>14903</v>
      </c>
      <c r="SJS5" s="12" t="s">
        <v>14904</v>
      </c>
      <c r="SJT5" s="12" t="s">
        <v>14905</v>
      </c>
      <c r="SJU5" s="12" t="s">
        <v>14906</v>
      </c>
      <c r="SJV5" s="12" t="s">
        <v>14907</v>
      </c>
      <c r="SJW5" s="12" t="s">
        <v>14908</v>
      </c>
      <c r="SJX5" s="12" t="s">
        <v>14909</v>
      </c>
      <c r="SJY5" s="12" t="s">
        <v>14910</v>
      </c>
      <c r="SJZ5" s="12" t="s">
        <v>14911</v>
      </c>
      <c r="SKA5" s="12" t="s">
        <v>14912</v>
      </c>
      <c r="SKB5" s="12" t="s">
        <v>14913</v>
      </c>
      <c r="SKC5" s="12" t="s">
        <v>14914</v>
      </c>
      <c r="SKD5" s="12" t="s">
        <v>14915</v>
      </c>
      <c r="SKE5" s="12" t="s">
        <v>14916</v>
      </c>
      <c r="SKF5" s="12" t="s">
        <v>14917</v>
      </c>
      <c r="SKG5" s="12" t="s">
        <v>14918</v>
      </c>
      <c r="SKH5" s="12" t="s">
        <v>14919</v>
      </c>
      <c r="SKI5" s="12" t="s">
        <v>14920</v>
      </c>
      <c r="SKJ5" s="12" t="s">
        <v>14921</v>
      </c>
      <c r="SKK5" s="12" t="s">
        <v>14922</v>
      </c>
      <c r="SKL5" s="12" t="s">
        <v>14923</v>
      </c>
      <c r="SKM5" s="12" t="s">
        <v>14924</v>
      </c>
      <c r="SKN5" s="12" t="s">
        <v>14925</v>
      </c>
      <c r="SKO5" s="12" t="s">
        <v>14926</v>
      </c>
      <c r="SKP5" s="12" t="s">
        <v>14927</v>
      </c>
      <c r="SKQ5" s="12" t="s">
        <v>14928</v>
      </c>
      <c r="SKR5" s="12" t="s">
        <v>14929</v>
      </c>
      <c r="SKS5" s="12" t="s">
        <v>14930</v>
      </c>
      <c r="SKT5" s="12" t="s">
        <v>14931</v>
      </c>
      <c r="SKU5" s="12" t="s">
        <v>14932</v>
      </c>
      <c r="SKV5" s="12" t="s">
        <v>14933</v>
      </c>
      <c r="SKW5" s="12" t="s">
        <v>14934</v>
      </c>
      <c r="SKX5" s="12" t="s">
        <v>14935</v>
      </c>
      <c r="SKY5" s="12" t="s">
        <v>14936</v>
      </c>
      <c r="SKZ5" s="12" t="s">
        <v>14937</v>
      </c>
      <c r="SLA5" s="12" t="s">
        <v>14938</v>
      </c>
      <c r="SLB5" s="12" t="s">
        <v>14939</v>
      </c>
      <c r="SLC5" s="12" t="s">
        <v>14940</v>
      </c>
      <c r="SLD5" s="12" t="s">
        <v>14941</v>
      </c>
      <c r="SLE5" s="12" t="s">
        <v>14942</v>
      </c>
      <c r="SLF5" s="12" t="s">
        <v>14943</v>
      </c>
      <c r="SLG5" s="12" t="s">
        <v>14944</v>
      </c>
      <c r="SLH5" s="12" t="s">
        <v>14945</v>
      </c>
      <c r="SLI5" s="12" t="s">
        <v>14946</v>
      </c>
      <c r="SLJ5" s="12" t="s">
        <v>14947</v>
      </c>
      <c r="SLK5" s="12" t="s">
        <v>14948</v>
      </c>
      <c r="SLL5" s="12" t="s">
        <v>14949</v>
      </c>
      <c r="SLM5" s="12" t="s">
        <v>14950</v>
      </c>
      <c r="SLN5" s="12" t="s">
        <v>14951</v>
      </c>
      <c r="SLO5" s="12" t="s">
        <v>14952</v>
      </c>
      <c r="SLP5" s="12" t="s">
        <v>14953</v>
      </c>
      <c r="SLQ5" s="12" t="s">
        <v>14954</v>
      </c>
      <c r="SLR5" s="12" t="s">
        <v>14955</v>
      </c>
      <c r="SLS5" s="12" t="s">
        <v>14956</v>
      </c>
      <c r="SLT5" s="12" t="s">
        <v>14957</v>
      </c>
      <c r="SLU5" s="12" t="s">
        <v>14958</v>
      </c>
      <c r="SLV5" s="12" t="s">
        <v>14959</v>
      </c>
      <c r="SLW5" s="12" t="s">
        <v>14960</v>
      </c>
      <c r="SLX5" s="12" t="s">
        <v>14961</v>
      </c>
      <c r="SLY5" s="12" t="s">
        <v>14962</v>
      </c>
      <c r="SLZ5" s="12" t="s">
        <v>14963</v>
      </c>
      <c r="SMA5" s="12" t="s">
        <v>14964</v>
      </c>
      <c r="SMB5" s="12" t="s">
        <v>14965</v>
      </c>
      <c r="SMC5" s="12" t="s">
        <v>14966</v>
      </c>
      <c r="SMD5" s="12" t="s">
        <v>14967</v>
      </c>
      <c r="SME5" s="12" t="s">
        <v>14968</v>
      </c>
      <c r="SMF5" s="12" t="s">
        <v>14969</v>
      </c>
      <c r="SMG5" s="12" t="s">
        <v>14970</v>
      </c>
      <c r="SMH5" s="12" t="s">
        <v>14971</v>
      </c>
      <c r="SMI5" s="12" t="s">
        <v>14972</v>
      </c>
      <c r="SMJ5" s="12" t="s">
        <v>14973</v>
      </c>
      <c r="SMK5" s="12" t="s">
        <v>14974</v>
      </c>
      <c r="SML5" s="12" t="s">
        <v>14975</v>
      </c>
      <c r="SMM5" s="12" t="s">
        <v>14976</v>
      </c>
      <c r="SMN5" s="12" t="s">
        <v>14977</v>
      </c>
      <c r="SMO5" s="12" t="s">
        <v>14978</v>
      </c>
      <c r="SMP5" s="12" t="s">
        <v>14979</v>
      </c>
      <c r="SMQ5" s="12" t="s">
        <v>14980</v>
      </c>
      <c r="SMR5" s="12" t="s">
        <v>14981</v>
      </c>
      <c r="SMS5" s="12" t="s">
        <v>14982</v>
      </c>
      <c r="SMT5" s="12" t="s">
        <v>14983</v>
      </c>
      <c r="SMU5" s="12" t="s">
        <v>14984</v>
      </c>
      <c r="SMV5" s="12" t="s">
        <v>14985</v>
      </c>
      <c r="SMW5" s="12" t="s">
        <v>14986</v>
      </c>
      <c r="SMX5" s="12" t="s">
        <v>14987</v>
      </c>
      <c r="SMY5" s="12" t="s">
        <v>14988</v>
      </c>
      <c r="SMZ5" s="12" t="s">
        <v>14989</v>
      </c>
      <c r="SNA5" s="12" t="s">
        <v>14990</v>
      </c>
      <c r="SNB5" s="12" t="s">
        <v>14991</v>
      </c>
      <c r="SNC5" s="12" t="s">
        <v>14992</v>
      </c>
      <c r="SND5" s="12" t="s">
        <v>14993</v>
      </c>
      <c r="SNE5" s="12" t="s">
        <v>14994</v>
      </c>
      <c r="SNF5" s="12" t="s">
        <v>14995</v>
      </c>
      <c r="SNG5" s="12" t="s">
        <v>14996</v>
      </c>
      <c r="SNH5" s="12" t="s">
        <v>14997</v>
      </c>
      <c r="SNI5" s="12" t="s">
        <v>14998</v>
      </c>
      <c r="SNJ5" s="12" t="s">
        <v>14999</v>
      </c>
      <c r="SNK5" s="12" t="s">
        <v>15000</v>
      </c>
      <c r="SNL5" s="12" t="s">
        <v>15001</v>
      </c>
      <c r="SNM5" s="12" t="s">
        <v>15002</v>
      </c>
      <c r="SNN5" s="12" t="s">
        <v>15003</v>
      </c>
      <c r="SNO5" s="12" t="s">
        <v>15004</v>
      </c>
      <c r="SNP5" s="12" t="s">
        <v>15005</v>
      </c>
      <c r="SNQ5" s="12" t="s">
        <v>15006</v>
      </c>
      <c r="SNR5" s="12" t="s">
        <v>15007</v>
      </c>
      <c r="SNS5" s="12" t="s">
        <v>15008</v>
      </c>
      <c r="SNT5" s="12" t="s">
        <v>15009</v>
      </c>
      <c r="SNU5" s="12" t="s">
        <v>15010</v>
      </c>
      <c r="SNV5" s="12" t="s">
        <v>15011</v>
      </c>
      <c r="SNW5" s="12" t="s">
        <v>15012</v>
      </c>
      <c r="SNX5" s="12" t="s">
        <v>15013</v>
      </c>
      <c r="SNY5" s="12" t="s">
        <v>15014</v>
      </c>
      <c r="SNZ5" s="12" t="s">
        <v>15015</v>
      </c>
      <c r="SOA5" s="12" t="s">
        <v>15016</v>
      </c>
      <c r="SOB5" s="12" t="s">
        <v>15017</v>
      </c>
      <c r="SOC5" s="12" t="s">
        <v>15018</v>
      </c>
      <c r="SOD5" s="12" t="s">
        <v>15019</v>
      </c>
      <c r="SOE5" s="12" t="s">
        <v>15020</v>
      </c>
      <c r="SOF5" s="12" t="s">
        <v>15021</v>
      </c>
      <c r="SOG5" s="12" t="s">
        <v>15022</v>
      </c>
      <c r="SOH5" s="12" t="s">
        <v>15023</v>
      </c>
      <c r="SOI5" s="12" t="s">
        <v>15024</v>
      </c>
      <c r="SOJ5" s="12" t="s">
        <v>15025</v>
      </c>
      <c r="SOK5" s="12" t="s">
        <v>15026</v>
      </c>
      <c r="SOL5" s="12" t="s">
        <v>15027</v>
      </c>
      <c r="SOM5" s="12" t="s">
        <v>15028</v>
      </c>
      <c r="SON5" s="12" t="s">
        <v>15029</v>
      </c>
      <c r="SOO5" s="12" t="s">
        <v>15030</v>
      </c>
      <c r="SOP5" s="12" t="s">
        <v>15031</v>
      </c>
      <c r="SOQ5" s="12" t="s">
        <v>15032</v>
      </c>
      <c r="SOR5" s="12" t="s">
        <v>15033</v>
      </c>
      <c r="SOS5" s="12" t="s">
        <v>15034</v>
      </c>
      <c r="SOT5" s="12" t="s">
        <v>15035</v>
      </c>
      <c r="SOU5" s="12" t="s">
        <v>15036</v>
      </c>
      <c r="SOV5" s="12" t="s">
        <v>15037</v>
      </c>
      <c r="SOW5" s="12" t="s">
        <v>15038</v>
      </c>
      <c r="SOX5" s="12" t="s">
        <v>15039</v>
      </c>
      <c r="SOY5" s="12" t="s">
        <v>15040</v>
      </c>
      <c r="SOZ5" s="12" t="s">
        <v>15041</v>
      </c>
      <c r="SPA5" s="12" t="s">
        <v>15042</v>
      </c>
      <c r="SPB5" s="12" t="s">
        <v>15043</v>
      </c>
      <c r="SPC5" s="12" t="s">
        <v>15044</v>
      </c>
      <c r="SPD5" s="12" t="s">
        <v>15045</v>
      </c>
      <c r="SPE5" s="12" t="s">
        <v>15046</v>
      </c>
      <c r="SPF5" s="12" t="s">
        <v>15047</v>
      </c>
      <c r="SPG5" s="12" t="s">
        <v>15048</v>
      </c>
      <c r="SPH5" s="12" t="s">
        <v>15049</v>
      </c>
      <c r="SPI5" s="12" t="s">
        <v>15050</v>
      </c>
      <c r="SPJ5" s="12" t="s">
        <v>15051</v>
      </c>
      <c r="SPK5" s="12" t="s">
        <v>15052</v>
      </c>
      <c r="SPL5" s="12" t="s">
        <v>15053</v>
      </c>
      <c r="SPM5" s="12" t="s">
        <v>15054</v>
      </c>
      <c r="SPN5" s="12" t="s">
        <v>15055</v>
      </c>
      <c r="SPO5" s="12" t="s">
        <v>15056</v>
      </c>
      <c r="SPP5" s="12" t="s">
        <v>15057</v>
      </c>
      <c r="SPQ5" s="12" t="s">
        <v>15058</v>
      </c>
      <c r="SPR5" s="12" t="s">
        <v>15059</v>
      </c>
      <c r="SPS5" s="12" t="s">
        <v>15060</v>
      </c>
      <c r="SPT5" s="12" t="s">
        <v>15061</v>
      </c>
      <c r="SPU5" s="12" t="s">
        <v>15062</v>
      </c>
      <c r="SPV5" s="12" t="s">
        <v>15063</v>
      </c>
      <c r="SPW5" s="12" t="s">
        <v>15064</v>
      </c>
      <c r="SPX5" s="12" t="s">
        <v>15065</v>
      </c>
      <c r="SPY5" s="12" t="s">
        <v>15066</v>
      </c>
      <c r="SPZ5" s="12" t="s">
        <v>15067</v>
      </c>
      <c r="SQA5" s="12" t="s">
        <v>15068</v>
      </c>
      <c r="SQB5" s="12" t="s">
        <v>15069</v>
      </c>
      <c r="SQC5" s="12" t="s">
        <v>15070</v>
      </c>
      <c r="SQD5" s="12" t="s">
        <v>15071</v>
      </c>
      <c r="SQE5" s="12" t="s">
        <v>15072</v>
      </c>
      <c r="SQF5" s="12" t="s">
        <v>15073</v>
      </c>
      <c r="SQG5" s="12" t="s">
        <v>15074</v>
      </c>
      <c r="SQH5" s="12" t="s">
        <v>15075</v>
      </c>
      <c r="SQI5" s="12" t="s">
        <v>15076</v>
      </c>
      <c r="SQJ5" s="12" t="s">
        <v>15077</v>
      </c>
      <c r="SQK5" s="12" t="s">
        <v>15078</v>
      </c>
      <c r="SQL5" s="12" t="s">
        <v>15079</v>
      </c>
      <c r="SQM5" s="12" t="s">
        <v>15080</v>
      </c>
      <c r="SQN5" s="12" t="s">
        <v>15081</v>
      </c>
      <c r="SQO5" s="12" t="s">
        <v>15082</v>
      </c>
      <c r="SQP5" s="12" t="s">
        <v>15083</v>
      </c>
      <c r="SQQ5" s="12" t="s">
        <v>15084</v>
      </c>
      <c r="SQR5" s="12" t="s">
        <v>15085</v>
      </c>
      <c r="SQS5" s="12" t="s">
        <v>15086</v>
      </c>
      <c r="SQT5" s="12" t="s">
        <v>15087</v>
      </c>
      <c r="SQU5" s="12" t="s">
        <v>15088</v>
      </c>
      <c r="SQV5" s="12" t="s">
        <v>15089</v>
      </c>
      <c r="SQW5" s="12" t="s">
        <v>15090</v>
      </c>
      <c r="SQX5" s="12" t="s">
        <v>15091</v>
      </c>
      <c r="SQY5" s="12" t="s">
        <v>15092</v>
      </c>
      <c r="SQZ5" s="12" t="s">
        <v>15093</v>
      </c>
      <c r="SRA5" s="12" t="s">
        <v>15094</v>
      </c>
      <c r="SRB5" s="12" t="s">
        <v>15095</v>
      </c>
      <c r="SRC5" s="12" t="s">
        <v>15096</v>
      </c>
      <c r="SRD5" s="12" t="s">
        <v>15097</v>
      </c>
      <c r="SRE5" s="12" t="s">
        <v>15098</v>
      </c>
      <c r="SRF5" s="12" t="s">
        <v>15099</v>
      </c>
      <c r="SRG5" s="12" t="s">
        <v>15100</v>
      </c>
      <c r="SRH5" s="12" t="s">
        <v>15101</v>
      </c>
      <c r="SRI5" s="12" t="s">
        <v>15102</v>
      </c>
      <c r="SRJ5" s="12" t="s">
        <v>15103</v>
      </c>
      <c r="SRK5" s="12" t="s">
        <v>15104</v>
      </c>
      <c r="SRL5" s="12" t="s">
        <v>15105</v>
      </c>
      <c r="SRM5" s="12" t="s">
        <v>15106</v>
      </c>
      <c r="SRN5" s="12" t="s">
        <v>15107</v>
      </c>
      <c r="SRO5" s="12" t="s">
        <v>15108</v>
      </c>
      <c r="SRP5" s="12" t="s">
        <v>15109</v>
      </c>
      <c r="SRQ5" s="12" t="s">
        <v>15110</v>
      </c>
      <c r="SRR5" s="12" t="s">
        <v>15111</v>
      </c>
      <c r="SRS5" s="12" t="s">
        <v>15112</v>
      </c>
      <c r="SRT5" s="12" t="s">
        <v>15113</v>
      </c>
      <c r="SRU5" s="12" t="s">
        <v>15114</v>
      </c>
      <c r="SRV5" s="12" t="s">
        <v>15115</v>
      </c>
      <c r="SRW5" s="12" t="s">
        <v>15116</v>
      </c>
      <c r="SRX5" s="12" t="s">
        <v>15117</v>
      </c>
      <c r="SRY5" s="12" t="s">
        <v>15118</v>
      </c>
      <c r="SRZ5" s="12" t="s">
        <v>15119</v>
      </c>
      <c r="SSA5" s="12" t="s">
        <v>15120</v>
      </c>
      <c r="SSB5" s="12" t="s">
        <v>15121</v>
      </c>
      <c r="SSC5" s="12" t="s">
        <v>15122</v>
      </c>
      <c r="SSD5" s="12" t="s">
        <v>15123</v>
      </c>
      <c r="SSE5" s="12" t="s">
        <v>15124</v>
      </c>
      <c r="SSF5" s="12" t="s">
        <v>15125</v>
      </c>
      <c r="SSG5" s="12" t="s">
        <v>15126</v>
      </c>
      <c r="SSH5" s="12" t="s">
        <v>15127</v>
      </c>
      <c r="SSI5" s="12" t="s">
        <v>15128</v>
      </c>
      <c r="SSJ5" s="12" t="s">
        <v>15129</v>
      </c>
      <c r="SSK5" s="12" t="s">
        <v>15130</v>
      </c>
      <c r="SSL5" s="12" t="s">
        <v>15131</v>
      </c>
      <c r="SSM5" s="12" t="s">
        <v>15132</v>
      </c>
      <c r="SSN5" s="12" t="s">
        <v>15133</v>
      </c>
      <c r="SSO5" s="12" t="s">
        <v>15134</v>
      </c>
      <c r="SSP5" s="12" t="s">
        <v>15135</v>
      </c>
      <c r="SSQ5" s="12" t="s">
        <v>15136</v>
      </c>
      <c r="SSR5" s="12" t="s">
        <v>15137</v>
      </c>
      <c r="SSS5" s="12" t="s">
        <v>15138</v>
      </c>
      <c r="SST5" s="12" t="s">
        <v>15139</v>
      </c>
      <c r="SSU5" s="12" t="s">
        <v>15140</v>
      </c>
      <c r="SSV5" s="12" t="s">
        <v>15141</v>
      </c>
      <c r="SSW5" s="12" t="s">
        <v>15142</v>
      </c>
      <c r="SSX5" s="12" t="s">
        <v>15143</v>
      </c>
      <c r="SSY5" s="12" t="s">
        <v>15144</v>
      </c>
      <c r="SSZ5" s="12" t="s">
        <v>15145</v>
      </c>
      <c r="STA5" s="12" t="s">
        <v>15146</v>
      </c>
      <c r="STB5" s="12" t="s">
        <v>15147</v>
      </c>
      <c r="STC5" s="12" t="s">
        <v>15148</v>
      </c>
      <c r="STD5" s="12" t="s">
        <v>15149</v>
      </c>
      <c r="STE5" s="12" t="s">
        <v>15150</v>
      </c>
      <c r="STF5" s="12" t="s">
        <v>15151</v>
      </c>
      <c r="STG5" s="12" t="s">
        <v>15152</v>
      </c>
      <c r="STH5" s="12" t="s">
        <v>15153</v>
      </c>
      <c r="STI5" s="12" t="s">
        <v>15154</v>
      </c>
      <c r="STJ5" s="12" t="s">
        <v>15155</v>
      </c>
      <c r="STK5" s="12" t="s">
        <v>15156</v>
      </c>
      <c r="STL5" s="12" t="s">
        <v>15157</v>
      </c>
      <c r="STM5" s="12" t="s">
        <v>15158</v>
      </c>
      <c r="STN5" s="12" t="s">
        <v>15159</v>
      </c>
      <c r="STO5" s="12" t="s">
        <v>15160</v>
      </c>
      <c r="STP5" s="12" t="s">
        <v>15161</v>
      </c>
      <c r="STQ5" s="12" t="s">
        <v>15162</v>
      </c>
      <c r="STR5" s="12" t="s">
        <v>15163</v>
      </c>
      <c r="STS5" s="12" t="s">
        <v>15164</v>
      </c>
      <c r="STT5" s="12" t="s">
        <v>15165</v>
      </c>
      <c r="STU5" s="12" t="s">
        <v>15166</v>
      </c>
      <c r="STV5" s="12" t="s">
        <v>15167</v>
      </c>
      <c r="STW5" s="12" t="s">
        <v>15168</v>
      </c>
      <c r="STX5" s="12" t="s">
        <v>15169</v>
      </c>
      <c r="STY5" s="12" t="s">
        <v>15170</v>
      </c>
      <c r="STZ5" s="12" t="s">
        <v>15171</v>
      </c>
      <c r="SUA5" s="12" t="s">
        <v>15172</v>
      </c>
      <c r="SUB5" s="12" t="s">
        <v>15173</v>
      </c>
      <c r="SUC5" s="12" t="s">
        <v>15174</v>
      </c>
      <c r="SUD5" s="12" t="s">
        <v>15175</v>
      </c>
      <c r="SUE5" s="12" t="s">
        <v>15176</v>
      </c>
      <c r="SUF5" s="12" t="s">
        <v>15177</v>
      </c>
      <c r="SUG5" s="12" t="s">
        <v>15178</v>
      </c>
      <c r="SUH5" s="12" t="s">
        <v>15179</v>
      </c>
      <c r="SUI5" s="12" t="s">
        <v>15180</v>
      </c>
      <c r="SUJ5" s="12" t="s">
        <v>15181</v>
      </c>
      <c r="SUK5" s="12" t="s">
        <v>15182</v>
      </c>
      <c r="SUL5" s="12" t="s">
        <v>15183</v>
      </c>
      <c r="SUM5" s="12" t="s">
        <v>15184</v>
      </c>
      <c r="SUN5" s="12" t="s">
        <v>15185</v>
      </c>
      <c r="SUO5" s="12" t="s">
        <v>15186</v>
      </c>
      <c r="SUP5" s="12" t="s">
        <v>15187</v>
      </c>
      <c r="SUQ5" s="12" t="s">
        <v>15188</v>
      </c>
      <c r="SUR5" s="12" t="s">
        <v>15189</v>
      </c>
      <c r="SUS5" s="12" t="s">
        <v>15190</v>
      </c>
      <c r="SUT5" s="12" t="s">
        <v>15191</v>
      </c>
      <c r="SUU5" s="12" t="s">
        <v>15192</v>
      </c>
      <c r="SUV5" s="12" t="s">
        <v>15193</v>
      </c>
      <c r="SUW5" s="12" t="s">
        <v>15194</v>
      </c>
      <c r="SUX5" s="12" t="s">
        <v>15195</v>
      </c>
      <c r="SUY5" s="12" t="s">
        <v>15196</v>
      </c>
      <c r="SUZ5" s="12" t="s">
        <v>15197</v>
      </c>
      <c r="SVA5" s="12" t="s">
        <v>15198</v>
      </c>
      <c r="SVB5" s="12" t="s">
        <v>15199</v>
      </c>
      <c r="SVC5" s="12" t="s">
        <v>15200</v>
      </c>
      <c r="SVD5" s="12" t="s">
        <v>15201</v>
      </c>
      <c r="SVE5" s="12" t="s">
        <v>15202</v>
      </c>
      <c r="SVF5" s="12" t="s">
        <v>15203</v>
      </c>
      <c r="SVG5" s="12" t="s">
        <v>15204</v>
      </c>
      <c r="SVH5" s="12" t="s">
        <v>15205</v>
      </c>
      <c r="SVI5" s="12" t="s">
        <v>15206</v>
      </c>
      <c r="SVJ5" s="12" t="s">
        <v>15207</v>
      </c>
      <c r="SVK5" s="12" t="s">
        <v>15208</v>
      </c>
      <c r="SVL5" s="12" t="s">
        <v>15209</v>
      </c>
      <c r="SVM5" s="12" t="s">
        <v>15210</v>
      </c>
      <c r="SVN5" s="12" t="s">
        <v>15211</v>
      </c>
      <c r="SVO5" s="12" t="s">
        <v>15212</v>
      </c>
      <c r="SVP5" s="12" t="s">
        <v>15213</v>
      </c>
      <c r="SVQ5" s="12" t="s">
        <v>15214</v>
      </c>
      <c r="SVR5" s="12" t="s">
        <v>15215</v>
      </c>
      <c r="SVS5" s="12" t="s">
        <v>15216</v>
      </c>
      <c r="SVT5" s="12" t="s">
        <v>15217</v>
      </c>
      <c r="SVU5" s="12" t="s">
        <v>15218</v>
      </c>
      <c r="SVV5" s="12" t="s">
        <v>15219</v>
      </c>
      <c r="SVW5" s="12" t="s">
        <v>15220</v>
      </c>
      <c r="SVX5" s="12" t="s">
        <v>15221</v>
      </c>
      <c r="SVY5" s="12" t="s">
        <v>15222</v>
      </c>
      <c r="SVZ5" s="12" t="s">
        <v>15223</v>
      </c>
      <c r="SWA5" s="12" t="s">
        <v>15224</v>
      </c>
      <c r="SWB5" s="12" t="s">
        <v>15225</v>
      </c>
      <c r="SWC5" s="12" t="s">
        <v>15226</v>
      </c>
      <c r="SWD5" s="12" t="s">
        <v>15227</v>
      </c>
      <c r="SWE5" s="12" t="s">
        <v>15228</v>
      </c>
      <c r="SWF5" s="12" t="s">
        <v>15229</v>
      </c>
      <c r="SWG5" s="12" t="s">
        <v>15230</v>
      </c>
      <c r="SWH5" s="12" t="s">
        <v>15231</v>
      </c>
      <c r="SWI5" s="12" t="s">
        <v>15232</v>
      </c>
      <c r="SWJ5" s="12" t="s">
        <v>15233</v>
      </c>
      <c r="SWK5" s="12" t="s">
        <v>15234</v>
      </c>
      <c r="SWL5" s="12" t="s">
        <v>15235</v>
      </c>
      <c r="SWM5" s="12" t="s">
        <v>15236</v>
      </c>
      <c r="SWN5" s="12" t="s">
        <v>15237</v>
      </c>
      <c r="SWO5" s="12" t="s">
        <v>15238</v>
      </c>
      <c r="SWP5" s="12" t="s">
        <v>15239</v>
      </c>
      <c r="SWQ5" s="12" t="s">
        <v>15240</v>
      </c>
      <c r="SWR5" s="12" t="s">
        <v>15241</v>
      </c>
      <c r="SWS5" s="12" t="s">
        <v>15242</v>
      </c>
      <c r="SWT5" s="12" t="s">
        <v>15243</v>
      </c>
      <c r="SWU5" s="12" t="s">
        <v>15244</v>
      </c>
      <c r="SWV5" s="12" t="s">
        <v>15245</v>
      </c>
      <c r="SWW5" s="12" t="s">
        <v>15246</v>
      </c>
      <c r="SWX5" s="12" t="s">
        <v>15247</v>
      </c>
      <c r="SWY5" s="12" t="s">
        <v>15248</v>
      </c>
      <c r="SWZ5" s="12" t="s">
        <v>15249</v>
      </c>
      <c r="SXA5" s="12" t="s">
        <v>15250</v>
      </c>
      <c r="SXB5" s="12" t="s">
        <v>15251</v>
      </c>
      <c r="SXC5" s="12" t="s">
        <v>15252</v>
      </c>
      <c r="SXD5" s="12" t="s">
        <v>15253</v>
      </c>
      <c r="SXE5" s="12" t="s">
        <v>15254</v>
      </c>
      <c r="SXF5" s="12" t="s">
        <v>15255</v>
      </c>
      <c r="SXG5" s="12" t="s">
        <v>15256</v>
      </c>
      <c r="SXH5" s="12" t="s">
        <v>15257</v>
      </c>
      <c r="SXI5" s="12" t="s">
        <v>15258</v>
      </c>
      <c r="SXJ5" s="12" t="s">
        <v>15259</v>
      </c>
      <c r="SXK5" s="12" t="s">
        <v>15260</v>
      </c>
      <c r="SXL5" s="12" t="s">
        <v>15261</v>
      </c>
      <c r="SXM5" s="12" t="s">
        <v>15262</v>
      </c>
      <c r="SXN5" s="12" t="s">
        <v>15263</v>
      </c>
      <c r="SXO5" s="12" t="s">
        <v>15264</v>
      </c>
      <c r="SXP5" s="12" t="s">
        <v>15265</v>
      </c>
      <c r="SXQ5" s="12" t="s">
        <v>15266</v>
      </c>
      <c r="SXR5" s="12" t="s">
        <v>15267</v>
      </c>
      <c r="SXS5" s="12" t="s">
        <v>15268</v>
      </c>
      <c r="SXT5" s="12" t="s">
        <v>15269</v>
      </c>
      <c r="SXU5" s="12" t="s">
        <v>15270</v>
      </c>
      <c r="SXV5" s="12" t="s">
        <v>15271</v>
      </c>
      <c r="SXW5" s="12" t="s">
        <v>15272</v>
      </c>
      <c r="SXX5" s="12" t="s">
        <v>15273</v>
      </c>
      <c r="SXY5" s="12" t="s">
        <v>15274</v>
      </c>
      <c r="SXZ5" s="12" t="s">
        <v>15275</v>
      </c>
      <c r="SYA5" s="12" t="s">
        <v>15276</v>
      </c>
      <c r="SYB5" s="12" t="s">
        <v>15277</v>
      </c>
      <c r="SYC5" s="12" t="s">
        <v>15278</v>
      </c>
      <c r="SYD5" s="12" t="s">
        <v>15279</v>
      </c>
      <c r="SYE5" s="12" t="s">
        <v>15280</v>
      </c>
      <c r="SYF5" s="12" t="s">
        <v>15281</v>
      </c>
      <c r="SYG5" s="12" t="s">
        <v>15282</v>
      </c>
      <c r="SYH5" s="12" t="s">
        <v>15283</v>
      </c>
      <c r="SYI5" s="12" t="s">
        <v>15284</v>
      </c>
      <c r="SYJ5" s="12" t="s">
        <v>15285</v>
      </c>
      <c r="SYK5" s="12" t="s">
        <v>15286</v>
      </c>
      <c r="SYL5" s="12" t="s">
        <v>15287</v>
      </c>
      <c r="SYM5" s="12" t="s">
        <v>15288</v>
      </c>
      <c r="SYN5" s="12" t="s">
        <v>15289</v>
      </c>
      <c r="SYO5" s="12" t="s">
        <v>15290</v>
      </c>
      <c r="SYP5" s="12" t="s">
        <v>15291</v>
      </c>
      <c r="SYQ5" s="12" t="s">
        <v>15292</v>
      </c>
      <c r="SYR5" s="12" t="s">
        <v>15293</v>
      </c>
      <c r="SYS5" s="12" t="s">
        <v>15294</v>
      </c>
      <c r="SYT5" s="12" t="s">
        <v>15295</v>
      </c>
      <c r="SYU5" s="12" t="s">
        <v>15296</v>
      </c>
      <c r="SYV5" s="12" t="s">
        <v>15297</v>
      </c>
      <c r="SYW5" s="12" t="s">
        <v>15298</v>
      </c>
      <c r="SYX5" s="12" t="s">
        <v>15299</v>
      </c>
      <c r="SYY5" s="12" t="s">
        <v>15300</v>
      </c>
      <c r="SYZ5" s="12" t="s">
        <v>15301</v>
      </c>
      <c r="SZA5" s="12" t="s">
        <v>15302</v>
      </c>
      <c r="SZB5" s="12" t="s">
        <v>15303</v>
      </c>
      <c r="SZC5" s="12" t="s">
        <v>15304</v>
      </c>
      <c r="SZD5" s="12" t="s">
        <v>15305</v>
      </c>
      <c r="SZE5" s="12" t="s">
        <v>15306</v>
      </c>
      <c r="SZF5" s="12" t="s">
        <v>15307</v>
      </c>
      <c r="SZG5" s="12" t="s">
        <v>15308</v>
      </c>
      <c r="SZH5" s="12" t="s">
        <v>15309</v>
      </c>
      <c r="SZI5" s="12" t="s">
        <v>15310</v>
      </c>
      <c r="SZJ5" s="12" t="s">
        <v>15311</v>
      </c>
      <c r="SZK5" s="12" t="s">
        <v>15312</v>
      </c>
      <c r="SZL5" s="12" t="s">
        <v>15313</v>
      </c>
      <c r="SZM5" s="12" t="s">
        <v>15314</v>
      </c>
      <c r="SZN5" s="12" t="s">
        <v>15315</v>
      </c>
      <c r="SZO5" s="12" t="s">
        <v>15316</v>
      </c>
      <c r="SZP5" s="12" t="s">
        <v>15317</v>
      </c>
      <c r="SZQ5" s="12" t="s">
        <v>15318</v>
      </c>
      <c r="SZR5" s="12" t="s">
        <v>15319</v>
      </c>
      <c r="SZS5" s="12" t="s">
        <v>15320</v>
      </c>
      <c r="SZT5" s="12" t="s">
        <v>15321</v>
      </c>
      <c r="SZU5" s="12" t="s">
        <v>15322</v>
      </c>
      <c r="SZV5" s="12" t="s">
        <v>15323</v>
      </c>
      <c r="SZW5" s="12" t="s">
        <v>15324</v>
      </c>
      <c r="SZX5" s="12" t="s">
        <v>15325</v>
      </c>
      <c r="SZY5" s="12" t="s">
        <v>15326</v>
      </c>
      <c r="SZZ5" s="12" t="s">
        <v>15327</v>
      </c>
      <c r="TAA5" s="12" t="s">
        <v>15328</v>
      </c>
      <c r="TAB5" s="12" t="s">
        <v>15329</v>
      </c>
      <c r="TAC5" s="12" t="s">
        <v>15330</v>
      </c>
      <c r="TAD5" s="12" t="s">
        <v>15331</v>
      </c>
      <c r="TAE5" s="12" t="s">
        <v>15332</v>
      </c>
      <c r="TAF5" s="12" t="s">
        <v>15333</v>
      </c>
      <c r="TAG5" s="12" t="s">
        <v>15334</v>
      </c>
      <c r="TAH5" s="12" t="s">
        <v>15335</v>
      </c>
      <c r="TAI5" s="12" t="s">
        <v>15336</v>
      </c>
      <c r="TAJ5" s="12" t="s">
        <v>15337</v>
      </c>
      <c r="TAK5" s="12" t="s">
        <v>15338</v>
      </c>
      <c r="TAL5" s="12" t="s">
        <v>15339</v>
      </c>
      <c r="TAM5" s="12" t="s">
        <v>15340</v>
      </c>
      <c r="TAN5" s="12" t="s">
        <v>15341</v>
      </c>
      <c r="TAO5" s="12" t="s">
        <v>15342</v>
      </c>
      <c r="TAP5" s="12" t="s">
        <v>15343</v>
      </c>
      <c r="TAQ5" s="12" t="s">
        <v>15344</v>
      </c>
      <c r="TAR5" s="12" t="s">
        <v>15345</v>
      </c>
      <c r="TAS5" s="12" t="s">
        <v>15346</v>
      </c>
      <c r="TAT5" s="12" t="s">
        <v>15347</v>
      </c>
      <c r="TAU5" s="12" t="s">
        <v>15348</v>
      </c>
      <c r="TAV5" s="12" t="s">
        <v>15349</v>
      </c>
      <c r="TAW5" s="12" t="s">
        <v>15350</v>
      </c>
      <c r="TAX5" s="12" t="s">
        <v>15351</v>
      </c>
      <c r="TAY5" s="12" t="s">
        <v>15352</v>
      </c>
      <c r="TAZ5" s="12" t="s">
        <v>15353</v>
      </c>
      <c r="TBA5" s="12" t="s">
        <v>15354</v>
      </c>
      <c r="TBB5" s="12" t="s">
        <v>15355</v>
      </c>
      <c r="TBC5" s="12" t="s">
        <v>15356</v>
      </c>
      <c r="TBD5" s="12" t="s">
        <v>15357</v>
      </c>
      <c r="TBE5" s="12" t="s">
        <v>15358</v>
      </c>
      <c r="TBF5" s="12" t="s">
        <v>15359</v>
      </c>
      <c r="TBG5" s="12" t="s">
        <v>15360</v>
      </c>
      <c r="TBH5" s="12" t="s">
        <v>15361</v>
      </c>
      <c r="TBI5" s="12" t="s">
        <v>15362</v>
      </c>
      <c r="TBJ5" s="12" t="s">
        <v>15363</v>
      </c>
      <c r="TBK5" s="12" t="s">
        <v>15364</v>
      </c>
      <c r="TBL5" s="12" t="s">
        <v>15365</v>
      </c>
      <c r="TBM5" s="12" t="s">
        <v>15366</v>
      </c>
      <c r="TBN5" s="12" t="s">
        <v>15367</v>
      </c>
      <c r="TBO5" s="12" t="s">
        <v>15368</v>
      </c>
      <c r="TBP5" s="12" t="s">
        <v>15369</v>
      </c>
      <c r="TBQ5" s="12" t="s">
        <v>15370</v>
      </c>
      <c r="TBR5" s="12" t="s">
        <v>15371</v>
      </c>
      <c r="TBS5" s="12" t="s">
        <v>15372</v>
      </c>
      <c r="TBT5" s="12" t="s">
        <v>15373</v>
      </c>
      <c r="TBU5" s="12" t="s">
        <v>15374</v>
      </c>
      <c r="TBV5" s="12" t="s">
        <v>15375</v>
      </c>
      <c r="TBW5" s="12" t="s">
        <v>15376</v>
      </c>
      <c r="TBX5" s="12" t="s">
        <v>15377</v>
      </c>
      <c r="TBY5" s="12" t="s">
        <v>15378</v>
      </c>
      <c r="TBZ5" s="12" t="s">
        <v>15379</v>
      </c>
      <c r="TCA5" s="12" t="s">
        <v>15380</v>
      </c>
      <c r="TCB5" s="12" t="s">
        <v>15381</v>
      </c>
      <c r="TCC5" s="12" t="s">
        <v>15382</v>
      </c>
      <c r="TCD5" s="12" t="s">
        <v>15383</v>
      </c>
      <c r="TCE5" s="12" t="s">
        <v>15384</v>
      </c>
      <c r="TCF5" s="12" t="s">
        <v>15385</v>
      </c>
      <c r="TCG5" s="12" t="s">
        <v>15386</v>
      </c>
      <c r="TCH5" s="12" t="s">
        <v>15387</v>
      </c>
      <c r="TCI5" s="12" t="s">
        <v>15388</v>
      </c>
      <c r="TCJ5" s="12" t="s">
        <v>15389</v>
      </c>
      <c r="TCK5" s="12" t="s">
        <v>15390</v>
      </c>
      <c r="TCL5" s="12" t="s">
        <v>15391</v>
      </c>
      <c r="TCM5" s="12" t="s">
        <v>15392</v>
      </c>
      <c r="TCN5" s="12" t="s">
        <v>15393</v>
      </c>
      <c r="TCO5" s="12" t="s">
        <v>15394</v>
      </c>
      <c r="TCP5" s="12" t="s">
        <v>15395</v>
      </c>
      <c r="TCQ5" s="12" t="s">
        <v>15396</v>
      </c>
      <c r="TCR5" s="12" t="s">
        <v>15397</v>
      </c>
      <c r="TCS5" s="12" t="s">
        <v>15398</v>
      </c>
      <c r="TCT5" s="12" t="s">
        <v>15399</v>
      </c>
      <c r="TCU5" s="12" t="s">
        <v>15400</v>
      </c>
      <c r="TCV5" s="12" t="s">
        <v>15401</v>
      </c>
      <c r="TCW5" s="12" t="s">
        <v>15402</v>
      </c>
      <c r="TCX5" s="12" t="s">
        <v>15403</v>
      </c>
      <c r="TCY5" s="12" t="s">
        <v>15404</v>
      </c>
      <c r="TCZ5" s="12" t="s">
        <v>15405</v>
      </c>
      <c r="TDA5" s="12" t="s">
        <v>15406</v>
      </c>
      <c r="TDB5" s="12" t="s">
        <v>15407</v>
      </c>
      <c r="TDC5" s="12" t="s">
        <v>15408</v>
      </c>
      <c r="TDD5" s="12" t="s">
        <v>15409</v>
      </c>
      <c r="TDE5" s="12" t="s">
        <v>15410</v>
      </c>
      <c r="TDF5" s="12" t="s">
        <v>15411</v>
      </c>
      <c r="TDG5" s="12" t="s">
        <v>15412</v>
      </c>
      <c r="TDH5" s="12" t="s">
        <v>15413</v>
      </c>
      <c r="TDI5" s="12" t="s">
        <v>15414</v>
      </c>
      <c r="TDJ5" s="12" t="s">
        <v>15415</v>
      </c>
      <c r="TDK5" s="12" t="s">
        <v>15416</v>
      </c>
      <c r="TDL5" s="12" t="s">
        <v>15417</v>
      </c>
      <c r="TDM5" s="12" t="s">
        <v>15418</v>
      </c>
      <c r="TDN5" s="12" t="s">
        <v>15419</v>
      </c>
      <c r="TDO5" s="12" t="s">
        <v>15420</v>
      </c>
      <c r="TDP5" s="12" t="s">
        <v>15421</v>
      </c>
      <c r="TDQ5" s="12" t="s">
        <v>15422</v>
      </c>
      <c r="TDR5" s="12" t="s">
        <v>15423</v>
      </c>
      <c r="TDS5" s="12" t="s">
        <v>15424</v>
      </c>
      <c r="TDT5" s="12" t="s">
        <v>15425</v>
      </c>
      <c r="TDU5" s="12" t="s">
        <v>15426</v>
      </c>
      <c r="TDV5" s="12" t="s">
        <v>15427</v>
      </c>
      <c r="TDW5" s="12" t="s">
        <v>15428</v>
      </c>
      <c r="TDX5" s="12" t="s">
        <v>15429</v>
      </c>
      <c r="TDY5" s="12" t="s">
        <v>15430</v>
      </c>
      <c r="TDZ5" s="12" t="s">
        <v>15431</v>
      </c>
      <c r="TEA5" s="12" t="s">
        <v>15432</v>
      </c>
      <c r="TEB5" s="12" t="s">
        <v>15433</v>
      </c>
      <c r="TEC5" s="12" t="s">
        <v>15434</v>
      </c>
      <c r="TED5" s="12" t="s">
        <v>15435</v>
      </c>
      <c r="TEE5" s="12" t="s">
        <v>15436</v>
      </c>
      <c r="TEF5" s="12" t="s">
        <v>15437</v>
      </c>
      <c r="TEG5" s="12" t="s">
        <v>15438</v>
      </c>
      <c r="TEH5" s="12" t="s">
        <v>15439</v>
      </c>
      <c r="TEI5" s="12" t="s">
        <v>15440</v>
      </c>
      <c r="TEJ5" s="12" t="s">
        <v>15441</v>
      </c>
      <c r="TEK5" s="12" t="s">
        <v>15442</v>
      </c>
      <c r="TEL5" s="12" t="s">
        <v>15443</v>
      </c>
      <c r="TEM5" s="12" t="s">
        <v>15444</v>
      </c>
      <c r="TEN5" s="12" t="s">
        <v>15445</v>
      </c>
      <c r="TEO5" s="12" t="s">
        <v>15446</v>
      </c>
      <c r="TEP5" s="12" t="s">
        <v>15447</v>
      </c>
      <c r="TEQ5" s="12" t="s">
        <v>15448</v>
      </c>
      <c r="TER5" s="12" t="s">
        <v>15449</v>
      </c>
      <c r="TES5" s="12" t="s">
        <v>15450</v>
      </c>
      <c r="TET5" s="12" t="s">
        <v>15451</v>
      </c>
      <c r="TEU5" s="12" t="s">
        <v>15452</v>
      </c>
      <c r="TEV5" s="12" t="s">
        <v>15453</v>
      </c>
      <c r="TEW5" s="12" t="s">
        <v>15454</v>
      </c>
      <c r="TEX5" s="12" t="s">
        <v>15455</v>
      </c>
      <c r="TEY5" s="12" t="s">
        <v>15456</v>
      </c>
      <c r="TEZ5" s="12" t="s">
        <v>15457</v>
      </c>
      <c r="TFA5" s="12" t="s">
        <v>15458</v>
      </c>
      <c r="TFB5" s="12" t="s">
        <v>15459</v>
      </c>
      <c r="TFC5" s="12" t="s">
        <v>15460</v>
      </c>
      <c r="TFD5" s="12" t="s">
        <v>15461</v>
      </c>
      <c r="TFE5" s="12" t="s">
        <v>15462</v>
      </c>
      <c r="TFF5" s="12" t="s">
        <v>15463</v>
      </c>
      <c r="TFG5" s="12" t="s">
        <v>15464</v>
      </c>
      <c r="TFH5" s="12" t="s">
        <v>15465</v>
      </c>
      <c r="TFI5" s="12" t="s">
        <v>15466</v>
      </c>
      <c r="TFJ5" s="12" t="s">
        <v>15467</v>
      </c>
      <c r="TFK5" s="12" t="s">
        <v>15468</v>
      </c>
      <c r="TFL5" s="12" t="s">
        <v>15469</v>
      </c>
      <c r="TFM5" s="12" t="s">
        <v>15470</v>
      </c>
      <c r="TFN5" s="12" t="s">
        <v>15471</v>
      </c>
      <c r="TFO5" s="12" t="s">
        <v>15472</v>
      </c>
      <c r="TFP5" s="12" t="s">
        <v>15473</v>
      </c>
      <c r="TFQ5" s="12" t="s">
        <v>15474</v>
      </c>
      <c r="TFR5" s="12" t="s">
        <v>15475</v>
      </c>
      <c r="TFS5" s="12" t="s">
        <v>15476</v>
      </c>
      <c r="TFT5" s="12" t="s">
        <v>15477</v>
      </c>
      <c r="TFU5" s="12" t="s">
        <v>15478</v>
      </c>
      <c r="TFV5" s="12" t="s">
        <v>15479</v>
      </c>
      <c r="TFW5" s="12" t="s">
        <v>15480</v>
      </c>
      <c r="TFX5" s="12" t="s">
        <v>15481</v>
      </c>
      <c r="TFY5" s="12" t="s">
        <v>15482</v>
      </c>
      <c r="TFZ5" s="12" t="s">
        <v>15483</v>
      </c>
      <c r="TGA5" s="12" t="s">
        <v>15484</v>
      </c>
      <c r="TGB5" s="12" t="s">
        <v>15485</v>
      </c>
      <c r="TGC5" s="12" t="s">
        <v>15486</v>
      </c>
      <c r="TGD5" s="12" t="s">
        <v>15487</v>
      </c>
      <c r="TGE5" s="12" t="s">
        <v>15488</v>
      </c>
      <c r="TGF5" s="12" t="s">
        <v>15489</v>
      </c>
      <c r="TGG5" s="12" t="s">
        <v>15490</v>
      </c>
      <c r="TGH5" s="12" t="s">
        <v>15491</v>
      </c>
      <c r="TGI5" s="12" t="s">
        <v>15492</v>
      </c>
      <c r="TGJ5" s="12" t="s">
        <v>15493</v>
      </c>
      <c r="TGK5" s="12" t="s">
        <v>15494</v>
      </c>
      <c r="TGL5" s="12" t="s">
        <v>15495</v>
      </c>
      <c r="TGM5" s="12" t="s">
        <v>15496</v>
      </c>
      <c r="TGN5" s="12" t="s">
        <v>15497</v>
      </c>
      <c r="TGO5" s="12" t="s">
        <v>15498</v>
      </c>
      <c r="TGP5" s="12" t="s">
        <v>15499</v>
      </c>
      <c r="TGQ5" s="12" t="s">
        <v>15500</v>
      </c>
      <c r="TGR5" s="12" t="s">
        <v>15501</v>
      </c>
      <c r="TGS5" s="12" t="s">
        <v>15502</v>
      </c>
      <c r="TGT5" s="12" t="s">
        <v>15503</v>
      </c>
      <c r="TGU5" s="12" t="s">
        <v>15504</v>
      </c>
      <c r="TGV5" s="12" t="s">
        <v>15505</v>
      </c>
      <c r="TGW5" s="12" t="s">
        <v>15506</v>
      </c>
      <c r="TGX5" s="12" t="s">
        <v>15507</v>
      </c>
      <c r="TGY5" s="12" t="s">
        <v>15508</v>
      </c>
      <c r="TGZ5" s="12" t="s">
        <v>15509</v>
      </c>
      <c r="THA5" s="12" t="s">
        <v>15510</v>
      </c>
      <c r="THB5" s="12" t="s">
        <v>15511</v>
      </c>
      <c r="THC5" s="12" t="s">
        <v>15512</v>
      </c>
      <c r="THD5" s="12" t="s">
        <v>15513</v>
      </c>
      <c r="THE5" s="12" t="s">
        <v>15514</v>
      </c>
      <c r="THF5" s="12" t="s">
        <v>15515</v>
      </c>
      <c r="THG5" s="12" t="s">
        <v>15516</v>
      </c>
      <c r="THH5" s="12" t="s">
        <v>15517</v>
      </c>
      <c r="THI5" s="12" t="s">
        <v>15518</v>
      </c>
      <c r="THJ5" s="12" t="s">
        <v>15519</v>
      </c>
      <c r="THK5" s="12" t="s">
        <v>15520</v>
      </c>
      <c r="THL5" s="12" t="s">
        <v>15521</v>
      </c>
      <c r="THM5" s="12" t="s">
        <v>15522</v>
      </c>
      <c r="THN5" s="12" t="s">
        <v>15523</v>
      </c>
      <c r="THO5" s="12" t="s">
        <v>15524</v>
      </c>
      <c r="THP5" s="12" t="s">
        <v>15525</v>
      </c>
      <c r="THQ5" s="12" t="s">
        <v>15526</v>
      </c>
      <c r="THR5" s="12" t="s">
        <v>15527</v>
      </c>
      <c r="THS5" s="12" t="s">
        <v>15528</v>
      </c>
      <c r="THT5" s="12" t="s">
        <v>15529</v>
      </c>
      <c r="THU5" s="12" t="s">
        <v>15530</v>
      </c>
      <c r="THV5" s="12" t="s">
        <v>15531</v>
      </c>
      <c r="THW5" s="12" t="s">
        <v>15532</v>
      </c>
      <c r="THX5" s="12" t="s">
        <v>15533</v>
      </c>
      <c r="THY5" s="12" t="s">
        <v>15534</v>
      </c>
      <c r="THZ5" s="12" t="s">
        <v>15535</v>
      </c>
      <c r="TIA5" s="12" t="s">
        <v>15536</v>
      </c>
      <c r="TIB5" s="12" t="s">
        <v>15537</v>
      </c>
      <c r="TIC5" s="12" t="s">
        <v>15538</v>
      </c>
      <c r="TID5" s="12" t="s">
        <v>15539</v>
      </c>
      <c r="TIE5" s="12" t="s">
        <v>15540</v>
      </c>
      <c r="TIF5" s="12" t="s">
        <v>15541</v>
      </c>
      <c r="TIG5" s="12" t="s">
        <v>15542</v>
      </c>
      <c r="TIH5" s="12" t="s">
        <v>15543</v>
      </c>
      <c r="TII5" s="12" t="s">
        <v>15544</v>
      </c>
      <c r="TIJ5" s="12" t="s">
        <v>15545</v>
      </c>
      <c r="TIK5" s="12" t="s">
        <v>15546</v>
      </c>
      <c r="TIL5" s="12" t="s">
        <v>15547</v>
      </c>
      <c r="TIM5" s="12" t="s">
        <v>15548</v>
      </c>
      <c r="TIN5" s="12" t="s">
        <v>15549</v>
      </c>
      <c r="TIO5" s="12" t="s">
        <v>15550</v>
      </c>
      <c r="TIP5" s="12" t="s">
        <v>15551</v>
      </c>
      <c r="TIQ5" s="12" t="s">
        <v>15552</v>
      </c>
      <c r="TIR5" s="12" t="s">
        <v>15553</v>
      </c>
      <c r="TIS5" s="12" t="s">
        <v>15554</v>
      </c>
      <c r="TIT5" s="12" t="s">
        <v>15555</v>
      </c>
      <c r="TIU5" s="12" t="s">
        <v>15556</v>
      </c>
      <c r="TIV5" s="12" t="s">
        <v>15557</v>
      </c>
      <c r="TIW5" s="12" t="s">
        <v>15558</v>
      </c>
      <c r="TIX5" s="12" t="s">
        <v>15559</v>
      </c>
      <c r="TIY5" s="12" t="s">
        <v>15560</v>
      </c>
      <c r="TIZ5" s="12" t="s">
        <v>15561</v>
      </c>
      <c r="TJA5" s="12" t="s">
        <v>15562</v>
      </c>
      <c r="TJB5" s="12" t="s">
        <v>15563</v>
      </c>
      <c r="TJC5" s="12" t="s">
        <v>15564</v>
      </c>
      <c r="TJD5" s="12" t="s">
        <v>15565</v>
      </c>
      <c r="TJE5" s="12" t="s">
        <v>15566</v>
      </c>
      <c r="TJF5" s="12" t="s">
        <v>15567</v>
      </c>
      <c r="TJG5" s="12" t="s">
        <v>15568</v>
      </c>
      <c r="TJH5" s="12" t="s">
        <v>15569</v>
      </c>
      <c r="TJI5" s="12" t="s">
        <v>15570</v>
      </c>
      <c r="TJJ5" s="12" t="s">
        <v>15571</v>
      </c>
      <c r="TJK5" s="12" t="s">
        <v>15572</v>
      </c>
      <c r="TJL5" s="12" t="s">
        <v>15573</v>
      </c>
      <c r="TJM5" s="12" t="s">
        <v>15574</v>
      </c>
      <c r="TJN5" s="12" t="s">
        <v>15575</v>
      </c>
      <c r="TJO5" s="12" t="s">
        <v>15576</v>
      </c>
      <c r="TJP5" s="12" t="s">
        <v>15577</v>
      </c>
      <c r="TJQ5" s="12" t="s">
        <v>15578</v>
      </c>
      <c r="TJR5" s="12" t="s">
        <v>15579</v>
      </c>
      <c r="TJS5" s="12" t="s">
        <v>15580</v>
      </c>
      <c r="TJT5" s="12" t="s">
        <v>15581</v>
      </c>
      <c r="TJU5" s="12" t="s">
        <v>15582</v>
      </c>
      <c r="TJV5" s="12" t="s">
        <v>15583</v>
      </c>
      <c r="TJW5" s="12" t="s">
        <v>15584</v>
      </c>
      <c r="TJX5" s="12" t="s">
        <v>15585</v>
      </c>
      <c r="TJY5" s="12" t="s">
        <v>15586</v>
      </c>
      <c r="TJZ5" s="12" t="s">
        <v>15587</v>
      </c>
      <c r="TKA5" s="12" t="s">
        <v>15588</v>
      </c>
      <c r="TKB5" s="12" t="s">
        <v>15589</v>
      </c>
      <c r="TKC5" s="12" t="s">
        <v>15590</v>
      </c>
      <c r="TKD5" s="12" t="s">
        <v>15591</v>
      </c>
      <c r="TKE5" s="12" t="s">
        <v>15592</v>
      </c>
      <c r="TKF5" s="12" t="s">
        <v>15593</v>
      </c>
      <c r="TKG5" s="12" t="s">
        <v>15594</v>
      </c>
      <c r="TKH5" s="12" t="s">
        <v>15595</v>
      </c>
      <c r="TKI5" s="12" t="s">
        <v>15596</v>
      </c>
      <c r="TKJ5" s="12" t="s">
        <v>15597</v>
      </c>
      <c r="TKK5" s="12" t="s">
        <v>15598</v>
      </c>
      <c r="TKL5" s="12" t="s">
        <v>15599</v>
      </c>
      <c r="TKM5" s="12" t="s">
        <v>15600</v>
      </c>
      <c r="TKN5" s="12" t="s">
        <v>15601</v>
      </c>
      <c r="TKO5" s="12" t="s">
        <v>15602</v>
      </c>
      <c r="TKP5" s="12" t="s">
        <v>15603</v>
      </c>
      <c r="TKQ5" s="12" t="s">
        <v>15604</v>
      </c>
      <c r="TKR5" s="12" t="s">
        <v>15605</v>
      </c>
      <c r="TKS5" s="12" t="s">
        <v>15606</v>
      </c>
      <c r="TKT5" s="12" t="s">
        <v>15607</v>
      </c>
      <c r="TKU5" s="12" t="s">
        <v>15608</v>
      </c>
      <c r="TKV5" s="12" t="s">
        <v>15609</v>
      </c>
      <c r="TKW5" s="12" t="s">
        <v>15610</v>
      </c>
      <c r="TKX5" s="12" t="s">
        <v>15611</v>
      </c>
      <c r="TKY5" s="12" t="s">
        <v>15612</v>
      </c>
      <c r="TKZ5" s="12" t="s">
        <v>15613</v>
      </c>
      <c r="TLA5" s="12" t="s">
        <v>15614</v>
      </c>
      <c r="TLB5" s="12" t="s">
        <v>15615</v>
      </c>
      <c r="TLC5" s="12" t="s">
        <v>15616</v>
      </c>
      <c r="TLD5" s="12" t="s">
        <v>15617</v>
      </c>
      <c r="TLE5" s="12" t="s">
        <v>15618</v>
      </c>
      <c r="TLF5" s="12" t="s">
        <v>15619</v>
      </c>
      <c r="TLG5" s="12" t="s">
        <v>15620</v>
      </c>
      <c r="TLH5" s="12" t="s">
        <v>15621</v>
      </c>
      <c r="TLI5" s="12" t="s">
        <v>15622</v>
      </c>
      <c r="TLJ5" s="12" t="s">
        <v>15623</v>
      </c>
      <c r="TLK5" s="12" t="s">
        <v>15624</v>
      </c>
      <c r="TLL5" s="12" t="s">
        <v>15625</v>
      </c>
      <c r="TLM5" s="12" t="s">
        <v>15626</v>
      </c>
      <c r="TLN5" s="12" t="s">
        <v>15627</v>
      </c>
      <c r="TLO5" s="12" t="s">
        <v>15628</v>
      </c>
      <c r="TLP5" s="12" t="s">
        <v>15629</v>
      </c>
      <c r="TLQ5" s="12" t="s">
        <v>15630</v>
      </c>
      <c r="TLR5" s="12" t="s">
        <v>15631</v>
      </c>
      <c r="TLS5" s="12" t="s">
        <v>15632</v>
      </c>
      <c r="TLT5" s="12" t="s">
        <v>15633</v>
      </c>
      <c r="TLU5" s="12" t="s">
        <v>15634</v>
      </c>
      <c r="TLV5" s="12" t="s">
        <v>15635</v>
      </c>
      <c r="TLW5" s="12" t="s">
        <v>15636</v>
      </c>
      <c r="TLX5" s="12" t="s">
        <v>15637</v>
      </c>
      <c r="TLY5" s="12" t="s">
        <v>15638</v>
      </c>
      <c r="TLZ5" s="12" t="s">
        <v>15639</v>
      </c>
      <c r="TMA5" s="12" t="s">
        <v>15640</v>
      </c>
      <c r="TMB5" s="12" t="s">
        <v>15641</v>
      </c>
      <c r="TMC5" s="12" t="s">
        <v>15642</v>
      </c>
      <c r="TMD5" s="12" t="s">
        <v>15643</v>
      </c>
      <c r="TME5" s="12" t="s">
        <v>15644</v>
      </c>
      <c r="TMF5" s="12" t="s">
        <v>15645</v>
      </c>
      <c r="TMG5" s="12" t="s">
        <v>15646</v>
      </c>
      <c r="TMH5" s="12" t="s">
        <v>15647</v>
      </c>
      <c r="TMI5" s="12" t="s">
        <v>15648</v>
      </c>
      <c r="TMJ5" s="12" t="s">
        <v>15649</v>
      </c>
      <c r="TMK5" s="12" t="s">
        <v>15650</v>
      </c>
      <c r="TML5" s="12" t="s">
        <v>15651</v>
      </c>
      <c r="TMM5" s="12" t="s">
        <v>15652</v>
      </c>
      <c r="TMN5" s="12" t="s">
        <v>15653</v>
      </c>
      <c r="TMO5" s="12" t="s">
        <v>15654</v>
      </c>
      <c r="TMP5" s="12" t="s">
        <v>15655</v>
      </c>
      <c r="TMQ5" s="12" t="s">
        <v>15656</v>
      </c>
      <c r="TMR5" s="12" t="s">
        <v>15657</v>
      </c>
      <c r="TMS5" s="12" t="s">
        <v>15658</v>
      </c>
      <c r="TMT5" s="12" t="s">
        <v>15659</v>
      </c>
      <c r="TMU5" s="12" t="s">
        <v>15660</v>
      </c>
      <c r="TMV5" s="12" t="s">
        <v>15661</v>
      </c>
      <c r="TMW5" s="12" t="s">
        <v>15662</v>
      </c>
      <c r="TMX5" s="12" t="s">
        <v>15663</v>
      </c>
      <c r="TMY5" s="12" t="s">
        <v>15664</v>
      </c>
      <c r="TMZ5" s="12" t="s">
        <v>15665</v>
      </c>
      <c r="TNA5" s="12" t="s">
        <v>15666</v>
      </c>
      <c r="TNB5" s="12" t="s">
        <v>15667</v>
      </c>
      <c r="TNC5" s="12" t="s">
        <v>15668</v>
      </c>
      <c r="TND5" s="12" t="s">
        <v>15669</v>
      </c>
      <c r="TNE5" s="12" t="s">
        <v>15670</v>
      </c>
      <c r="TNF5" s="12" t="s">
        <v>15671</v>
      </c>
      <c r="TNG5" s="12" t="s">
        <v>15672</v>
      </c>
      <c r="TNH5" s="12" t="s">
        <v>15673</v>
      </c>
      <c r="TNI5" s="12" t="s">
        <v>15674</v>
      </c>
      <c r="TNJ5" s="12" t="s">
        <v>15675</v>
      </c>
      <c r="TNK5" s="12" t="s">
        <v>15676</v>
      </c>
      <c r="TNL5" s="12" t="s">
        <v>15677</v>
      </c>
      <c r="TNM5" s="12" t="s">
        <v>15678</v>
      </c>
      <c r="TNN5" s="12" t="s">
        <v>15679</v>
      </c>
      <c r="TNO5" s="12" t="s">
        <v>15680</v>
      </c>
      <c r="TNP5" s="12" t="s">
        <v>15681</v>
      </c>
      <c r="TNQ5" s="12" t="s">
        <v>15682</v>
      </c>
      <c r="TNR5" s="12" t="s">
        <v>15683</v>
      </c>
      <c r="TNS5" s="12" t="s">
        <v>15684</v>
      </c>
      <c r="TNT5" s="12" t="s">
        <v>15685</v>
      </c>
      <c r="TNU5" s="12" t="s">
        <v>15686</v>
      </c>
      <c r="TNV5" s="12" t="s">
        <v>15687</v>
      </c>
      <c r="TNW5" s="12" t="s">
        <v>15688</v>
      </c>
      <c r="TNX5" s="12" t="s">
        <v>15689</v>
      </c>
      <c r="TNY5" s="12" t="s">
        <v>15690</v>
      </c>
      <c r="TNZ5" s="12" t="s">
        <v>15691</v>
      </c>
      <c r="TOA5" s="12" t="s">
        <v>15692</v>
      </c>
      <c r="TOB5" s="12" t="s">
        <v>15693</v>
      </c>
      <c r="TOC5" s="12" t="s">
        <v>15694</v>
      </c>
      <c r="TOD5" s="12" t="s">
        <v>15695</v>
      </c>
      <c r="TOE5" s="12" t="s">
        <v>15696</v>
      </c>
      <c r="TOF5" s="12" t="s">
        <v>15697</v>
      </c>
      <c r="TOG5" s="12" t="s">
        <v>15698</v>
      </c>
      <c r="TOH5" s="12" t="s">
        <v>15699</v>
      </c>
      <c r="TOI5" s="12" t="s">
        <v>15700</v>
      </c>
      <c r="TOJ5" s="12" t="s">
        <v>15701</v>
      </c>
      <c r="TOK5" s="12" t="s">
        <v>15702</v>
      </c>
      <c r="TOL5" s="12" t="s">
        <v>15703</v>
      </c>
      <c r="TOM5" s="12" t="s">
        <v>15704</v>
      </c>
      <c r="TON5" s="12" t="s">
        <v>15705</v>
      </c>
      <c r="TOO5" s="12" t="s">
        <v>15706</v>
      </c>
      <c r="TOP5" s="12" t="s">
        <v>15707</v>
      </c>
      <c r="TOQ5" s="12" t="s">
        <v>15708</v>
      </c>
      <c r="TOR5" s="12" t="s">
        <v>15709</v>
      </c>
      <c r="TOS5" s="12" t="s">
        <v>15710</v>
      </c>
      <c r="TOT5" s="12" t="s">
        <v>15711</v>
      </c>
      <c r="TOU5" s="12" t="s">
        <v>15712</v>
      </c>
      <c r="TOV5" s="12" t="s">
        <v>15713</v>
      </c>
      <c r="TOW5" s="12" t="s">
        <v>15714</v>
      </c>
      <c r="TOX5" s="12" t="s">
        <v>15715</v>
      </c>
      <c r="TOY5" s="12" t="s">
        <v>15716</v>
      </c>
      <c r="TOZ5" s="12" t="s">
        <v>15717</v>
      </c>
      <c r="TPA5" s="12" t="s">
        <v>15718</v>
      </c>
      <c r="TPB5" s="12" t="s">
        <v>15719</v>
      </c>
      <c r="TPC5" s="12" t="s">
        <v>15720</v>
      </c>
      <c r="TPD5" s="12" t="s">
        <v>15721</v>
      </c>
      <c r="TPE5" s="12" t="s">
        <v>15722</v>
      </c>
      <c r="TPF5" s="12" t="s">
        <v>15723</v>
      </c>
      <c r="TPG5" s="12" t="s">
        <v>15724</v>
      </c>
      <c r="TPH5" s="12" t="s">
        <v>15725</v>
      </c>
      <c r="TPI5" s="12" t="s">
        <v>15726</v>
      </c>
      <c r="TPJ5" s="12" t="s">
        <v>15727</v>
      </c>
      <c r="TPK5" s="12" t="s">
        <v>15728</v>
      </c>
      <c r="TPL5" s="12" t="s">
        <v>15729</v>
      </c>
      <c r="TPM5" s="12" t="s">
        <v>15730</v>
      </c>
      <c r="TPN5" s="12" t="s">
        <v>15731</v>
      </c>
      <c r="TPO5" s="12" t="s">
        <v>15732</v>
      </c>
      <c r="TPP5" s="12" t="s">
        <v>15733</v>
      </c>
      <c r="TPQ5" s="12" t="s">
        <v>15734</v>
      </c>
      <c r="TPR5" s="12" t="s">
        <v>15735</v>
      </c>
      <c r="TPS5" s="12" t="s">
        <v>15736</v>
      </c>
      <c r="TPT5" s="12" t="s">
        <v>15737</v>
      </c>
      <c r="TPU5" s="12" t="s">
        <v>15738</v>
      </c>
      <c r="TPV5" s="12" t="s">
        <v>15739</v>
      </c>
      <c r="TPW5" s="12" t="s">
        <v>15740</v>
      </c>
      <c r="TPX5" s="12" t="s">
        <v>15741</v>
      </c>
      <c r="TPY5" s="12" t="s">
        <v>15742</v>
      </c>
      <c r="TPZ5" s="12" t="s">
        <v>15743</v>
      </c>
      <c r="TQA5" s="12" t="s">
        <v>15744</v>
      </c>
      <c r="TQB5" s="12" t="s">
        <v>15745</v>
      </c>
      <c r="TQC5" s="12" t="s">
        <v>15746</v>
      </c>
      <c r="TQD5" s="12" t="s">
        <v>15747</v>
      </c>
      <c r="TQE5" s="12" t="s">
        <v>15748</v>
      </c>
      <c r="TQF5" s="12" t="s">
        <v>15749</v>
      </c>
      <c r="TQG5" s="12" t="s">
        <v>15750</v>
      </c>
      <c r="TQH5" s="12" t="s">
        <v>15751</v>
      </c>
      <c r="TQI5" s="12" t="s">
        <v>15752</v>
      </c>
      <c r="TQJ5" s="12" t="s">
        <v>15753</v>
      </c>
      <c r="TQK5" s="12" t="s">
        <v>15754</v>
      </c>
      <c r="TQL5" s="12" t="s">
        <v>15755</v>
      </c>
      <c r="TQM5" s="12" t="s">
        <v>15756</v>
      </c>
      <c r="TQN5" s="12" t="s">
        <v>15757</v>
      </c>
      <c r="TQO5" s="12" t="s">
        <v>15758</v>
      </c>
      <c r="TQP5" s="12" t="s">
        <v>15759</v>
      </c>
      <c r="TQQ5" s="12" t="s">
        <v>15760</v>
      </c>
      <c r="TQR5" s="12" t="s">
        <v>15761</v>
      </c>
      <c r="TQS5" s="12" t="s">
        <v>15762</v>
      </c>
      <c r="TQT5" s="12" t="s">
        <v>15763</v>
      </c>
      <c r="TQU5" s="12" t="s">
        <v>15764</v>
      </c>
      <c r="TQV5" s="12" t="s">
        <v>15765</v>
      </c>
      <c r="TQW5" s="12" t="s">
        <v>15766</v>
      </c>
      <c r="TQX5" s="12" t="s">
        <v>15767</v>
      </c>
      <c r="TQY5" s="12" t="s">
        <v>15768</v>
      </c>
      <c r="TQZ5" s="12" t="s">
        <v>15769</v>
      </c>
      <c r="TRA5" s="12" t="s">
        <v>15770</v>
      </c>
      <c r="TRB5" s="12" t="s">
        <v>15771</v>
      </c>
      <c r="TRC5" s="12" t="s">
        <v>15772</v>
      </c>
      <c r="TRD5" s="12" t="s">
        <v>15773</v>
      </c>
      <c r="TRE5" s="12" t="s">
        <v>15774</v>
      </c>
      <c r="TRF5" s="12" t="s">
        <v>15775</v>
      </c>
      <c r="TRG5" s="12" t="s">
        <v>15776</v>
      </c>
      <c r="TRH5" s="12" t="s">
        <v>15777</v>
      </c>
      <c r="TRI5" s="12" t="s">
        <v>15778</v>
      </c>
      <c r="TRJ5" s="12" t="s">
        <v>15779</v>
      </c>
      <c r="TRK5" s="12" t="s">
        <v>15780</v>
      </c>
      <c r="TRL5" s="12" t="s">
        <v>15781</v>
      </c>
      <c r="TRM5" s="12" t="s">
        <v>15782</v>
      </c>
      <c r="TRN5" s="12" t="s">
        <v>15783</v>
      </c>
      <c r="TRO5" s="12" t="s">
        <v>15784</v>
      </c>
      <c r="TRP5" s="12" t="s">
        <v>15785</v>
      </c>
      <c r="TRQ5" s="12" t="s">
        <v>15786</v>
      </c>
      <c r="TRR5" s="12" t="s">
        <v>15787</v>
      </c>
      <c r="TRS5" s="12" t="s">
        <v>15788</v>
      </c>
      <c r="TRT5" s="12" t="s">
        <v>15789</v>
      </c>
      <c r="TRU5" s="12" t="s">
        <v>15790</v>
      </c>
      <c r="TRV5" s="12" t="s">
        <v>15791</v>
      </c>
      <c r="TRW5" s="12" t="s">
        <v>15792</v>
      </c>
      <c r="TRX5" s="12" t="s">
        <v>15793</v>
      </c>
      <c r="TRY5" s="12" t="s">
        <v>15794</v>
      </c>
      <c r="TRZ5" s="12" t="s">
        <v>15795</v>
      </c>
      <c r="TSA5" s="12" t="s">
        <v>15796</v>
      </c>
      <c r="TSB5" s="12" t="s">
        <v>15797</v>
      </c>
      <c r="TSC5" s="12" t="s">
        <v>15798</v>
      </c>
      <c r="TSD5" s="12" t="s">
        <v>15799</v>
      </c>
      <c r="TSE5" s="12" t="s">
        <v>15800</v>
      </c>
      <c r="TSF5" s="12" t="s">
        <v>15801</v>
      </c>
      <c r="TSG5" s="12" t="s">
        <v>15802</v>
      </c>
      <c r="TSH5" s="12" t="s">
        <v>15803</v>
      </c>
      <c r="TSI5" s="12" t="s">
        <v>15804</v>
      </c>
      <c r="TSJ5" s="12" t="s">
        <v>15805</v>
      </c>
      <c r="TSK5" s="12" t="s">
        <v>15806</v>
      </c>
      <c r="TSL5" s="12" t="s">
        <v>15807</v>
      </c>
      <c r="TSM5" s="12" t="s">
        <v>15808</v>
      </c>
      <c r="TSN5" s="12" t="s">
        <v>15809</v>
      </c>
      <c r="TSO5" s="12" t="s">
        <v>15810</v>
      </c>
      <c r="TSP5" s="12" t="s">
        <v>15811</v>
      </c>
      <c r="TSQ5" s="12" t="s">
        <v>15812</v>
      </c>
      <c r="TSR5" s="12" t="s">
        <v>15813</v>
      </c>
      <c r="TSS5" s="12" t="s">
        <v>15814</v>
      </c>
      <c r="TST5" s="12" t="s">
        <v>15815</v>
      </c>
      <c r="TSU5" s="12" t="s">
        <v>15816</v>
      </c>
      <c r="TSV5" s="12" t="s">
        <v>15817</v>
      </c>
      <c r="TSW5" s="12" t="s">
        <v>15818</v>
      </c>
      <c r="TSX5" s="12" t="s">
        <v>15819</v>
      </c>
      <c r="TSY5" s="12" t="s">
        <v>15820</v>
      </c>
      <c r="TSZ5" s="12" t="s">
        <v>15821</v>
      </c>
      <c r="TTA5" s="12" t="s">
        <v>15822</v>
      </c>
      <c r="TTB5" s="12" t="s">
        <v>15823</v>
      </c>
      <c r="TTC5" s="12" t="s">
        <v>15824</v>
      </c>
      <c r="TTD5" s="12" t="s">
        <v>15825</v>
      </c>
      <c r="TTE5" s="12" t="s">
        <v>15826</v>
      </c>
      <c r="TTF5" s="12" t="s">
        <v>15827</v>
      </c>
      <c r="TTG5" s="12" t="s">
        <v>15828</v>
      </c>
      <c r="TTH5" s="12" t="s">
        <v>15829</v>
      </c>
      <c r="TTI5" s="12" t="s">
        <v>15830</v>
      </c>
      <c r="TTJ5" s="12" t="s">
        <v>15831</v>
      </c>
      <c r="TTK5" s="12" t="s">
        <v>15832</v>
      </c>
      <c r="TTL5" s="12" t="s">
        <v>15833</v>
      </c>
      <c r="TTM5" s="12" t="s">
        <v>15834</v>
      </c>
      <c r="TTN5" s="12" t="s">
        <v>15835</v>
      </c>
      <c r="TTO5" s="12" t="s">
        <v>15836</v>
      </c>
      <c r="TTP5" s="12" t="s">
        <v>15837</v>
      </c>
      <c r="TTQ5" s="12" t="s">
        <v>15838</v>
      </c>
      <c r="TTR5" s="12" t="s">
        <v>15839</v>
      </c>
      <c r="TTS5" s="12" t="s">
        <v>15840</v>
      </c>
      <c r="TTT5" s="12" t="s">
        <v>15841</v>
      </c>
      <c r="TTU5" s="12" t="s">
        <v>15842</v>
      </c>
      <c r="TTV5" s="12" t="s">
        <v>15843</v>
      </c>
      <c r="TTW5" s="12" t="s">
        <v>15844</v>
      </c>
      <c r="TTX5" s="12" t="s">
        <v>15845</v>
      </c>
      <c r="TTY5" s="12" t="s">
        <v>15846</v>
      </c>
      <c r="TTZ5" s="12" t="s">
        <v>15847</v>
      </c>
      <c r="TUA5" s="12" t="s">
        <v>15848</v>
      </c>
      <c r="TUB5" s="12" t="s">
        <v>15849</v>
      </c>
      <c r="TUC5" s="12" t="s">
        <v>15850</v>
      </c>
      <c r="TUD5" s="12" t="s">
        <v>15851</v>
      </c>
      <c r="TUE5" s="12" t="s">
        <v>15852</v>
      </c>
      <c r="TUF5" s="12" t="s">
        <v>15853</v>
      </c>
      <c r="TUG5" s="12" t="s">
        <v>15854</v>
      </c>
      <c r="TUH5" s="12" t="s">
        <v>15855</v>
      </c>
      <c r="TUI5" s="12" t="s">
        <v>15856</v>
      </c>
      <c r="TUJ5" s="12" t="s">
        <v>15857</v>
      </c>
      <c r="TUK5" s="12" t="s">
        <v>15858</v>
      </c>
      <c r="TUL5" s="12" t="s">
        <v>15859</v>
      </c>
      <c r="TUM5" s="12" t="s">
        <v>15860</v>
      </c>
      <c r="TUN5" s="12" t="s">
        <v>15861</v>
      </c>
      <c r="TUO5" s="12" t="s">
        <v>15862</v>
      </c>
      <c r="TUP5" s="12" t="s">
        <v>15863</v>
      </c>
      <c r="TUQ5" s="12" t="s">
        <v>15864</v>
      </c>
      <c r="TUR5" s="12" t="s">
        <v>15865</v>
      </c>
      <c r="TUS5" s="12" t="s">
        <v>15866</v>
      </c>
      <c r="TUT5" s="12" t="s">
        <v>15867</v>
      </c>
      <c r="TUU5" s="12" t="s">
        <v>15868</v>
      </c>
      <c r="TUV5" s="12" t="s">
        <v>15869</v>
      </c>
      <c r="TUW5" s="12" t="s">
        <v>15870</v>
      </c>
      <c r="TUX5" s="12" t="s">
        <v>15871</v>
      </c>
      <c r="TUY5" s="12" t="s">
        <v>15872</v>
      </c>
      <c r="TUZ5" s="12" t="s">
        <v>15873</v>
      </c>
      <c r="TVA5" s="12" t="s">
        <v>15874</v>
      </c>
      <c r="TVB5" s="12" t="s">
        <v>15875</v>
      </c>
      <c r="TVC5" s="12" t="s">
        <v>15876</v>
      </c>
      <c r="TVD5" s="12" t="s">
        <v>15877</v>
      </c>
      <c r="TVE5" s="12" t="s">
        <v>15878</v>
      </c>
      <c r="TVF5" s="12" t="s">
        <v>15879</v>
      </c>
      <c r="TVG5" s="12" t="s">
        <v>15880</v>
      </c>
      <c r="TVH5" s="12" t="s">
        <v>15881</v>
      </c>
      <c r="TVI5" s="12" t="s">
        <v>15882</v>
      </c>
      <c r="TVJ5" s="12" t="s">
        <v>15883</v>
      </c>
      <c r="TVK5" s="12" t="s">
        <v>15884</v>
      </c>
      <c r="TVL5" s="12" t="s">
        <v>15885</v>
      </c>
      <c r="TVM5" s="12" t="s">
        <v>15886</v>
      </c>
      <c r="TVN5" s="12" t="s">
        <v>15887</v>
      </c>
      <c r="TVO5" s="12" t="s">
        <v>15888</v>
      </c>
      <c r="TVP5" s="12" t="s">
        <v>15889</v>
      </c>
      <c r="TVQ5" s="12" t="s">
        <v>15890</v>
      </c>
      <c r="TVR5" s="12" t="s">
        <v>15891</v>
      </c>
      <c r="TVS5" s="12" t="s">
        <v>15892</v>
      </c>
      <c r="TVT5" s="12" t="s">
        <v>15893</v>
      </c>
      <c r="TVU5" s="12" t="s">
        <v>15894</v>
      </c>
      <c r="TVV5" s="12" t="s">
        <v>15895</v>
      </c>
      <c r="TVW5" s="12" t="s">
        <v>15896</v>
      </c>
      <c r="TVX5" s="12" t="s">
        <v>15897</v>
      </c>
      <c r="TVY5" s="12" t="s">
        <v>15898</v>
      </c>
      <c r="TVZ5" s="12" t="s">
        <v>15899</v>
      </c>
      <c r="TWA5" s="12" t="s">
        <v>15900</v>
      </c>
      <c r="TWB5" s="12" t="s">
        <v>15901</v>
      </c>
      <c r="TWC5" s="12" t="s">
        <v>15902</v>
      </c>
      <c r="TWD5" s="12" t="s">
        <v>15903</v>
      </c>
      <c r="TWE5" s="12" t="s">
        <v>15904</v>
      </c>
      <c r="TWF5" s="12" t="s">
        <v>15905</v>
      </c>
      <c r="TWG5" s="12" t="s">
        <v>15906</v>
      </c>
      <c r="TWH5" s="12" t="s">
        <v>15907</v>
      </c>
      <c r="TWI5" s="12" t="s">
        <v>15908</v>
      </c>
      <c r="TWJ5" s="12" t="s">
        <v>15909</v>
      </c>
      <c r="TWK5" s="12" t="s">
        <v>15910</v>
      </c>
      <c r="TWL5" s="12" t="s">
        <v>15911</v>
      </c>
      <c r="TWM5" s="12" t="s">
        <v>15912</v>
      </c>
      <c r="TWN5" s="12" t="s">
        <v>15913</v>
      </c>
      <c r="TWO5" s="12" t="s">
        <v>15914</v>
      </c>
      <c r="TWP5" s="12" t="s">
        <v>15915</v>
      </c>
      <c r="TWQ5" s="12" t="s">
        <v>15916</v>
      </c>
      <c r="TWR5" s="12" t="s">
        <v>15917</v>
      </c>
      <c r="TWS5" s="12" t="s">
        <v>15918</v>
      </c>
      <c r="TWT5" s="12" t="s">
        <v>15919</v>
      </c>
      <c r="TWU5" s="12" t="s">
        <v>15920</v>
      </c>
      <c r="TWV5" s="12" t="s">
        <v>15921</v>
      </c>
      <c r="TWW5" s="12" t="s">
        <v>15922</v>
      </c>
      <c r="TWX5" s="12" t="s">
        <v>15923</v>
      </c>
      <c r="TWY5" s="12" t="s">
        <v>15924</v>
      </c>
      <c r="TWZ5" s="12" t="s">
        <v>15925</v>
      </c>
      <c r="TXA5" s="12" t="s">
        <v>15926</v>
      </c>
      <c r="TXB5" s="12" t="s">
        <v>15927</v>
      </c>
      <c r="TXC5" s="12" t="s">
        <v>15928</v>
      </c>
      <c r="TXD5" s="12" t="s">
        <v>15929</v>
      </c>
      <c r="TXE5" s="12" t="s">
        <v>15930</v>
      </c>
      <c r="TXF5" s="12" t="s">
        <v>15931</v>
      </c>
      <c r="TXG5" s="12" t="s">
        <v>15932</v>
      </c>
      <c r="TXH5" s="12" t="s">
        <v>15933</v>
      </c>
      <c r="TXI5" s="12" t="s">
        <v>15934</v>
      </c>
      <c r="TXJ5" s="12" t="s">
        <v>15935</v>
      </c>
      <c r="TXK5" s="12" t="s">
        <v>15936</v>
      </c>
      <c r="TXL5" s="12" t="s">
        <v>15937</v>
      </c>
      <c r="TXM5" s="12" t="s">
        <v>15938</v>
      </c>
      <c r="TXN5" s="12" t="s">
        <v>15939</v>
      </c>
      <c r="TXO5" s="12" t="s">
        <v>15940</v>
      </c>
      <c r="TXP5" s="12" t="s">
        <v>15941</v>
      </c>
      <c r="TXQ5" s="12" t="s">
        <v>15942</v>
      </c>
      <c r="TXR5" s="12" t="s">
        <v>15943</v>
      </c>
      <c r="TXS5" s="12" t="s">
        <v>15944</v>
      </c>
      <c r="TXT5" s="12" t="s">
        <v>15945</v>
      </c>
      <c r="TXU5" s="12" t="s">
        <v>15946</v>
      </c>
      <c r="TXV5" s="12" t="s">
        <v>15947</v>
      </c>
      <c r="TXW5" s="12" t="s">
        <v>15948</v>
      </c>
      <c r="TXX5" s="12" t="s">
        <v>15949</v>
      </c>
      <c r="TXY5" s="12" t="s">
        <v>15950</v>
      </c>
      <c r="TXZ5" s="12" t="s">
        <v>15951</v>
      </c>
      <c r="TYA5" s="12" t="s">
        <v>15952</v>
      </c>
      <c r="TYB5" s="12" t="s">
        <v>15953</v>
      </c>
      <c r="TYC5" s="12" t="s">
        <v>15954</v>
      </c>
      <c r="TYD5" s="12" t="s">
        <v>15955</v>
      </c>
      <c r="TYE5" s="12" t="s">
        <v>15956</v>
      </c>
      <c r="TYF5" s="12" t="s">
        <v>15957</v>
      </c>
      <c r="TYG5" s="12" t="s">
        <v>15958</v>
      </c>
      <c r="TYH5" s="12" t="s">
        <v>15959</v>
      </c>
      <c r="TYI5" s="12" t="s">
        <v>15960</v>
      </c>
      <c r="TYJ5" s="12" t="s">
        <v>15961</v>
      </c>
      <c r="TYK5" s="12" t="s">
        <v>15962</v>
      </c>
      <c r="TYL5" s="12" t="s">
        <v>15963</v>
      </c>
      <c r="TYM5" s="12" t="s">
        <v>15964</v>
      </c>
      <c r="TYN5" s="12" t="s">
        <v>15965</v>
      </c>
      <c r="TYO5" s="12" t="s">
        <v>15966</v>
      </c>
      <c r="TYP5" s="12" t="s">
        <v>15967</v>
      </c>
      <c r="TYQ5" s="12" t="s">
        <v>15968</v>
      </c>
      <c r="TYR5" s="12" t="s">
        <v>15969</v>
      </c>
      <c r="TYS5" s="12" t="s">
        <v>15970</v>
      </c>
      <c r="TYT5" s="12" t="s">
        <v>15971</v>
      </c>
      <c r="TYU5" s="12" t="s">
        <v>15972</v>
      </c>
      <c r="TYV5" s="12" t="s">
        <v>15973</v>
      </c>
      <c r="TYW5" s="12" t="s">
        <v>15974</v>
      </c>
      <c r="TYX5" s="12" t="s">
        <v>15975</v>
      </c>
      <c r="TYY5" s="12" t="s">
        <v>15976</v>
      </c>
      <c r="TYZ5" s="12" t="s">
        <v>15977</v>
      </c>
      <c r="TZA5" s="12" t="s">
        <v>15978</v>
      </c>
      <c r="TZB5" s="12" t="s">
        <v>15979</v>
      </c>
      <c r="TZC5" s="12" t="s">
        <v>15980</v>
      </c>
      <c r="TZD5" s="12" t="s">
        <v>15981</v>
      </c>
      <c r="TZE5" s="12" t="s">
        <v>15982</v>
      </c>
      <c r="TZF5" s="12" t="s">
        <v>15983</v>
      </c>
      <c r="TZG5" s="12" t="s">
        <v>15984</v>
      </c>
      <c r="TZH5" s="12" t="s">
        <v>15985</v>
      </c>
      <c r="TZI5" s="12" t="s">
        <v>15986</v>
      </c>
      <c r="TZJ5" s="12" t="s">
        <v>15987</v>
      </c>
      <c r="TZK5" s="12" t="s">
        <v>15988</v>
      </c>
      <c r="TZL5" s="12" t="s">
        <v>15989</v>
      </c>
      <c r="TZM5" s="12" t="s">
        <v>15990</v>
      </c>
      <c r="TZN5" s="12" t="s">
        <v>15991</v>
      </c>
      <c r="TZO5" s="12" t="s">
        <v>15992</v>
      </c>
      <c r="TZP5" s="12" t="s">
        <v>15993</v>
      </c>
      <c r="TZQ5" s="12" t="s">
        <v>15994</v>
      </c>
      <c r="TZR5" s="12" t="s">
        <v>15995</v>
      </c>
      <c r="TZS5" s="12" t="s">
        <v>15996</v>
      </c>
      <c r="TZT5" s="12" t="s">
        <v>15997</v>
      </c>
      <c r="TZU5" s="12" t="s">
        <v>15998</v>
      </c>
      <c r="TZV5" s="12" t="s">
        <v>15999</v>
      </c>
      <c r="TZW5" s="12" t="s">
        <v>16000</v>
      </c>
      <c r="TZX5" s="12" t="s">
        <v>16001</v>
      </c>
      <c r="TZY5" s="12" t="s">
        <v>16002</v>
      </c>
      <c r="TZZ5" s="12" t="s">
        <v>16003</v>
      </c>
      <c r="UAA5" s="12" t="s">
        <v>16004</v>
      </c>
      <c r="UAB5" s="12" t="s">
        <v>16005</v>
      </c>
      <c r="UAC5" s="12" t="s">
        <v>16006</v>
      </c>
      <c r="UAD5" s="12" t="s">
        <v>16007</v>
      </c>
      <c r="UAE5" s="12" t="s">
        <v>16008</v>
      </c>
      <c r="UAF5" s="12" t="s">
        <v>16009</v>
      </c>
      <c r="UAG5" s="12" t="s">
        <v>16010</v>
      </c>
      <c r="UAH5" s="12" t="s">
        <v>16011</v>
      </c>
      <c r="UAI5" s="12" t="s">
        <v>16012</v>
      </c>
      <c r="UAJ5" s="12" t="s">
        <v>16013</v>
      </c>
      <c r="UAK5" s="12" t="s">
        <v>16014</v>
      </c>
      <c r="UAL5" s="12" t="s">
        <v>16015</v>
      </c>
      <c r="UAM5" s="12" t="s">
        <v>16016</v>
      </c>
      <c r="UAN5" s="12" t="s">
        <v>16017</v>
      </c>
      <c r="UAO5" s="12" t="s">
        <v>16018</v>
      </c>
      <c r="UAP5" s="12" t="s">
        <v>16019</v>
      </c>
      <c r="UAQ5" s="12" t="s">
        <v>16020</v>
      </c>
      <c r="UAR5" s="12" t="s">
        <v>16021</v>
      </c>
      <c r="UAS5" s="12" t="s">
        <v>16022</v>
      </c>
      <c r="UAT5" s="12" t="s">
        <v>16023</v>
      </c>
      <c r="UAU5" s="12" t="s">
        <v>16024</v>
      </c>
      <c r="UAV5" s="12" t="s">
        <v>16025</v>
      </c>
      <c r="UAW5" s="12" t="s">
        <v>16026</v>
      </c>
      <c r="UAX5" s="12" t="s">
        <v>16027</v>
      </c>
      <c r="UAY5" s="12" t="s">
        <v>16028</v>
      </c>
      <c r="UAZ5" s="12" t="s">
        <v>16029</v>
      </c>
      <c r="UBA5" s="12" t="s">
        <v>16030</v>
      </c>
      <c r="UBB5" s="12" t="s">
        <v>16031</v>
      </c>
      <c r="UBC5" s="12" t="s">
        <v>16032</v>
      </c>
      <c r="UBD5" s="12" t="s">
        <v>16033</v>
      </c>
      <c r="UBE5" s="12" t="s">
        <v>16034</v>
      </c>
      <c r="UBF5" s="12" t="s">
        <v>16035</v>
      </c>
      <c r="UBG5" s="12" t="s">
        <v>16036</v>
      </c>
      <c r="UBH5" s="12" t="s">
        <v>16037</v>
      </c>
      <c r="UBI5" s="12" t="s">
        <v>16038</v>
      </c>
      <c r="UBJ5" s="12" t="s">
        <v>16039</v>
      </c>
      <c r="UBK5" s="12" t="s">
        <v>16040</v>
      </c>
      <c r="UBL5" s="12" t="s">
        <v>16041</v>
      </c>
      <c r="UBM5" s="12" t="s">
        <v>16042</v>
      </c>
      <c r="UBN5" s="12" t="s">
        <v>16043</v>
      </c>
      <c r="UBO5" s="12" t="s">
        <v>16044</v>
      </c>
      <c r="UBP5" s="12" t="s">
        <v>16045</v>
      </c>
      <c r="UBQ5" s="12" t="s">
        <v>16046</v>
      </c>
      <c r="UBR5" s="12" t="s">
        <v>16047</v>
      </c>
      <c r="UBS5" s="12" t="s">
        <v>16048</v>
      </c>
      <c r="UBT5" s="12" t="s">
        <v>16049</v>
      </c>
      <c r="UBU5" s="12" t="s">
        <v>16050</v>
      </c>
      <c r="UBV5" s="12" t="s">
        <v>16051</v>
      </c>
      <c r="UBW5" s="12" t="s">
        <v>16052</v>
      </c>
      <c r="UBX5" s="12" t="s">
        <v>16053</v>
      </c>
      <c r="UBY5" s="12" t="s">
        <v>16054</v>
      </c>
      <c r="UBZ5" s="12" t="s">
        <v>16055</v>
      </c>
      <c r="UCA5" s="12" t="s">
        <v>16056</v>
      </c>
      <c r="UCB5" s="12" t="s">
        <v>16057</v>
      </c>
      <c r="UCC5" s="12" t="s">
        <v>16058</v>
      </c>
      <c r="UCD5" s="12" t="s">
        <v>16059</v>
      </c>
      <c r="UCE5" s="12" t="s">
        <v>16060</v>
      </c>
      <c r="UCF5" s="12" t="s">
        <v>16061</v>
      </c>
      <c r="UCG5" s="12" t="s">
        <v>16062</v>
      </c>
      <c r="UCH5" s="12" t="s">
        <v>16063</v>
      </c>
      <c r="UCI5" s="12" t="s">
        <v>16064</v>
      </c>
      <c r="UCJ5" s="12" t="s">
        <v>16065</v>
      </c>
      <c r="UCK5" s="12" t="s">
        <v>16066</v>
      </c>
      <c r="UCL5" s="12" t="s">
        <v>16067</v>
      </c>
      <c r="UCM5" s="12" t="s">
        <v>16068</v>
      </c>
      <c r="UCN5" s="12" t="s">
        <v>16069</v>
      </c>
      <c r="UCO5" s="12" t="s">
        <v>16070</v>
      </c>
      <c r="UCP5" s="12" t="s">
        <v>16071</v>
      </c>
      <c r="UCQ5" s="12" t="s">
        <v>16072</v>
      </c>
      <c r="UCR5" s="12" t="s">
        <v>16073</v>
      </c>
      <c r="UCS5" s="12" t="s">
        <v>16074</v>
      </c>
      <c r="UCT5" s="12" t="s">
        <v>16075</v>
      </c>
      <c r="UCU5" s="12" t="s">
        <v>16076</v>
      </c>
      <c r="UCV5" s="12" t="s">
        <v>16077</v>
      </c>
      <c r="UCW5" s="12" t="s">
        <v>16078</v>
      </c>
      <c r="UCX5" s="12" t="s">
        <v>16079</v>
      </c>
      <c r="UCY5" s="12" t="s">
        <v>16080</v>
      </c>
      <c r="UCZ5" s="12" t="s">
        <v>16081</v>
      </c>
      <c r="UDA5" s="12" t="s">
        <v>16082</v>
      </c>
      <c r="UDB5" s="12" t="s">
        <v>16083</v>
      </c>
      <c r="UDC5" s="12" t="s">
        <v>16084</v>
      </c>
      <c r="UDD5" s="12" t="s">
        <v>16085</v>
      </c>
      <c r="UDE5" s="12" t="s">
        <v>16086</v>
      </c>
      <c r="UDF5" s="12" t="s">
        <v>16087</v>
      </c>
      <c r="UDG5" s="12" t="s">
        <v>16088</v>
      </c>
      <c r="UDH5" s="12" t="s">
        <v>16089</v>
      </c>
      <c r="UDI5" s="12" t="s">
        <v>16090</v>
      </c>
      <c r="UDJ5" s="12" t="s">
        <v>16091</v>
      </c>
      <c r="UDK5" s="12" t="s">
        <v>16092</v>
      </c>
      <c r="UDL5" s="12" t="s">
        <v>16093</v>
      </c>
      <c r="UDM5" s="12" t="s">
        <v>16094</v>
      </c>
      <c r="UDN5" s="12" t="s">
        <v>16095</v>
      </c>
      <c r="UDO5" s="12" t="s">
        <v>16096</v>
      </c>
      <c r="UDP5" s="12" t="s">
        <v>16097</v>
      </c>
      <c r="UDQ5" s="12" t="s">
        <v>16098</v>
      </c>
      <c r="UDR5" s="12" t="s">
        <v>16099</v>
      </c>
      <c r="UDS5" s="12" t="s">
        <v>16100</v>
      </c>
      <c r="UDT5" s="12" t="s">
        <v>16101</v>
      </c>
      <c r="UDU5" s="12" t="s">
        <v>16102</v>
      </c>
      <c r="UDV5" s="12" t="s">
        <v>16103</v>
      </c>
      <c r="UDW5" s="12" t="s">
        <v>16104</v>
      </c>
      <c r="UDX5" s="12" t="s">
        <v>16105</v>
      </c>
      <c r="UDY5" s="12" t="s">
        <v>16106</v>
      </c>
      <c r="UDZ5" s="12" t="s">
        <v>16107</v>
      </c>
      <c r="UEA5" s="12" t="s">
        <v>16108</v>
      </c>
      <c r="UEB5" s="12" t="s">
        <v>16109</v>
      </c>
      <c r="UEC5" s="12" t="s">
        <v>16110</v>
      </c>
      <c r="UED5" s="12" t="s">
        <v>16111</v>
      </c>
      <c r="UEE5" s="12" t="s">
        <v>16112</v>
      </c>
      <c r="UEF5" s="12" t="s">
        <v>16113</v>
      </c>
      <c r="UEG5" s="12" t="s">
        <v>16114</v>
      </c>
      <c r="UEH5" s="12" t="s">
        <v>16115</v>
      </c>
      <c r="UEI5" s="12" t="s">
        <v>16116</v>
      </c>
      <c r="UEJ5" s="12" t="s">
        <v>16117</v>
      </c>
      <c r="UEK5" s="12" t="s">
        <v>16118</v>
      </c>
      <c r="UEL5" s="12" t="s">
        <v>16119</v>
      </c>
      <c r="UEM5" s="12" t="s">
        <v>16120</v>
      </c>
      <c r="UEN5" s="12" t="s">
        <v>16121</v>
      </c>
      <c r="UEO5" s="12" t="s">
        <v>16122</v>
      </c>
      <c r="UEP5" s="12" t="s">
        <v>16123</v>
      </c>
      <c r="UEQ5" s="12" t="s">
        <v>16124</v>
      </c>
      <c r="UER5" s="12" t="s">
        <v>16125</v>
      </c>
      <c r="UES5" s="12" t="s">
        <v>16126</v>
      </c>
      <c r="UET5" s="12" t="s">
        <v>16127</v>
      </c>
      <c r="UEU5" s="12" t="s">
        <v>16128</v>
      </c>
      <c r="UEV5" s="12" t="s">
        <v>16129</v>
      </c>
      <c r="UEW5" s="12" t="s">
        <v>16130</v>
      </c>
      <c r="UEX5" s="12" t="s">
        <v>16131</v>
      </c>
      <c r="UEY5" s="12" t="s">
        <v>16132</v>
      </c>
      <c r="UEZ5" s="12" t="s">
        <v>16133</v>
      </c>
      <c r="UFA5" s="12" t="s">
        <v>16134</v>
      </c>
      <c r="UFB5" s="12" t="s">
        <v>16135</v>
      </c>
      <c r="UFC5" s="12" t="s">
        <v>16136</v>
      </c>
      <c r="UFD5" s="12" t="s">
        <v>16137</v>
      </c>
      <c r="UFE5" s="12" t="s">
        <v>16138</v>
      </c>
      <c r="UFF5" s="12" t="s">
        <v>16139</v>
      </c>
      <c r="UFG5" s="12" t="s">
        <v>16140</v>
      </c>
      <c r="UFH5" s="12" t="s">
        <v>16141</v>
      </c>
      <c r="UFI5" s="12" t="s">
        <v>16142</v>
      </c>
      <c r="UFJ5" s="12" t="s">
        <v>16143</v>
      </c>
      <c r="UFK5" s="12" t="s">
        <v>16144</v>
      </c>
      <c r="UFL5" s="12" t="s">
        <v>16145</v>
      </c>
      <c r="UFM5" s="12" t="s">
        <v>16146</v>
      </c>
      <c r="UFN5" s="12" t="s">
        <v>16147</v>
      </c>
      <c r="UFO5" s="12" t="s">
        <v>16148</v>
      </c>
      <c r="UFP5" s="12" t="s">
        <v>16149</v>
      </c>
      <c r="UFQ5" s="12" t="s">
        <v>16150</v>
      </c>
      <c r="UFR5" s="12" t="s">
        <v>16151</v>
      </c>
      <c r="UFS5" s="12" t="s">
        <v>16152</v>
      </c>
      <c r="UFT5" s="12" t="s">
        <v>16153</v>
      </c>
      <c r="UFU5" s="12" t="s">
        <v>16154</v>
      </c>
      <c r="UFV5" s="12" t="s">
        <v>16155</v>
      </c>
      <c r="UFW5" s="12" t="s">
        <v>16156</v>
      </c>
      <c r="UFX5" s="12" t="s">
        <v>16157</v>
      </c>
      <c r="UFY5" s="12" t="s">
        <v>16158</v>
      </c>
      <c r="UFZ5" s="12" t="s">
        <v>16159</v>
      </c>
      <c r="UGA5" s="12" t="s">
        <v>16160</v>
      </c>
      <c r="UGB5" s="12" t="s">
        <v>16161</v>
      </c>
      <c r="UGC5" s="12" t="s">
        <v>16162</v>
      </c>
      <c r="UGD5" s="12" t="s">
        <v>16163</v>
      </c>
      <c r="UGE5" s="12" t="s">
        <v>16164</v>
      </c>
      <c r="UGF5" s="12" t="s">
        <v>16165</v>
      </c>
      <c r="UGG5" s="12" t="s">
        <v>16166</v>
      </c>
      <c r="UGH5" s="12" t="s">
        <v>16167</v>
      </c>
      <c r="UGI5" s="12" t="s">
        <v>16168</v>
      </c>
      <c r="UGJ5" s="12" t="s">
        <v>16169</v>
      </c>
      <c r="UGK5" s="12" t="s">
        <v>16170</v>
      </c>
      <c r="UGL5" s="12" t="s">
        <v>16171</v>
      </c>
      <c r="UGM5" s="12" t="s">
        <v>16172</v>
      </c>
      <c r="UGN5" s="12" t="s">
        <v>16173</v>
      </c>
      <c r="UGO5" s="12" t="s">
        <v>16174</v>
      </c>
      <c r="UGP5" s="12" t="s">
        <v>16175</v>
      </c>
      <c r="UGQ5" s="12" t="s">
        <v>16176</v>
      </c>
      <c r="UGR5" s="12" t="s">
        <v>16177</v>
      </c>
      <c r="UGS5" s="12" t="s">
        <v>16178</v>
      </c>
      <c r="UGT5" s="12" t="s">
        <v>16179</v>
      </c>
      <c r="UGU5" s="12" t="s">
        <v>16180</v>
      </c>
      <c r="UGV5" s="12" t="s">
        <v>16181</v>
      </c>
      <c r="UGW5" s="12" t="s">
        <v>16182</v>
      </c>
      <c r="UGX5" s="12" t="s">
        <v>16183</v>
      </c>
      <c r="UGY5" s="12" t="s">
        <v>16184</v>
      </c>
      <c r="UGZ5" s="12" t="s">
        <v>16185</v>
      </c>
      <c r="UHA5" s="12" t="s">
        <v>16186</v>
      </c>
      <c r="UHB5" s="12" t="s">
        <v>16187</v>
      </c>
      <c r="UHC5" s="12" t="s">
        <v>16188</v>
      </c>
      <c r="UHD5" s="12" t="s">
        <v>16189</v>
      </c>
      <c r="UHE5" s="12" t="s">
        <v>16190</v>
      </c>
      <c r="UHF5" s="12" t="s">
        <v>16191</v>
      </c>
      <c r="UHG5" s="12" t="s">
        <v>16192</v>
      </c>
      <c r="UHH5" s="12" t="s">
        <v>16193</v>
      </c>
      <c r="UHI5" s="12" t="s">
        <v>16194</v>
      </c>
      <c r="UHJ5" s="12" t="s">
        <v>16195</v>
      </c>
      <c r="UHK5" s="12" t="s">
        <v>16196</v>
      </c>
      <c r="UHL5" s="12" t="s">
        <v>16197</v>
      </c>
      <c r="UHM5" s="12" t="s">
        <v>16198</v>
      </c>
      <c r="UHN5" s="12" t="s">
        <v>16199</v>
      </c>
      <c r="UHO5" s="12" t="s">
        <v>16200</v>
      </c>
      <c r="UHP5" s="12" t="s">
        <v>16201</v>
      </c>
      <c r="UHQ5" s="12" t="s">
        <v>16202</v>
      </c>
      <c r="UHR5" s="12" t="s">
        <v>16203</v>
      </c>
      <c r="UHS5" s="12" t="s">
        <v>16204</v>
      </c>
      <c r="UHT5" s="12" t="s">
        <v>16205</v>
      </c>
      <c r="UHU5" s="12" t="s">
        <v>16206</v>
      </c>
      <c r="UHV5" s="12" t="s">
        <v>16207</v>
      </c>
      <c r="UHW5" s="12" t="s">
        <v>16208</v>
      </c>
      <c r="UHX5" s="12" t="s">
        <v>16209</v>
      </c>
      <c r="UHY5" s="12" t="s">
        <v>16210</v>
      </c>
      <c r="UHZ5" s="12" t="s">
        <v>16211</v>
      </c>
      <c r="UIA5" s="12" t="s">
        <v>16212</v>
      </c>
      <c r="UIB5" s="12" t="s">
        <v>16213</v>
      </c>
      <c r="UIC5" s="12" t="s">
        <v>16214</v>
      </c>
      <c r="UID5" s="12" t="s">
        <v>16215</v>
      </c>
      <c r="UIE5" s="12" t="s">
        <v>16216</v>
      </c>
      <c r="UIF5" s="12" t="s">
        <v>16217</v>
      </c>
      <c r="UIG5" s="12" t="s">
        <v>16218</v>
      </c>
      <c r="UIH5" s="12" t="s">
        <v>16219</v>
      </c>
      <c r="UII5" s="12" t="s">
        <v>16220</v>
      </c>
      <c r="UIJ5" s="12" t="s">
        <v>16221</v>
      </c>
      <c r="UIK5" s="12" t="s">
        <v>16222</v>
      </c>
      <c r="UIL5" s="12" t="s">
        <v>16223</v>
      </c>
      <c r="UIM5" s="12" t="s">
        <v>16224</v>
      </c>
      <c r="UIN5" s="12" t="s">
        <v>16225</v>
      </c>
      <c r="UIO5" s="12" t="s">
        <v>16226</v>
      </c>
      <c r="UIP5" s="12" t="s">
        <v>16227</v>
      </c>
      <c r="UIQ5" s="12" t="s">
        <v>16228</v>
      </c>
      <c r="UIR5" s="12" t="s">
        <v>16229</v>
      </c>
      <c r="UIS5" s="12" t="s">
        <v>16230</v>
      </c>
      <c r="UIT5" s="12" t="s">
        <v>16231</v>
      </c>
      <c r="UIU5" s="12" t="s">
        <v>16232</v>
      </c>
      <c r="UIV5" s="12" t="s">
        <v>16233</v>
      </c>
      <c r="UIW5" s="12" t="s">
        <v>16234</v>
      </c>
      <c r="UIX5" s="12" t="s">
        <v>16235</v>
      </c>
      <c r="UIY5" s="12" t="s">
        <v>16236</v>
      </c>
      <c r="UIZ5" s="12" t="s">
        <v>16237</v>
      </c>
      <c r="UJA5" s="12" t="s">
        <v>16238</v>
      </c>
      <c r="UJB5" s="12" t="s">
        <v>16239</v>
      </c>
      <c r="UJC5" s="12" t="s">
        <v>16240</v>
      </c>
      <c r="UJD5" s="12" t="s">
        <v>16241</v>
      </c>
      <c r="UJE5" s="12" t="s">
        <v>16242</v>
      </c>
      <c r="UJF5" s="12" t="s">
        <v>16243</v>
      </c>
      <c r="UJG5" s="12" t="s">
        <v>16244</v>
      </c>
      <c r="UJH5" s="12" t="s">
        <v>16245</v>
      </c>
      <c r="UJI5" s="12" t="s">
        <v>16246</v>
      </c>
      <c r="UJJ5" s="12" t="s">
        <v>16247</v>
      </c>
      <c r="UJK5" s="12" t="s">
        <v>16248</v>
      </c>
      <c r="UJL5" s="12" t="s">
        <v>16249</v>
      </c>
      <c r="UJM5" s="12" t="s">
        <v>16250</v>
      </c>
      <c r="UJN5" s="12" t="s">
        <v>16251</v>
      </c>
      <c r="UJO5" s="12" t="s">
        <v>16252</v>
      </c>
      <c r="UJP5" s="12" t="s">
        <v>16253</v>
      </c>
      <c r="UJQ5" s="12" t="s">
        <v>16254</v>
      </c>
      <c r="UJR5" s="12" t="s">
        <v>16255</v>
      </c>
      <c r="UJS5" s="12" t="s">
        <v>16256</v>
      </c>
      <c r="UJT5" s="12" t="s">
        <v>16257</v>
      </c>
      <c r="UJU5" s="12" t="s">
        <v>16258</v>
      </c>
      <c r="UJV5" s="12" t="s">
        <v>16259</v>
      </c>
      <c r="UJW5" s="12" t="s">
        <v>16260</v>
      </c>
      <c r="UJX5" s="12" t="s">
        <v>16261</v>
      </c>
      <c r="UJY5" s="12" t="s">
        <v>16262</v>
      </c>
      <c r="UJZ5" s="12" t="s">
        <v>16263</v>
      </c>
      <c r="UKA5" s="12" t="s">
        <v>16264</v>
      </c>
      <c r="UKB5" s="12" t="s">
        <v>16265</v>
      </c>
      <c r="UKC5" s="12" t="s">
        <v>16266</v>
      </c>
      <c r="UKD5" s="12" t="s">
        <v>16267</v>
      </c>
      <c r="UKE5" s="12" t="s">
        <v>16268</v>
      </c>
      <c r="UKF5" s="12" t="s">
        <v>16269</v>
      </c>
      <c r="UKG5" s="12" t="s">
        <v>16270</v>
      </c>
      <c r="UKH5" s="12" t="s">
        <v>16271</v>
      </c>
      <c r="UKI5" s="12" t="s">
        <v>16272</v>
      </c>
      <c r="UKJ5" s="12" t="s">
        <v>16273</v>
      </c>
      <c r="UKK5" s="12" t="s">
        <v>16274</v>
      </c>
      <c r="UKL5" s="12" t="s">
        <v>16275</v>
      </c>
      <c r="UKM5" s="12" t="s">
        <v>16276</v>
      </c>
      <c r="UKN5" s="12" t="s">
        <v>16277</v>
      </c>
      <c r="UKO5" s="12" t="s">
        <v>16278</v>
      </c>
      <c r="UKP5" s="12" t="s">
        <v>16279</v>
      </c>
      <c r="UKQ5" s="12" t="s">
        <v>16280</v>
      </c>
      <c r="UKR5" s="12" t="s">
        <v>16281</v>
      </c>
      <c r="UKS5" s="12" t="s">
        <v>16282</v>
      </c>
      <c r="UKT5" s="12" t="s">
        <v>16283</v>
      </c>
      <c r="UKU5" s="12" t="s">
        <v>16284</v>
      </c>
      <c r="UKV5" s="12" t="s">
        <v>16285</v>
      </c>
      <c r="UKW5" s="12" t="s">
        <v>16286</v>
      </c>
      <c r="UKX5" s="12" t="s">
        <v>16287</v>
      </c>
      <c r="UKY5" s="12" t="s">
        <v>16288</v>
      </c>
      <c r="UKZ5" s="12" t="s">
        <v>16289</v>
      </c>
      <c r="ULA5" s="12" t="s">
        <v>16290</v>
      </c>
      <c r="ULB5" s="12" t="s">
        <v>16291</v>
      </c>
      <c r="ULC5" s="12" t="s">
        <v>16292</v>
      </c>
      <c r="ULD5" s="12" t="s">
        <v>16293</v>
      </c>
      <c r="ULE5" s="12" t="s">
        <v>16294</v>
      </c>
      <c r="ULF5" s="12" t="s">
        <v>16295</v>
      </c>
      <c r="ULG5" s="12" t="s">
        <v>16296</v>
      </c>
      <c r="ULH5" s="12" t="s">
        <v>16297</v>
      </c>
      <c r="ULI5" s="12" t="s">
        <v>16298</v>
      </c>
      <c r="ULJ5" s="12" t="s">
        <v>16299</v>
      </c>
      <c r="ULK5" s="12" t="s">
        <v>16300</v>
      </c>
      <c r="ULL5" s="12" t="s">
        <v>16301</v>
      </c>
      <c r="ULM5" s="12" t="s">
        <v>16302</v>
      </c>
      <c r="ULN5" s="12" t="s">
        <v>16303</v>
      </c>
      <c r="ULO5" s="12" t="s">
        <v>16304</v>
      </c>
      <c r="ULP5" s="12" t="s">
        <v>16305</v>
      </c>
      <c r="ULQ5" s="12" t="s">
        <v>16306</v>
      </c>
      <c r="ULR5" s="12" t="s">
        <v>16307</v>
      </c>
      <c r="ULS5" s="12" t="s">
        <v>16308</v>
      </c>
      <c r="ULT5" s="12" t="s">
        <v>16309</v>
      </c>
      <c r="ULU5" s="12" t="s">
        <v>16310</v>
      </c>
      <c r="ULV5" s="12" t="s">
        <v>16311</v>
      </c>
      <c r="ULW5" s="12" t="s">
        <v>16312</v>
      </c>
      <c r="ULX5" s="12" t="s">
        <v>16313</v>
      </c>
      <c r="ULY5" s="12" t="s">
        <v>16314</v>
      </c>
      <c r="ULZ5" s="12" t="s">
        <v>16315</v>
      </c>
      <c r="UMA5" s="12" t="s">
        <v>16316</v>
      </c>
      <c r="UMB5" s="12" t="s">
        <v>16317</v>
      </c>
      <c r="UMC5" s="12" t="s">
        <v>16318</v>
      </c>
      <c r="UMD5" s="12" t="s">
        <v>16319</v>
      </c>
      <c r="UME5" s="12" t="s">
        <v>16320</v>
      </c>
      <c r="UMF5" s="12" t="s">
        <v>16321</v>
      </c>
      <c r="UMG5" s="12" t="s">
        <v>16322</v>
      </c>
      <c r="UMH5" s="12" t="s">
        <v>16323</v>
      </c>
      <c r="UMI5" s="12" t="s">
        <v>16324</v>
      </c>
      <c r="UMJ5" s="12" t="s">
        <v>16325</v>
      </c>
      <c r="UMK5" s="12" t="s">
        <v>16326</v>
      </c>
      <c r="UML5" s="12" t="s">
        <v>16327</v>
      </c>
      <c r="UMM5" s="12" t="s">
        <v>16328</v>
      </c>
      <c r="UMN5" s="12" t="s">
        <v>16329</v>
      </c>
      <c r="UMO5" s="12" t="s">
        <v>16330</v>
      </c>
      <c r="UMP5" s="12" t="s">
        <v>16331</v>
      </c>
      <c r="UMQ5" s="12" t="s">
        <v>16332</v>
      </c>
      <c r="UMR5" s="12" t="s">
        <v>16333</v>
      </c>
      <c r="UMS5" s="12" t="s">
        <v>16334</v>
      </c>
      <c r="UMT5" s="12" t="s">
        <v>16335</v>
      </c>
      <c r="UMU5" s="12" t="s">
        <v>16336</v>
      </c>
      <c r="UMV5" s="12" t="s">
        <v>16337</v>
      </c>
      <c r="UMW5" s="12" t="s">
        <v>16338</v>
      </c>
      <c r="UMX5" s="12" t="s">
        <v>16339</v>
      </c>
      <c r="UMY5" s="12" t="s">
        <v>16340</v>
      </c>
      <c r="UMZ5" s="12" t="s">
        <v>16341</v>
      </c>
      <c r="UNA5" s="12" t="s">
        <v>16342</v>
      </c>
      <c r="UNB5" s="12" t="s">
        <v>16343</v>
      </c>
      <c r="UNC5" s="12" t="s">
        <v>16344</v>
      </c>
      <c r="UND5" s="12" t="s">
        <v>16345</v>
      </c>
      <c r="UNE5" s="12" t="s">
        <v>16346</v>
      </c>
      <c r="UNF5" s="12" t="s">
        <v>16347</v>
      </c>
      <c r="UNG5" s="12" t="s">
        <v>16348</v>
      </c>
      <c r="UNH5" s="12" t="s">
        <v>16349</v>
      </c>
      <c r="UNI5" s="12" t="s">
        <v>16350</v>
      </c>
      <c r="UNJ5" s="12" t="s">
        <v>16351</v>
      </c>
      <c r="UNK5" s="12" t="s">
        <v>16352</v>
      </c>
      <c r="UNL5" s="12" t="s">
        <v>16353</v>
      </c>
      <c r="UNM5" s="12" t="s">
        <v>16354</v>
      </c>
      <c r="UNN5" s="12" t="s">
        <v>16355</v>
      </c>
      <c r="UNO5" s="12" t="s">
        <v>16356</v>
      </c>
      <c r="UNP5" s="12" t="s">
        <v>16357</v>
      </c>
      <c r="UNQ5" s="12" t="s">
        <v>16358</v>
      </c>
      <c r="UNR5" s="12" t="s">
        <v>16359</v>
      </c>
      <c r="UNS5" s="12" t="s">
        <v>16360</v>
      </c>
      <c r="UNT5" s="12" t="s">
        <v>16361</v>
      </c>
      <c r="UNU5" s="12" t="s">
        <v>16362</v>
      </c>
      <c r="UNV5" s="12" t="s">
        <v>16363</v>
      </c>
      <c r="UNW5" s="12" t="s">
        <v>16364</v>
      </c>
      <c r="UNX5" s="12" t="s">
        <v>16365</v>
      </c>
      <c r="UNY5" s="12" t="s">
        <v>16366</v>
      </c>
      <c r="UNZ5" s="12" t="s">
        <v>16367</v>
      </c>
      <c r="UOA5" s="12" t="s">
        <v>16368</v>
      </c>
      <c r="UOB5" s="12" t="s">
        <v>16369</v>
      </c>
      <c r="UOC5" s="12" t="s">
        <v>16370</v>
      </c>
      <c r="UOD5" s="12" t="s">
        <v>16371</v>
      </c>
      <c r="UOE5" s="12" t="s">
        <v>16372</v>
      </c>
      <c r="UOF5" s="12" t="s">
        <v>16373</v>
      </c>
      <c r="UOG5" s="12" t="s">
        <v>16374</v>
      </c>
      <c r="UOH5" s="12" t="s">
        <v>16375</v>
      </c>
      <c r="UOI5" s="12" t="s">
        <v>16376</v>
      </c>
      <c r="UOJ5" s="12" t="s">
        <v>16377</v>
      </c>
      <c r="UOK5" s="12" t="s">
        <v>16378</v>
      </c>
      <c r="UOL5" s="12" t="s">
        <v>16379</v>
      </c>
      <c r="UOM5" s="12" t="s">
        <v>16380</v>
      </c>
      <c r="UON5" s="12" t="s">
        <v>16381</v>
      </c>
      <c r="UOO5" s="12" t="s">
        <v>16382</v>
      </c>
      <c r="UOP5" s="12" t="s">
        <v>16383</v>
      </c>
      <c r="UOQ5" s="12" t="s">
        <v>16384</v>
      </c>
      <c r="UOR5" s="12" t="s">
        <v>16385</v>
      </c>
      <c r="UOS5" s="12" t="s">
        <v>16386</v>
      </c>
      <c r="UOT5" s="12" t="s">
        <v>16387</v>
      </c>
      <c r="UOU5" s="12" t="s">
        <v>16388</v>
      </c>
      <c r="UOV5" s="12" t="s">
        <v>16389</v>
      </c>
      <c r="UOW5" s="12" t="s">
        <v>16390</v>
      </c>
      <c r="UOX5" s="12" t="s">
        <v>16391</v>
      </c>
      <c r="UOY5" s="12" t="s">
        <v>16392</v>
      </c>
      <c r="UOZ5" s="12" t="s">
        <v>16393</v>
      </c>
      <c r="UPA5" s="12" t="s">
        <v>16394</v>
      </c>
      <c r="UPB5" s="12" t="s">
        <v>16395</v>
      </c>
      <c r="UPC5" s="12" t="s">
        <v>16396</v>
      </c>
      <c r="UPD5" s="12" t="s">
        <v>16397</v>
      </c>
      <c r="UPE5" s="12" t="s">
        <v>16398</v>
      </c>
      <c r="UPF5" s="12" t="s">
        <v>16399</v>
      </c>
      <c r="UPG5" s="12" t="s">
        <v>16400</v>
      </c>
      <c r="UPH5" s="12" t="s">
        <v>16401</v>
      </c>
      <c r="UPI5" s="12" t="s">
        <v>16402</v>
      </c>
      <c r="UPJ5" s="12" t="s">
        <v>16403</v>
      </c>
      <c r="UPK5" s="12" t="s">
        <v>16404</v>
      </c>
      <c r="UPL5" s="12" t="s">
        <v>16405</v>
      </c>
      <c r="UPM5" s="12" t="s">
        <v>16406</v>
      </c>
      <c r="UPN5" s="12" t="s">
        <v>16407</v>
      </c>
      <c r="UPO5" s="12" t="s">
        <v>16408</v>
      </c>
      <c r="UPP5" s="12" t="s">
        <v>16409</v>
      </c>
      <c r="UPQ5" s="12" t="s">
        <v>16410</v>
      </c>
      <c r="UPR5" s="12" t="s">
        <v>16411</v>
      </c>
      <c r="UPS5" s="12" t="s">
        <v>16412</v>
      </c>
      <c r="UPT5" s="12" t="s">
        <v>16413</v>
      </c>
      <c r="UPU5" s="12" t="s">
        <v>16414</v>
      </c>
      <c r="UPV5" s="12" t="s">
        <v>16415</v>
      </c>
      <c r="UPW5" s="12" t="s">
        <v>16416</v>
      </c>
      <c r="UPX5" s="12" t="s">
        <v>16417</v>
      </c>
      <c r="UPY5" s="12" t="s">
        <v>16418</v>
      </c>
      <c r="UPZ5" s="12" t="s">
        <v>16419</v>
      </c>
      <c r="UQA5" s="12" t="s">
        <v>16420</v>
      </c>
      <c r="UQB5" s="12" t="s">
        <v>16421</v>
      </c>
      <c r="UQC5" s="12" t="s">
        <v>16422</v>
      </c>
      <c r="UQD5" s="12" t="s">
        <v>16423</v>
      </c>
      <c r="UQE5" s="12" t="s">
        <v>16424</v>
      </c>
      <c r="UQF5" s="12" t="s">
        <v>16425</v>
      </c>
      <c r="UQG5" s="12" t="s">
        <v>16426</v>
      </c>
      <c r="UQH5" s="12" t="s">
        <v>16427</v>
      </c>
      <c r="UQI5" s="12" t="s">
        <v>16428</v>
      </c>
      <c r="UQJ5" s="12" t="s">
        <v>16429</v>
      </c>
      <c r="UQK5" s="12" t="s">
        <v>16430</v>
      </c>
      <c r="UQL5" s="12" t="s">
        <v>16431</v>
      </c>
      <c r="UQM5" s="12" t="s">
        <v>16432</v>
      </c>
      <c r="UQN5" s="12" t="s">
        <v>16433</v>
      </c>
      <c r="UQO5" s="12" t="s">
        <v>16434</v>
      </c>
      <c r="UQP5" s="12" t="s">
        <v>16435</v>
      </c>
      <c r="UQQ5" s="12" t="s">
        <v>16436</v>
      </c>
      <c r="UQR5" s="12" t="s">
        <v>16437</v>
      </c>
      <c r="UQS5" s="12" t="s">
        <v>16438</v>
      </c>
      <c r="UQT5" s="12" t="s">
        <v>16439</v>
      </c>
      <c r="UQU5" s="12" t="s">
        <v>16440</v>
      </c>
      <c r="UQV5" s="12" t="s">
        <v>16441</v>
      </c>
      <c r="UQW5" s="12" t="s">
        <v>16442</v>
      </c>
      <c r="UQX5" s="12" t="s">
        <v>16443</v>
      </c>
      <c r="UQY5" s="12" t="s">
        <v>16444</v>
      </c>
      <c r="UQZ5" s="12" t="s">
        <v>16445</v>
      </c>
      <c r="URA5" s="12" t="s">
        <v>16446</v>
      </c>
      <c r="URB5" s="12" t="s">
        <v>16447</v>
      </c>
      <c r="URC5" s="12" t="s">
        <v>16448</v>
      </c>
      <c r="URD5" s="12" t="s">
        <v>16449</v>
      </c>
      <c r="URE5" s="12" t="s">
        <v>16450</v>
      </c>
      <c r="URF5" s="12" t="s">
        <v>16451</v>
      </c>
      <c r="URG5" s="12" t="s">
        <v>16452</v>
      </c>
      <c r="URH5" s="12" t="s">
        <v>16453</v>
      </c>
      <c r="URI5" s="12" t="s">
        <v>16454</v>
      </c>
      <c r="URJ5" s="12" t="s">
        <v>16455</v>
      </c>
      <c r="URK5" s="12" t="s">
        <v>16456</v>
      </c>
      <c r="URL5" s="12" t="s">
        <v>16457</v>
      </c>
      <c r="URM5" s="12" t="s">
        <v>16458</v>
      </c>
      <c r="URN5" s="12" t="s">
        <v>16459</v>
      </c>
      <c r="URO5" s="12" t="s">
        <v>16460</v>
      </c>
      <c r="URP5" s="12" t="s">
        <v>16461</v>
      </c>
      <c r="URQ5" s="12" t="s">
        <v>16462</v>
      </c>
      <c r="URR5" s="12" t="s">
        <v>16463</v>
      </c>
      <c r="URS5" s="12" t="s">
        <v>16464</v>
      </c>
      <c r="URT5" s="12" t="s">
        <v>16465</v>
      </c>
      <c r="URU5" s="12" t="s">
        <v>16466</v>
      </c>
      <c r="URV5" s="12" t="s">
        <v>16467</v>
      </c>
      <c r="URW5" s="12" t="s">
        <v>16468</v>
      </c>
      <c r="URX5" s="12" t="s">
        <v>16469</v>
      </c>
      <c r="URY5" s="12" t="s">
        <v>16470</v>
      </c>
      <c r="URZ5" s="12" t="s">
        <v>16471</v>
      </c>
      <c r="USA5" s="12" t="s">
        <v>16472</v>
      </c>
      <c r="USB5" s="12" t="s">
        <v>16473</v>
      </c>
      <c r="USC5" s="12" t="s">
        <v>16474</v>
      </c>
      <c r="USD5" s="12" t="s">
        <v>16475</v>
      </c>
      <c r="USE5" s="12" t="s">
        <v>16476</v>
      </c>
      <c r="USF5" s="12" t="s">
        <v>16477</v>
      </c>
      <c r="USG5" s="12" t="s">
        <v>16478</v>
      </c>
      <c r="USH5" s="12" t="s">
        <v>16479</v>
      </c>
      <c r="USI5" s="12" t="s">
        <v>16480</v>
      </c>
      <c r="USJ5" s="12" t="s">
        <v>16481</v>
      </c>
      <c r="USK5" s="12" t="s">
        <v>16482</v>
      </c>
      <c r="USL5" s="12" t="s">
        <v>16483</v>
      </c>
      <c r="USM5" s="12" t="s">
        <v>16484</v>
      </c>
      <c r="USN5" s="12" t="s">
        <v>16485</v>
      </c>
      <c r="USO5" s="12" t="s">
        <v>16486</v>
      </c>
      <c r="USP5" s="12" t="s">
        <v>16487</v>
      </c>
      <c r="USQ5" s="12" t="s">
        <v>16488</v>
      </c>
      <c r="USR5" s="12" t="s">
        <v>16489</v>
      </c>
      <c r="USS5" s="12" t="s">
        <v>16490</v>
      </c>
      <c r="UST5" s="12" t="s">
        <v>16491</v>
      </c>
      <c r="USU5" s="12" t="s">
        <v>16492</v>
      </c>
      <c r="USV5" s="12" t="s">
        <v>16493</v>
      </c>
      <c r="USW5" s="12" t="s">
        <v>16494</v>
      </c>
      <c r="USX5" s="12" t="s">
        <v>16495</v>
      </c>
      <c r="USY5" s="12" t="s">
        <v>16496</v>
      </c>
      <c r="USZ5" s="12" t="s">
        <v>16497</v>
      </c>
      <c r="UTA5" s="12" t="s">
        <v>16498</v>
      </c>
      <c r="UTB5" s="12" t="s">
        <v>16499</v>
      </c>
      <c r="UTC5" s="12" t="s">
        <v>16500</v>
      </c>
      <c r="UTD5" s="12" t="s">
        <v>16501</v>
      </c>
      <c r="UTE5" s="12" t="s">
        <v>16502</v>
      </c>
      <c r="UTF5" s="12" t="s">
        <v>16503</v>
      </c>
      <c r="UTG5" s="12" t="s">
        <v>16504</v>
      </c>
      <c r="UTH5" s="12" t="s">
        <v>16505</v>
      </c>
      <c r="UTI5" s="12" t="s">
        <v>16506</v>
      </c>
      <c r="UTJ5" s="12" t="s">
        <v>16507</v>
      </c>
      <c r="UTK5" s="12" t="s">
        <v>16508</v>
      </c>
      <c r="UTL5" s="12" t="s">
        <v>16509</v>
      </c>
      <c r="UTM5" s="12" t="s">
        <v>16510</v>
      </c>
      <c r="UTN5" s="12" t="s">
        <v>16511</v>
      </c>
      <c r="UTO5" s="12" t="s">
        <v>16512</v>
      </c>
      <c r="UTP5" s="12" t="s">
        <v>16513</v>
      </c>
      <c r="UTQ5" s="12" t="s">
        <v>16514</v>
      </c>
      <c r="UTR5" s="12" t="s">
        <v>16515</v>
      </c>
      <c r="UTS5" s="12" t="s">
        <v>16516</v>
      </c>
      <c r="UTT5" s="12" t="s">
        <v>16517</v>
      </c>
      <c r="UTU5" s="12" t="s">
        <v>16518</v>
      </c>
      <c r="UTV5" s="12" t="s">
        <v>16519</v>
      </c>
      <c r="UTW5" s="12" t="s">
        <v>16520</v>
      </c>
      <c r="UTX5" s="12" t="s">
        <v>16521</v>
      </c>
      <c r="UTY5" s="12" t="s">
        <v>16522</v>
      </c>
      <c r="UTZ5" s="12" t="s">
        <v>16523</v>
      </c>
      <c r="UUA5" s="12" t="s">
        <v>16524</v>
      </c>
      <c r="UUB5" s="12" t="s">
        <v>16525</v>
      </c>
      <c r="UUC5" s="12" t="s">
        <v>16526</v>
      </c>
      <c r="UUD5" s="12" t="s">
        <v>16527</v>
      </c>
      <c r="UUE5" s="12" t="s">
        <v>16528</v>
      </c>
      <c r="UUF5" s="12" t="s">
        <v>16529</v>
      </c>
      <c r="UUG5" s="12" t="s">
        <v>16530</v>
      </c>
      <c r="UUH5" s="12" t="s">
        <v>16531</v>
      </c>
      <c r="UUI5" s="12" t="s">
        <v>16532</v>
      </c>
      <c r="UUJ5" s="12" t="s">
        <v>16533</v>
      </c>
      <c r="UUK5" s="12" t="s">
        <v>16534</v>
      </c>
      <c r="UUL5" s="12" t="s">
        <v>16535</v>
      </c>
      <c r="UUM5" s="12" t="s">
        <v>16536</v>
      </c>
      <c r="UUN5" s="12" t="s">
        <v>16537</v>
      </c>
      <c r="UUO5" s="12" t="s">
        <v>16538</v>
      </c>
      <c r="UUP5" s="12" t="s">
        <v>16539</v>
      </c>
      <c r="UUQ5" s="12" t="s">
        <v>16540</v>
      </c>
      <c r="UUR5" s="12" t="s">
        <v>16541</v>
      </c>
      <c r="UUS5" s="12" t="s">
        <v>16542</v>
      </c>
      <c r="UUT5" s="12" t="s">
        <v>16543</v>
      </c>
      <c r="UUU5" s="12" t="s">
        <v>16544</v>
      </c>
      <c r="UUV5" s="12" t="s">
        <v>16545</v>
      </c>
      <c r="UUW5" s="12" t="s">
        <v>16546</v>
      </c>
      <c r="UUX5" s="12" t="s">
        <v>16547</v>
      </c>
      <c r="UUY5" s="12" t="s">
        <v>16548</v>
      </c>
      <c r="UUZ5" s="12" t="s">
        <v>16549</v>
      </c>
      <c r="UVA5" s="12" t="s">
        <v>16550</v>
      </c>
      <c r="UVB5" s="12" t="s">
        <v>16551</v>
      </c>
      <c r="UVC5" s="12" t="s">
        <v>16552</v>
      </c>
      <c r="UVD5" s="12" t="s">
        <v>16553</v>
      </c>
      <c r="UVE5" s="12" t="s">
        <v>16554</v>
      </c>
      <c r="UVF5" s="12" t="s">
        <v>16555</v>
      </c>
      <c r="UVG5" s="12" t="s">
        <v>16556</v>
      </c>
      <c r="UVH5" s="12" t="s">
        <v>16557</v>
      </c>
      <c r="UVI5" s="12" t="s">
        <v>16558</v>
      </c>
      <c r="UVJ5" s="12" t="s">
        <v>16559</v>
      </c>
      <c r="UVK5" s="12" t="s">
        <v>16560</v>
      </c>
      <c r="UVL5" s="12" t="s">
        <v>16561</v>
      </c>
      <c r="UVM5" s="12" t="s">
        <v>16562</v>
      </c>
      <c r="UVN5" s="12" t="s">
        <v>16563</v>
      </c>
      <c r="UVO5" s="12" t="s">
        <v>16564</v>
      </c>
      <c r="UVP5" s="12" t="s">
        <v>16565</v>
      </c>
      <c r="UVQ5" s="12" t="s">
        <v>16566</v>
      </c>
      <c r="UVR5" s="12" t="s">
        <v>16567</v>
      </c>
      <c r="UVS5" s="12" t="s">
        <v>16568</v>
      </c>
      <c r="UVT5" s="12" t="s">
        <v>16569</v>
      </c>
      <c r="UVU5" s="12" t="s">
        <v>16570</v>
      </c>
      <c r="UVV5" s="12" t="s">
        <v>16571</v>
      </c>
      <c r="UVW5" s="12" t="s">
        <v>16572</v>
      </c>
      <c r="UVX5" s="12" t="s">
        <v>16573</v>
      </c>
      <c r="UVY5" s="12" t="s">
        <v>16574</v>
      </c>
      <c r="UVZ5" s="12" t="s">
        <v>16575</v>
      </c>
      <c r="UWA5" s="12" t="s">
        <v>16576</v>
      </c>
      <c r="UWB5" s="12" t="s">
        <v>16577</v>
      </c>
      <c r="UWC5" s="12" t="s">
        <v>16578</v>
      </c>
      <c r="UWD5" s="12" t="s">
        <v>16579</v>
      </c>
      <c r="UWE5" s="12" t="s">
        <v>16580</v>
      </c>
      <c r="UWF5" s="12" t="s">
        <v>16581</v>
      </c>
      <c r="UWG5" s="12" t="s">
        <v>16582</v>
      </c>
      <c r="UWH5" s="12" t="s">
        <v>16583</v>
      </c>
      <c r="UWI5" s="12" t="s">
        <v>16584</v>
      </c>
      <c r="UWJ5" s="12" t="s">
        <v>16585</v>
      </c>
      <c r="UWK5" s="12" t="s">
        <v>16586</v>
      </c>
      <c r="UWL5" s="12" t="s">
        <v>16587</v>
      </c>
      <c r="UWM5" s="12" t="s">
        <v>16588</v>
      </c>
      <c r="UWN5" s="12" t="s">
        <v>16589</v>
      </c>
      <c r="UWO5" s="12" t="s">
        <v>16590</v>
      </c>
      <c r="UWP5" s="12" t="s">
        <v>16591</v>
      </c>
      <c r="UWQ5" s="12" t="s">
        <v>16592</v>
      </c>
      <c r="UWR5" s="12" t="s">
        <v>16593</v>
      </c>
      <c r="UWS5" s="12" t="s">
        <v>16594</v>
      </c>
      <c r="UWT5" s="12" t="s">
        <v>16595</v>
      </c>
      <c r="UWU5" s="12" t="s">
        <v>16596</v>
      </c>
      <c r="UWV5" s="12" t="s">
        <v>16597</v>
      </c>
      <c r="UWW5" s="12" t="s">
        <v>16598</v>
      </c>
      <c r="UWX5" s="12" t="s">
        <v>16599</v>
      </c>
      <c r="UWY5" s="12" t="s">
        <v>16600</v>
      </c>
      <c r="UWZ5" s="12" t="s">
        <v>16601</v>
      </c>
      <c r="UXA5" s="12" t="s">
        <v>16602</v>
      </c>
      <c r="UXB5" s="12" t="s">
        <v>16603</v>
      </c>
      <c r="UXC5" s="12" t="s">
        <v>16604</v>
      </c>
      <c r="UXD5" s="12" t="s">
        <v>16605</v>
      </c>
      <c r="UXE5" s="12" t="s">
        <v>16606</v>
      </c>
      <c r="UXF5" s="12" t="s">
        <v>16607</v>
      </c>
      <c r="UXG5" s="12" t="s">
        <v>16608</v>
      </c>
      <c r="UXH5" s="12" t="s">
        <v>16609</v>
      </c>
      <c r="UXI5" s="12" t="s">
        <v>16610</v>
      </c>
      <c r="UXJ5" s="12" t="s">
        <v>16611</v>
      </c>
      <c r="UXK5" s="12" t="s">
        <v>16612</v>
      </c>
      <c r="UXL5" s="12" t="s">
        <v>16613</v>
      </c>
      <c r="UXM5" s="12" t="s">
        <v>16614</v>
      </c>
      <c r="UXN5" s="12" t="s">
        <v>16615</v>
      </c>
      <c r="UXO5" s="12" t="s">
        <v>16616</v>
      </c>
      <c r="UXP5" s="12" t="s">
        <v>16617</v>
      </c>
      <c r="UXQ5" s="12" t="s">
        <v>16618</v>
      </c>
      <c r="UXR5" s="12" t="s">
        <v>16619</v>
      </c>
      <c r="UXS5" s="12" t="s">
        <v>16620</v>
      </c>
      <c r="UXT5" s="12" t="s">
        <v>16621</v>
      </c>
      <c r="UXU5" s="12" t="s">
        <v>16622</v>
      </c>
      <c r="UXV5" s="12" t="s">
        <v>16623</v>
      </c>
      <c r="UXW5" s="12" t="s">
        <v>16624</v>
      </c>
      <c r="UXX5" s="12" t="s">
        <v>16625</v>
      </c>
      <c r="UXY5" s="12" t="s">
        <v>16626</v>
      </c>
      <c r="UXZ5" s="12" t="s">
        <v>16627</v>
      </c>
      <c r="UYA5" s="12" t="s">
        <v>16628</v>
      </c>
      <c r="UYB5" s="12" t="s">
        <v>16629</v>
      </c>
      <c r="UYC5" s="12" t="s">
        <v>16630</v>
      </c>
      <c r="UYD5" s="12" t="s">
        <v>16631</v>
      </c>
      <c r="UYE5" s="12" t="s">
        <v>16632</v>
      </c>
      <c r="UYF5" s="12" t="s">
        <v>16633</v>
      </c>
      <c r="UYG5" s="12" t="s">
        <v>16634</v>
      </c>
      <c r="UYH5" s="12" t="s">
        <v>16635</v>
      </c>
      <c r="UYI5" s="12" t="s">
        <v>16636</v>
      </c>
      <c r="UYJ5" s="12" t="s">
        <v>16637</v>
      </c>
      <c r="UYK5" s="12" t="s">
        <v>16638</v>
      </c>
      <c r="UYL5" s="12" t="s">
        <v>16639</v>
      </c>
      <c r="UYM5" s="12" t="s">
        <v>16640</v>
      </c>
      <c r="UYN5" s="12" t="s">
        <v>16641</v>
      </c>
      <c r="UYO5" s="12" t="s">
        <v>16642</v>
      </c>
      <c r="UYP5" s="12" t="s">
        <v>16643</v>
      </c>
      <c r="UYQ5" s="12" t="s">
        <v>16644</v>
      </c>
      <c r="UYR5" s="12" t="s">
        <v>16645</v>
      </c>
      <c r="UYS5" s="12" t="s">
        <v>16646</v>
      </c>
      <c r="UYT5" s="12" t="s">
        <v>16647</v>
      </c>
      <c r="UYU5" s="12" t="s">
        <v>16648</v>
      </c>
      <c r="UYV5" s="12" t="s">
        <v>16649</v>
      </c>
      <c r="UYW5" s="12" t="s">
        <v>16650</v>
      </c>
      <c r="UYX5" s="12" t="s">
        <v>16651</v>
      </c>
      <c r="UYY5" s="12" t="s">
        <v>16652</v>
      </c>
      <c r="UYZ5" s="12" t="s">
        <v>16653</v>
      </c>
      <c r="UZA5" s="12" t="s">
        <v>16654</v>
      </c>
      <c r="UZB5" s="12" t="s">
        <v>16655</v>
      </c>
      <c r="UZC5" s="12" t="s">
        <v>16656</v>
      </c>
      <c r="UZD5" s="12" t="s">
        <v>16657</v>
      </c>
      <c r="UZE5" s="12" t="s">
        <v>16658</v>
      </c>
      <c r="UZF5" s="12" t="s">
        <v>16659</v>
      </c>
      <c r="UZG5" s="12" t="s">
        <v>16660</v>
      </c>
      <c r="UZH5" s="12" t="s">
        <v>16661</v>
      </c>
      <c r="UZI5" s="12" t="s">
        <v>16662</v>
      </c>
      <c r="UZJ5" s="12" t="s">
        <v>16663</v>
      </c>
      <c r="UZK5" s="12" t="s">
        <v>16664</v>
      </c>
      <c r="UZL5" s="12" t="s">
        <v>16665</v>
      </c>
      <c r="UZM5" s="12" t="s">
        <v>16666</v>
      </c>
      <c r="UZN5" s="12" t="s">
        <v>16667</v>
      </c>
      <c r="UZO5" s="12" t="s">
        <v>16668</v>
      </c>
      <c r="UZP5" s="12" t="s">
        <v>16669</v>
      </c>
      <c r="UZQ5" s="12" t="s">
        <v>16670</v>
      </c>
      <c r="UZR5" s="12" t="s">
        <v>16671</v>
      </c>
      <c r="UZS5" s="12" t="s">
        <v>16672</v>
      </c>
      <c r="UZT5" s="12" t="s">
        <v>16673</v>
      </c>
      <c r="UZU5" s="12" t="s">
        <v>16674</v>
      </c>
      <c r="UZV5" s="12" t="s">
        <v>16675</v>
      </c>
      <c r="UZW5" s="12" t="s">
        <v>16676</v>
      </c>
      <c r="UZX5" s="12" t="s">
        <v>16677</v>
      </c>
      <c r="UZY5" s="12" t="s">
        <v>16678</v>
      </c>
      <c r="UZZ5" s="12" t="s">
        <v>16679</v>
      </c>
      <c r="VAA5" s="12" t="s">
        <v>16680</v>
      </c>
      <c r="VAB5" s="12" t="s">
        <v>16681</v>
      </c>
      <c r="VAC5" s="12" t="s">
        <v>16682</v>
      </c>
      <c r="VAD5" s="12" t="s">
        <v>16683</v>
      </c>
      <c r="VAE5" s="12" t="s">
        <v>16684</v>
      </c>
      <c r="VAF5" s="12" t="s">
        <v>16685</v>
      </c>
      <c r="VAG5" s="12" t="s">
        <v>16686</v>
      </c>
      <c r="VAH5" s="12" t="s">
        <v>16687</v>
      </c>
      <c r="VAI5" s="12" t="s">
        <v>16688</v>
      </c>
      <c r="VAJ5" s="12" t="s">
        <v>16689</v>
      </c>
      <c r="VAK5" s="12" t="s">
        <v>16690</v>
      </c>
      <c r="VAL5" s="12" t="s">
        <v>16691</v>
      </c>
      <c r="VAM5" s="12" t="s">
        <v>16692</v>
      </c>
      <c r="VAN5" s="12" t="s">
        <v>16693</v>
      </c>
      <c r="VAO5" s="12" t="s">
        <v>16694</v>
      </c>
      <c r="VAP5" s="12" t="s">
        <v>16695</v>
      </c>
      <c r="VAQ5" s="12" t="s">
        <v>16696</v>
      </c>
      <c r="VAR5" s="12" t="s">
        <v>16697</v>
      </c>
      <c r="VAS5" s="12" t="s">
        <v>16698</v>
      </c>
      <c r="VAT5" s="12" t="s">
        <v>16699</v>
      </c>
      <c r="VAU5" s="12" t="s">
        <v>16700</v>
      </c>
      <c r="VAV5" s="12" t="s">
        <v>16701</v>
      </c>
      <c r="VAW5" s="12" t="s">
        <v>16702</v>
      </c>
      <c r="VAX5" s="12" t="s">
        <v>16703</v>
      </c>
      <c r="VAY5" s="12" t="s">
        <v>16704</v>
      </c>
      <c r="VAZ5" s="12" t="s">
        <v>16705</v>
      </c>
      <c r="VBA5" s="12" t="s">
        <v>16706</v>
      </c>
      <c r="VBB5" s="12" t="s">
        <v>16707</v>
      </c>
      <c r="VBC5" s="12" t="s">
        <v>16708</v>
      </c>
      <c r="VBD5" s="12" t="s">
        <v>16709</v>
      </c>
      <c r="VBE5" s="12" t="s">
        <v>16710</v>
      </c>
      <c r="VBF5" s="12" t="s">
        <v>16711</v>
      </c>
      <c r="VBG5" s="12" t="s">
        <v>16712</v>
      </c>
      <c r="VBH5" s="12" t="s">
        <v>16713</v>
      </c>
      <c r="VBI5" s="12" t="s">
        <v>16714</v>
      </c>
      <c r="VBJ5" s="12" t="s">
        <v>16715</v>
      </c>
      <c r="VBK5" s="12" t="s">
        <v>16716</v>
      </c>
      <c r="VBL5" s="12" t="s">
        <v>16717</v>
      </c>
      <c r="VBM5" s="12" t="s">
        <v>16718</v>
      </c>
      <c r="VBN5" s="12" t="s">
        <v>16719</v>
      </c>
      <c r="VBO5" s="12" t="s">
        <v>16720</v>
      </c>
      <c r="VBP5" s="12" t="s">
        <v>16721</v>
      </c>
      <c r="VBQ5" s="12" t="s">
        <v>16722</v>
      </c>
      <c r="VBR5" s="12" t="s">
        <v>16723</v>
      </c>
      <c r="VBS5" s="12" t="s">
        <v>16724</v>
      </c>
      <c r="VBT5" s="12" t="s">
        <v>16725</v>
      </c>
      <c r="VBU5" s="12" t="s">
        <v>16726</v>
      </c>
      <c r="VBV5" s="12" t="s">
        <v>16727</v>
      </c>
      <c r="VBW5" s="12" t="s">
        <v>16728</v>
      </c>
      <c r="VBX5" s="12" t="s">
        <v>16729</v>
      </c>
      <c r="VBY5" s="12" t="s">
        <v>16730</v>
      </c>
      <c r="VBZ5" s="12" t="s">
        <v>16731</v>
      </c>
      <c r="VCA5" s="12" t="s">
        <v>16732</v>
      </c>
      <c r="VCB5" s="12" t="s">
        <v>16733</v>
      </c>
      <c r="VCC5" s="12" t="s">
        <v>16734</v>
      </c>
      <c r="VCD5" s="12" t="s">
        <v>16735</v>
      </c>
      <c r="VCE5" s="12" t="s">
        <v>16736</v>
      </c>
      <c r="VCF5" s="12" t="s">
        <v>16737</v>
      </c>
      <c r="VCG5" s="12" t="s">
        <v>16738</v>
      </c>
      <c r="VCH5" s="12" t="s">
        <v>16739</v>
      </c>
      <c r="VCI5" s="12" t="s">
        <v>16740</v>
      </c>
      <c r="VCJ5" s="12" t="s">
        <v>16741</v>
      </c>
      <c r="VCK5" s="12" t="s">
        <v>16742</v>
      </c>
      <c r="VCL5" s="12" t="s">
        <v>16743</v>
      </c>
      <c r="VCM5" s="12" t="s">
        <v>16744</v>
      </c>
      <c r="VCN5" s="12" t="s">
        <v>16745</v>
      </c>
      <c r="VCO5" s="12" t="s">
        <v>16746</v>
      </c>
      <c r="VCP5" s="12" t="s">
        <v>16747</v>
      </c>
      <c r="VCQ5" s="12" t="s">
        <v>16748</v>
      </c>
      <c r="VCR5" s="12" t="s">
        <v>16749</v>
      </c>
      <c r="VCS5" s="12" t="s">
        <v>16750</v>
      </c>
      <c r="VCT5" s="12" t="s">
        <v>16751</v>
      </c>
      <c r="VCU5" s="12" t="s">
        <v>16752</v>
      </c>
      <c r="VCV5" s="12" t="s">
        <v>16753</v>
      </c>
      <c r="VCW5" s="12" t="s">
        <v>16754</v>
      </c>
      <c r="VCX5" s="12" t="s">
        <v>16755</v>
      </c>
      <c r="VCY5" s="12" t="s">
        <v>16756</v>
      </c>
      <c r="VCZ5" s="12" t="s">
        <v>16757</v>
      </c>
      <c r="VDA5" s="12" t="s">
        <v>16758</v>
      </c>
      <c r="VDB5" s="12" t="s">
        <v>16759</v>
      </c>
      <c r="VDC5" s="12" t="s">
        <v>16760</v>
      </c>
      <c r="VDD5" s="12" t="s">
        <v>16761</v>
      </c>
      <c r="VDE5" s="12" t="s">
        <v>16762</v>
      </c>
      <c r="VDF5" s="12" t="s">
        <v>16763</v>
      </c>
      <c r="VDG5" s="12" t="s">
        <v>16764</v>
      </c>
      <c r="VDH5" s="12" t="s">
        <v>16765</v>
      </c>
      <c r="VDI5" s="12" t="s">
        <v>16766</v>
      </c>
      <c r="VDJ5" s="12" t="s">
        <v>16767</v>
      </c>
      <c r="VDK5" s="12" t="s">
        <v>16768</v>
      </c>
      <c r="VDL5" s="12" t="s">
        <v>16769</v>
      </c>
      <c r="VDM5" s="12" t="s">
        <v>16770</v>
      </c>
      <c r="VDN5" s="12" t="s">
        <v>16771</v>
      </c>
      <c r="VDO5" s="12" t="s">
        <v>16772</v>
      </c>
      <c r="VDP5" s="12" t="s">
        <v>16773</v>
      </c>
      <c r="VDQ5" s="12" t="s">
        <v>16774</v>
      </c>
      <c r="VDR5" s="12" t="s">
        <v>16775</v>
      </c>
      <c r="VDS5" s="12" t="s">
        <v>16776</v>
      </c>
      <c r="VDT5" s="12" t="s">
        <v>16777</v>
      </c>
      <c r="VDU5" s="12" t="s">
        <v>16778</v>
      </c>
      <c r="VDV5" s="12" t="s">
        <v>16779</v>
      </c>
      <c r="VDW5" s="12" t="s">
        <v>16780</v>
      </c>
      <c r="VDX5" s="12" t="s">
        <v>16781</v>
      </c>
      <c r="VDY5" s="12" t="s">
        <v>16782</v>
      </c>
      <c r="VDZ5" s="12" t="s">
        <v>16783</v>
      </c>
      <c r="VEA5" s="12" t="s">
        <v>16784</v>
      </c>
      <c r="VEB5" s="12" t="s">
        <v>16785</v>
      </c>
      <c r="VEC5" s="12" t="s">
        <v>16786</v>
      </c>
      <c r="VED5" s="12" t="s">
        <v>16787</v>
      </c>
      <c r="VEE5" s="12" t="s">
        <v>16788</v>
      </c>
      <c r="VEF5" s="12" t="s">
        <v>16789</v>
      </c>
      <c r="VEG5" s="12" t="s">
        <v>16790</v>
      </c>
      <c r="VEH5" s="12" t="s">
        <v>16791</v>
      </c>
      <c r="VEI5" s="12" t="s">
        <v>16792</v>
      </c>
      <c r="VEJ5" s="12" t="s">
        <v>16793</v>
      </c>
      <c r="VEK5" s="12" t="s">
        <v>16794</v>
      </c>
      <c r="VEL5" s="12" t="s">
        <v>16795</v>
      </c>
      <c r="VEM5" s="12" t="s">
        <v>16796</v>
      </c>
      <c r="VEN5" s="12" t="s">
        <v>16797</v>
      </c>
      <c r="VEO5" s="12" t="s">
        <v>16798</v>
      </c>
      <c r="VEP5" s="12" t="s">
        <v>16799</v>
      </c>
      <c r="VEQ5" s="12" t="s">
        <v>16800</v>
      </c>
      <c r="VER5" s="12" t="s">
        <v>16801</v>
      </c>
      <c r="VES5" s="12" t="s">
        <v>16802</v>
      </c>
      <c r="VET5" s="12" t="s">
        <v>16803</v>
      </c>
      <c r="VEU5" s="12" t="s">
        <v>16804</v>
      </c>
      <c r="VEV5" s="12" t="s">
        <v>16805</v>
      </c>
      <c r="VEW5" s="12" t="s">
        <v>16806</v>
      </c>
      <c r="VEX5" s="12" t="s">
        <v>16807</v>
      </c>
      <c r="VEY5" s="12" t="s">
        <v>16808</v>
      </c>
      <c r="VEZ5" s="12" t="s">
        <v>16809</v>
      </c>
      <c r="VFA5" s="12" t="s">
        <v>16810</v>
      </c>
      <c r="VFB5" s="12" t="s">
        <v>16811</v>
      </c>
      <c r="VFC5" s="12" t="s">
        <v>16812</v>
      </c>
      <c r="VFD5" s="12" t="s">
        <v>16813</v>
      </c>
      <c r="VFE5" s="12" t="s">
        <v>16814</v>
      </c>
      <c r="VFF5" s="12" t="s">
        <v>16815</v>
      </c>
      <c r="VFG5" s="12" t="s">
        <v>16816</v>
      </c>
      <c r="VFH5" s="12" t="s">
        <v>16817</v>
      </c>
      <c r="VFI5" s="12" t="s">
        <v>16818</v>
      </c>
      <c r="VFJ5" s="12" t="s">
        <v>16819</v>
      </c>
      <c r="VFK5" s="12" t="s">
        <v>16820</v>
      </c>
      <c r="VFL5" s="12" t="s">
        <v>16821</v>
      </c>
      <c r="VFM5" s="12" t="s">
        <v>16822</v>
      </c>
      <c r="VFN5" s="12" t="s">
        <v>16823</v>
      </c>
      <c r="VFO5" s="12" t="s">
        <v>16824</v>
      </c>
      <c r="VFP5" s="12" t="s">
        <v>16825</v>
      </c>
      <c r="VFQ5" s="12" t="s">
        <v>16826</v>
      </c>
      <c r="VFR5" s="12" t="s">
        <v>16827</v>
      </c>
      <c r="VFS5" s="12" t="s">
        <v>16828</v>
      </c>
      <c r="VFT5" s="12" t="s">
        <v>16829</v>
      </c>
      <c r="VFU5" s="12" t="s">
        <v>16830</v>
      </c>
      <c r="VFV5" s="12" t="s">
        <v>16831</v>
      </c>
      <c r="VFW5" s="12" t="s">
        <v>16832</v>
      </c>
      <c r="VFX5" s="12" t="s">
        <v>16833</v>
      </c>
      <c r="VFY5" s="12" t="s">
        <v>16834</v>
      </c>
      <c r="VFZ5" s="12" t="s">
        <v>16835</v>
      </c>
      <c r="VGA5" s="12" t="s">
        <v>16836</v>
      </c>
      <c r="VGB5" s="12" t="s">
        <v>16837</v>
      </c>
      <c r="VGC5" s="12" t="s">
        <v>16838</v>
      </c>
      <c r="VGD5" s="12" t="s">
        <v>16839</v>
      </c>
      <c r="VGE5" s="12" t="s">
        <v>16840</v>
      </c>
      <c r="VGF5" s="12" t="s">
        <v>16841</v>
      </c>
      <c r="VGG5" s="12" t="s">
        <v>16842</v>
      </c>
      <c r="VGH5" s="12" t="s">
        <v>16843</v>
      </c>
      <c r="VGI5" s="12" t="s">
        <v>16844</v>
      </c>
      <c r="VGJ5" s="12" t="s">
        <v>16845</v>
      </c>
      <c r="VGK5" s="12" t="s">
        <v>16846</v>
      </c>
      <c r="VGL5" s="12" t="s">
        <v>16847</v>
      </c>
      <c r="VGM5" s="12" t="s">
        <v>16848</v>
      </c>
      <c r="VGN5" s="12" t="s">
        <v>16849</v>
      </c>
      <c r="VGO5" s="12" t="s">
        <v>16850</v>
      </c>
      <c r="VGP5" s="12" t="s">
        <v>16851</v>
      </c>
      <c r="VGQ5" s="12" t="s">
        <v>16852</v>
      </c>
      <c r="VGR5" s="12" t="s">
        <v>16853</v>
      </c>
      <c r="VGS5" s="12" t="s">
        <v>16854</v>
      </c>
      <c r="VGT5" s="12" t="s">
        <v>16855</v>
      </c>
      <c r="VGU5" s="12" t="s">
        <v>16856</v>
      </c>
      <c r="VGV5" s="12" t="s">
        <v>16857</v>
      </c>
      <c r="VGW5" s="12" t="s">
        <v>16858</v>
      </c>
      <c r="VGX5" s="12" t="s">
        <v>16859</v>
      </c>
      <c r="VGY5" s="12" t="s">
        <v>16860</v>
      </c>
      <c r="VGZ5" s="12" t="s">
        <v>16861</v>
      </c>
      <c r="VHA5" s="12" t="s">
        <v>16862</v>
      </c>
      <c r="VHB5" s="12" t="s">
        <v>16863</v>
      </c>
      <c r="VHC5" s="12" t="s">
        <v>16864</v>
      </c>
      <c r="VHD5" s="12" t="s">
        <v>16865</v>
      </c>
      <c r="VHE5" s="12" t="s">
        <v>16866</v>
      </c>
      <c r="VHF5" s="12" t="s">
        <v>16867</v>
      </c>
      <c r="VHG5" s="12" t="s">
        <v>16868</v>
      </c>
      <c r="VHH5" s="12" t="s">
        <v>16869</v>
      </c>
      <c r="VHI5" s="12" t="s">
        <v>16870</v>
      </c>
      <c r="VHJ5" s="12" t="s">
        <v>16871</v>
      </c>
      <c r="VHK5" s="12" t="s">
        <v>16872</v>
      </c>
      <c r="VHL5" s="12" t="s">
        <v>16873</v>
      </c>
      <c r="VHM5" s="12" t="s">
        <v>16874</v>
      </c>
      <c r="VHN5" s="12" t="s">
        <v>16875</v>
      </c>
      <c r="VHO5" s="12" t="s">
        <v>16876</v>
      </c>
      <c r="VHP5" s="12" t="s">
        <v>16877</v>
      </c>
      <c r="VHQ5" s="12" t="s">
        <v>16878</v>
      </c>
      <c r="VHR5" s="12" t="s">
        <v>16879</v>
      </c>
      <c r="VHS5" s="12" t="s">
        <v>16880</v>
      </c>
      <c r="VHT5" s="12" t="s">
        <v>16881</v>
      </c>
      <c r="VHU5" s="12" t="s">
        <v>16882</v>
      </c>
      <c r="VHV5" s="12" t="s">
        <v>16883</v>
      </c>
      <c r="VHW5" s="12" t="s">
        <v>16884</v>
      </c>
      <c r="VHX5" s="12" t="s">
        <v>16885</v>
      </c>
      <c r="VHY5" s="12" t="s">
        <v>16886</v>
      </c>
      <c r="VHZ5" s="12" t="s">
        <v>16887</v>
      </c>
      <c r="VIA5" s="12" t="s">
        <v>16888</v>
      </c>
      <c r="VIB5" s="12" t="s">
        <v>16889</v>
      </c>
      <c r="VIC5" s="12" t="s">
        <v>16890</v>
      </c>
      <c r="VID5" s="12" t="s">
        <v>16891</v>
      </c>
      <c r="VIE5" s="12" t="s">
        <v>16892</v>
      </c>
      <c r="VIF5" s="12" t="s">
        <v>16893</v>
      </c>
      <c r="VIG5" s="12" t="s">
        <v>16894</v>
      </c>
      <c r="VIH5" s="12" t="s">
        <v>16895</v>
      </c>
      <c r="VII5" s="12" t="s">
        <v>16896</v>
      </c>
      <c r="VIJ5" s="12" t="s">
        <v>16897</v>
      </c>
      <c r="VIK5" s="12" t="s">
        <v>16898</v>
      </c>
      <c r="VIL5" s="12" t="s">
        <v>16899</v>
      </c>
      <c r="VIM5" s="12" t="s">
        <v>16900</v>
      </c>
      <c r="VIN5" s="12" t="s">
        <v>16901</v>
      </c>
      <c r="VIO5" s="12" t="s">
        <v>16902</v>
      </c>
      <c r="VIP5" s="12" t="s">
        <v>16903</v>
      </c>
      <c r="VIQ5" s="12" t="s">
        <v>16904</v>
      </c>
      <c r="VIR5" s="12" t="s">
        <v>16905</v>
      </c>
      <c r="VIS5" s="12" t="s">
        <v>16906</v>
      </c>
      <c r="VIT5" s="12" t="s">
        <v>16907</v>
      </c>
      <c r="VIU5" s="12" t="s">
        <v>16908</v>
      </c>
      <c r="VIV5" s="12" t="s">
        <v>16909</v>
      </c>
      <c r="VIW5" s="12" t="s">
        <v>16910</v>
      </c>
      <c r="VIX5" s="12" t="s">
        <v>16911</v>
      </c>
      <c r="VIY5" s="12" t="s">
        <v>16912</v>
      </c>
      <c r="VIZ5" s="12" t="s">
        <v>16913</v>
      </c>
      <c r="VJA5" s="12" t="s">
        <v>16914</v>
      </c>
      <c r="VJB5" s="12" t="s">
        <v>16915</v>
      </c>
      <c r="VJC5" s="12" t="s">
        <v>16916</v>
      </c>
      <c r="VJD5" s="12" t="s">
        <v>16917</v>
      </c>
      <c r="VJE5" s="12" t="s">
        <v>16918</v>
      </c>
      <c r="VJF5" s="12" t="s">
        <v>16919</v>
      </c>
      <c r="VJG5" s="12" t="s">
        <v>16920</v>
      </c>
      <c r="VJH5" s="12" t="s">
        <v>16921</v>
      </c>
      <c r="VJI5" s="12" t="s">
        <v>16922</v>
      </c>
      <c r="VJJ5" s="12" t="s">
        <v>16923</v>
      </c>
      <c r="VJK5" s="12" t="s">
        <v>16924</v>
      </c>
      <c r="VJL5" s="12" t="s">
        <v>16925</v>
      </c>
      <c r="VJM5" s="12" t="s">
        <v>16926</v>
      </c>
      <c r="VJN5" s="12" t="s">
        <v>16927</v>
      </c>
      <c r="VJO5" s="12" t="s">
        <v>16928</v>
      </c>
      <c r="VJP5" s="12" t="s">
        <v>16929</v>
      </c>
      <c r="VJQ5" s="12" t="s">
        <v>16930</v>
      </c>
      <c r="VJR5" s="12" t="s">
        <v>16931</v>
      </c>
      <c r="VJS5" s="12" t="s">
        <v>16932</v>
      </c>
      <c r="VJT5" s="12" t="s">
        <v>16933</v>
      </c>
      <c r="VJU5" s="12" t="s">
        <v>16934</v>
      </c>
      <c r="VJV5" s="12" t="s">
        <v>16935</v>
      </c>
      <c r="VJW5" s="12" t="s">
        <v>16936</v>
      </c>
      <c r="VJX5" s="12" t="s">
        <v>16937</v>
      </c>
      <c r="VJY5" s="12" t="s">
        <v>16938</v>
      </c>
      <c r="VJZ5" s="12" t="s">
        <v>16939</v>
      </c>
      <c r="VKA5" s="12" t="s">
        <v>16940</v>
      </c>
      <c r="VKB5" s="12" t="s">
        <v>16941</v>
      </c>
      <c r="VKC5" s="12" t="s">
        <v>16942</v>
      </c>
      <c r="VKD5" s="12" t="s">
        <v>16943</v>
      </c>
      <c r="VKE5" s="12" t="s">
        <v>16944</v>
      </c>
      <c r="VKF5" s="12" t="s">
        <v>16945</v>
      </c>
      <c r="VKG5" s="12" t="s">
        <v>16946</v>
      </c>
      <c r="VKH5" s="12" t="s">
        <v>16947</v>
      </c>
      <c r="VKI5" s="12" t="s">
        <v>16948</v>
      </c>
      <c r="VKJ5" s="12" t="s">
        <v>16949</v>
      </c>
      <c r="VKK5" s="12" t="s">
        <v>16950</v>
      </c>
      <c r="VKL5" s="12" t="s">
        <v>16951</v>
      </c>
      <c r="VKM5" s="12" t="s">
        <v>16952</v>
      </c>
      <c r="VKN5" s="12" t="s">
        <v>16953</v>
      </c>
      <c r="VKO5" s="12" t="s">
        <v>16954</v>
      </c>
      <c r="VKP5" s="12" t="s">
        <v>16955</v>
      </c>
      <c r="VKQ5" s="12" t="s">
        <v>16956</v>
      </c>
      <c r="VKR5" s="12" t="s">
        <v>16957</v>
      </c>
      <c r="VKS5" s="12" t="s">
        <v>16958</v>
      </c>
      <c r="VKT5" s="12" t="s">
        <v>16959</v>
      </c>
      <c r="VKU5" s="12" t="s">
        <v>16960</v>
      </c>
      <c r="VKV5" s="12" t="s">
        <v>16961</v>
      </c>
      <c r="VKW5" s="12" t="s">
        <v>16962</v>
      </c>
      <c r="VKX5" s="12" t="s">
        <v>16963</v>
      </c>
      <c r="VKY5" s="12" t="s">
        <v>16964</v>
      </c>
      <c r="VKZ5" s="12" t="s">
        <v>16965</v>
      </c>
      <c r="VLA5" s="12" t="s">
        <v>16966</v>
      </c>
      <c r="VLB5" s="12" t="s">
        <v>16967</v>
      </c>
      <c r="VLC5" s="12" t="s">
        <v>16968</v>
      </c>
      <c r="VLD5" s="12" t="s">
        <v>16969</v>
      </c>
      <c r="VLE5" s="12" t="s">
        <v>16970</v>
      </c>
      <c r="VLF5" s="12" t="s">
        <v>16971</v>
      </c>
      <c r="VLG5" s="12" t="s">
        <v>16972</v>
      </c>
      <c r="VLH5" s="12" t="s">
        <v>16973</v>
      </c>
      <c r="VLI5" s="12" t="s">
        <v>16974</v>
      </c>
      <c r="VLJ5" s="12" t="s">
        <v>16975</v>
      </c>
      <c r="VLK5" s="12" t="s">
        <v>16976</v>
      </c>
      <c r="VLL5" s="12" t="s">
        <v>16977</v>
      </c>
      <c r="VLM5" s="12" t="s">
        <v>16978</v>
      </c>
      <c r="VLN5" s="12" t="s">
        <v>16979</v>
      </c>
      <c r="VLO5" s="12" t="s">
        <v>16980</v>
      </c>
      <c r="VLP5" s="12" t="s">
        <v>16981</v>
      </c>
      <c r="VLQ5" s="12" t="s">
        <v>16982</v>
      </c>
      <c r="VLR5" s="12" t="s">
        <v>16983</v>
      </c>
      <c r="VLS5" s="12" t="s">
        <v>16984</v>
      </c>
      <c r="VLT5" s="12" t="s">
        <v>16985</v>
      </c>
      <c r="VLU5" s="12" t="s">
        <v>16986</v>
      </c>
      <c r="VLV5" s="12" t="s">
        <v>16987</v>
      </c>
      <c r="VLW5" s="12" t="s">
        <v>16988</v>
      </c>
      <c r="VLX5" s="12" t="s">
        <v>16989</v>
      </c>
      <c r="VLY5" s="12" t="s">
        <v>16990</v>
      </c>
      <c r="VLZ5" s="12" t="s">
        <v>16991</v>
      </c>
      <c r="VMA5" s="12" t="s">
        <v>16992</v>
      </c>
      <c r="VMB5" s="12" t="s">
        <v>16993</v>
      </c>
      <c r="VMC5" s="12" t="s">
        <v>16994</v>
      </c>
      <c r="VMD5" s="12" t="s">
        <v>16995</v>
      </c>
      <c r="VME5" s="12" t="s">
        <v>16996</v>
      </c>
      <c r="VMF5" s="12" t="s">
        <v>16997</v>
      </c>
      <c r="VMG5" s="12" t="s">
        <v>16998</v>
      </c>
      <c r="VMH5" s="12" t="s">
        <v>16999</v>
      </c>
      <c r="VMI5" s="12" t="s">
        <v>17000</v>
      </c>
      <c r="VMJ5" s="12" t="s">
        <v>17001</v>
      </c>
      <c r="VMK5" s="12" t="s">
        <v>17002</v>
      </c>
      <c r="VML5" s="12" t="s">
        <v>17003</v>
      </c>
      <c r="VMM5" s="12" t="s">
        <v>17004</v>
      </c>
      <c r="VMN5" s="12" t="s">
        <v>17005</v>
      </c>
      <c r="VMO5" s="12" t="s">
        <v>17006</v>
      </c>
      <c r="VMP5" s="12" t="s">
        <v>17007</v>
      </c>
      <c r="VMQ5" s="12" t="s">
        <v>17008</v>
      </c>
      <c r="VMR5" s="12" t="s">
        <v>17009</v>
      </c>
      <c r="VMS5" s="12" t="s">
        <v>17010</v>
      </c>
      <c r="VMT5" s="12" t="s">
        <v>17011</v>
      </c>
      <c r="VMU5" s="12" t="s">
        <v>17012</v>
      </c>
      <c r="VMV5" s="12" t="s">
        <v>17013</v>
      </c>
      <c r="VMW5" s="12" t="s">
        <v>17014</v>
      </c>
      <c r="VMX5" s="12" t="s">
        <v>17015</v>
      </c>
      <c r="VMY5" s="12" t="s">
        <v>17016</v>
      </c>
      <c r="VMZ5" s="12" t="s">
        <v>17017</v>
      </c>
      <c r="VNA5" s="12" t="s">
        <v>17018</v>
      </c>
      <c r="VNB5" s="12" t="s">
        <v>17019</v>
      </c>
      <c r="VNC5" s="12" t="s">
        <v>17020</v>
      </c>
      <c r="VND5" s="12" t="s">
        <v>17021</v>
      </c>
      <c r="VNE5" s="12" t="s">
        <v>17022</v>
      </c>
      <c r="VNF5" s="12" t="s">
        <v>17023</v>
      </c>
      <c r="VNG5" s="12" t="s">
        <v>17024</v>
      </c>
      <c r="VNH5" s="12" t="s">
        <v>17025</v>
      </c>
      <c r="VNI5" s="12" t="s">
        <v>17026</v>
      </c>
      <c r="VNJ5" s="12" t="s">
        <v>17027</v>
      </c>
      <c r="VNK5" s="12" t="s">
        <v>17028</v>
      </c>
      <c r="VNL5" s="12" t="s">
        <v>17029</v>
      </c>
      <c r="VNM5" s="12" t="s">
        <v>17030</v>
      </c>
      <c r="VNN5" s="12" t="s">
        <v>17031</v>
      </c>
      <c r="VNO5" s="12" t="s">
        <v>17032</v>
      </c>
      <c r="VNP5" s="12" t="s">
        <v>17033</v>
      </c>
      <c r="VNQ5" s="12" t="s">
        <v>17034</v>
      </c>
      <c r="VNR5" s="12" t="s">
        <v>17035</v>
      </c>
      <c r="VNS5" s="12" t="s">
        <v>17036</v>
      </c>
      <c r="VNT5" s="12" t="s">
        <v>17037</v>
      </c>
      <c r="VNU5" s="12" t="s">
        <v>17038</v>
      </c>
      <c r="VNV5" s="12" t="s">
        <v>17039</v>
      </c>
      <c r="VNW5" s="12" t="s">
        <v>17040</v>
      </c>
      <c r="VNX5" s="12" t="s">
        <v>17041</v>
      </c>
      <c r="VNY5" s="12" t="s">
        <v>17042</v>
      </c>
      <c r="VNZ5" s="12" t="s">
        <v>17043</v>
      </c>
      <c r="VOA5" s="12" t="s">
        <v>17044</v>
      </c>
      <c r="VOB5" s="12" t="s">
        <v>17045</v>
      </c>
      <c r="VOC5" s="12" t="s">
        <v>17046</v>
      </c>
      <c r="VOD5" s="12" t="s">
        <v>17047</v>
      </c>
      <c r="VOE5" s="12" t="s">
        <v>17048</v>
      </c>
      <c r="VOF5" s="12" t="s">
        <v>17049</v>
      </c>
      <c r="VOG5" s="12" t="s">
        <v>17050</v>
      </c>
      <c r="VOH5" s="12" t="s">
        <v>17051</v>
      </c>
      <c r="VOI5" s="12" t="s">
        <v>17052</v>
      </c>
      <c r="VOJ5" s="12" t="s">
        <v>17053</v>
      </c>
      <c r="VOK5" s="12" t="s">
        <v>17054</v>
      </c>
      <c r="VOL5" s="12" t="s">
        <v>17055</v>
      </c>
      <c r="VOM5" s="12" t="s">
        <v>17056</v>
      </c>
      <c r="VON5" s="12" t="s">
        <v>17057</v>
      </c>
      <c r="VOO5" s="12" t="s">
        <v>17058</v>
      </c>
      <c r="VOP5" s="12" t="s">
        <v>17059</v>
      </c>
      <c r="VOQ5" s="12" t="s">
        <v>17060</v>
      </c>
      <c r="VOR5" s="12" t="s">
        <v>17061</v>
      </c>
      <c r="VOS5" s="12" t="s">
        <v>17062</v>
      </c>
      <c r="VOT5" s="12" t="s">
        <v>17063</v>
      </c>
      <c r="VOU5" s="12" t="s">
        <v>17064</v>
      </c>
      <c r="VOV5" s="12" t="s">
        <v>17065</v>
      </c>
      <c r="VOW5" s="12" t="s">
        <v>17066</v>
      </c>
      <c r="VOX5" s="12" t="s">
        <v>17067</v>
      </c>
      <c r="VOY5" s="12" t="s">
        <v>17068</v>
      </c>
      <c r="VOZ5" s="12" t="s">
        <v>17069</v>
      </c>
      <c r="VPA5" s="12" t="s">
        <v>17070</v>
      </c>
      <c r="VPB5" s="12" t="s">
        <v>17071</v>
      </c>
      <c r="VPC5" s="12" t="s">
        <v>17072</v>
      </c>
      <c r="VPD5" s="12" t="s">
        <v>17073</v>
      </c>
      <c r="VPE5" s="12" t="s">
        <v>17074</v>
      </c>
      <c r="VPF5" s="12" t="s">
        <v>17075</v>
      </c>
      <c r="VPG5" s="12" t="s">
        <v>17076</v>
      </c>
      <c r="VPH5" s="12" t="s">
        <v>17077</v>
      </c>
      <c r="VPI5" s="12" t="s">
        <v>17078</v>
      </c>
      <c r="VPJ5" s="12" t="s">
        <v>17079</v>
      </c>
      <c r="VPK5" s="12" t="s">
        <v>17080</v>
      </c>
      <c r="VPL5" s="12" t="s">
        <v>17081</v>
      </c>
      <c r="VPM5" s="12" t="s">
        <v>17082</v>
      </c>
      <c r="VPN5" s="12" t="s">
        <v>17083</v>
      </c>
      <c r="VPO5" s="12" t="s">
        <v>17084</v>
      </c>
      <c r="VPP5" s="12" t="s">
        <v>17085</v>
      </c>
      <c r="VPQ5" s="12" t="s">
        <v>17086</v>
      </c>
      <c r="VPR5" s="12" t="s">
        <v>17087</v>
      </c>
      <c r="VPS5" s="12" t="s">
        <v>17088</v>
      </c>
      <c r="VPT5" s="12" t="s">
        <v>17089</v>
      </c>
      <c r="VPU5" s="12" t="s">
        <v>17090</v>
      </c>
      <c r="VPV5" s="12" t="s">
        <v>17091</v>
      </c>
      <c r="VPW5" s="12" t="s">
        <v>17092</v>
      </c>
      <c r="VPX5" s="12" t="s">
        <v>17093</v>
      </c>
      <c r="VPY5" s="12" t="s">
        <v>17094</v>
      </c>
      <c r="VPZ5" s="12" t="s">
        <v>17095</v>
      </c>
      <c r="VQA5" s="12" t="s">
        <v>17096</v>
      </c>
      <c r="VQB5" s="12" t="s">
        <v>17097</v>
      </c>
      <c r="VQC5" s="12" t="s">
        <v>17098</v>
      </c>
      <c r="VQD5" s="12" t="s">
        <v>17099</v>
      </c>
      <c r="VQE5" s="12" t="s">
        <v>17100</v>
      </c>
      <c r="VQF5" s="12" t="s">
        <v>17101</v>
      </c>
      <c r="VQG5" s="12" t="s">
        <v>17102</v>
      </c>
      <c r="VQH5" s="12" t="s">
        <v>17103</v>
      </c>
      <c r="VQI5" s="12" t="s">
        <v>17104</v>
      </c>
      <c r="VQJ5" s="12" t="s">
        <v>17105</v>
      </c>
      <c r="VQK5" s="12" t="s">
        <v>17106</v>
      </c>
      <c r="VQL5" s="12" t="s">
        <v>17107</v>
      </c>
      <c r="VQM5" s="12" t="s">
        <v>17108</v>
      </c>
      <c r="VQN5" s="12" t="s">
        <v>17109</v>
      </c>
      <c r="VQO5" s="12" t="s">
        <v>17110</v>
      </c>
      <c r="VQP5" s="12" t="s">
        <v>17111</v>
      </c>
      <c r="VQQ5" s="12" t="s">
        <v>17112</v>
      </c>
      <c r="VQR5" s="12" t="s">
        <v>17113</v>
      </c>
      <c r="VQS5" s="12" t="s">
        <v>17114</v>
      </c>
      <c r="VQT5" s="12" t="s">
        <v>17115</v>
      </c>
      <c r="VQU5" s="12" t="s">
        <v>17116</v>
      </c>
      <c r="VQV5" s="12" t="s">
        <v>17117</v>
      </c>
      <c r="VQW5" s="12" t="s">
        <v>17118</v>
      </c>
      <c r="VQX5" s="12" t="s">
        <v>17119</v>
      </c>
      <c r="VQY5" s="12" t="s">
        <v>17120</v>
      </c>
      <c r="VQZ5" s="12" t="s">
        <v>17121</v>
      </c>
      <c r="VRA5" s="12" t="s">
        <v>17122</v>
      </c>
      <c r="VRB5" s="12" t="s">
        <v>17123</v>
      </c>
      <c r="VRC5" s="12" t="s">
        <v>17124</v>
      </c>
      <c r="VRD5" s="12" t="s">
        <v>17125</v>
      </c>
      <c r="VRE5" s="12" t="s">
        <v>17126</v>
      </c>
      <c r="VRF5" s="12" t="s">
        <v>17127</v>
      </c>
      <c r="VRG5" s="12" t="s">
        <v>17128</v>
      </c>
      <c r="VRH5" s="12" t="s">
        <v>17129</v>
      </c>
      <c r="VRI5" s="12" t="s">
        <v>17130</v>
      </c>
      <c r="VRJ5" s="12" t="s">
        <v>17131</v>
      </c>
      <c r="VRK5" s="12" t="s">
        <v>17132</v>
      </c>
      <c r="VRL5" s="12" t="s">
        <v>17133</v>
      </c>
      <c r="VRM5" s="12" t="s">
        <v>17134</v>
      </c>
      <c r="VRN5" s="12" t="s">
        <v>17135</v>
      </c>
      <c r="VRO5" s="12" t="s">
        <v>17136</v>
      </c>
      <c r="VRP5" s="12" t="s">
        <v>17137</v>
      </c>
      <c r="VRQ5" s="12" t="s">
        <v>17138</v>
      </c>
      <c r="VRR5" s="12" t="s">
        <v>17139</v>
      </c>
      <c r="VRS5" s="12" t="s">
        <v>17140</v>
      </c>
      <c r="VRT5" s="12" t="s">
        <v>17141</v>
      </c>
      <c r="VRU5" s="12" t="s">
        <v>17142</v>
      </c>
      <c r="VRV5" s="12" t="s">
        <v>17143</v>
      </c>
      <c r="VRW5" s="12" t="s">
        <v>17144</v>
      </c>
      <c r="VRX5" s="12" t="s">
        <v>17145</v>
      </c>
      <c r="VRY5" s="12" t="s">
        <v>17146</v>
      </c>
      <c r="VRZ5" s="12" t="s">
        <v>17147</v>
      </c>
      <c r="VSA5" s="12" t="s">
        <v>17148</v>
      </c>
      <c r="VSB5" s="12" t="s">
        <v>17149</v>
      </c>
      <c r="VSC5" s="12" t="s">
        <v>17150</v>
      </c>
      <c r="VSD5" s="12" t="s">
        <v>17151</v>
      </c>
      <c r="VSE5" s="12" t="s">
        <v>17152</v>
      </c>
      <c r="VSF5" s="12" t="s">
        <v>17153</v>
      </c>
      <c r="VSG5" s="12" t="s">
        <v>17154</v>
      </c>
      <c r="VSH5" s="12" t="s">
        <v>17155</v>
      </c>
      <c r="VSI5" s="12" t="s">
        <v>17156</v>
      </c>
      <c r="VSJ5" s="12" t="s">
        <v>17157</v>
      </c>
      <c r="VSK5" s="12" t="s">
        <v>17158</v>
      </c>
      <c r="VSL5" s="12" t="s">
        <v>17159</v>
      </c>
      <c r="VSM5" s="12" t="s">
        <v>17160</v>
      </c>
      <c r="VSN5" s="12" t="s">
        <v>17161</v>
      </c>
      <c r="VSO5" s="12" t="s">
        <v>17162</v>
      </c>
      <c r="VSP5" s="12" t="s">
        <v>17163</v>
      </c>
      <c r="VSQ5" s="12" t="s">
        <v>17164</v>
      </c>
      <c r="VSR5" s="12" t="s">
        <v>17165</v>
      </c>
      <c r="VSS5" s="12" t="s">
        <v>17166</v>
      </c>
      <c r="VST5" s="12" t="s">
        <v>17167</v>
      </c>
      <c r="VSU5" s="12" t="s">
        <v>17168</v>
      </c>
      <c r="VSV5" s="12" t="s">
        <v>17169</v>
      </c>
      <c r="VSW5" s="12" t="s">
        <v>17170</v>
      </c>
      <c r="VSX5" s="12" t="s">
        <v>17171</v>
      </c>
      <c r="VSY5" s="12" t="s">
        <v>17172</v>
      </c>
      <c r="VSZ5" s="12" t="s">
        <v>17173</v>
      </c>
      <c r="VTA5" s="12" t="s">
        <v>17174</v>
      </c>
      <c r="VTB5" s="12" t="s">
        <v>17175</v>
      </c>
      <c r="VTC5" s="12" t="s">
        <v>17176</v>
      </c>
      <c r="VTD5" s="12" t="s">
        <v>17177</v>
      </c>
      <c r="VTE5" s="12" t="s">
        <v>17178</v>
      </c>
      <c r="VTF5" s="12" t="s">
        <v>17179</v>
      </c>
      <c r="VTG5" s="12" t="s">
        <v>17180</v>
      </c>
      <c r="VTH5" s="12" t="s">
        <v>17181</v>
      </c>
      <c r="VTI5" s="12" t="s">
        <v>17182</v>
      </c>
      <c r="VTJ5" s="12" t="s">
        <v>17183</v>
      </c>
      <c r="VTK5" s="12" t="s">
        <v>17184</v>
      </c>
      <c r="VTL5" s="12" t="s">
        <v>17185</v>
      </c>
      <c r="VTM5" s="12" t="s">
        <v>17186</v>
      </c>
      <c r="VTN5" s="12" t="s">
        <v>17187</v>
      </c>
      <c r="VTO5" s="12" t="s">
        <v>17188</v>
      </c>
      <c r="VTP5" s="12" t="s">
        <v>17189</v>
      </c>
      <c r="VTQ5" s="12" t="s">
        <v>17190</v>
      </c>
      <c r="VTR5" s="12" t="s">
        <v>17191</v>
      </c>
      <c r="VTS5" s="12" t="s">
        <v>17192</v>
      </c>
      <c r="VTT5" s="12" t="s">
        <v>17193</v>
      </c>
      <c r="VTU5" s="12" t="s">
        <v>17194</v>
      </c>
      <c r="VTV5" s="12" t="s">
        <v>17195</v>
      </c>
      <c r="VTW5" s="12" t="s">
        <v>17196</v>
      </c>
      <c r="VTX5" s="12" t="s">
        <v>17197</v>
      </c>
      <c r="VTY5" s="12" t="s">
        <v>17198</v>
      </c>
      <c r="VTZ5" s="12" t="s">
        <v>17199</v>
      </c>
      <c r="VUA5" s="12" t="s">
        <v>17200</v>
      </c>
      <c r="VUB5" s="12" t="s">
        <v>17201</v>
      </c>
      <c r="VUC5" s="12" t="s">
        <v>17202</v>
      </c>
      <c r="VUD5" s="12" t="s">
        <v>17203</v>
      </c>
      <c r="VUE5" s="12" t="s">
        <v>17204</v>
      </c>
      <c r="VUF5" s="12" t="s">
        <v>17205</v>
      </c>
      <c r="VUG5" s="12" t="s">
        <v>17206</v>
      </c>
      <c r="VUH5" s="12" t="s">
        <v>17207</v>
      </c>
      <c r="VUI5" s="12" t="s">
        <v>17208</v>
      </c>
      <c r="VUJ5" s="12" t="s">
        <v>17209</v>
      </c>
      <c r="VUK5" s="12" t="s">
        <v>17210</v>
      </c>
      <c r="VUL5" s="12" t="s">
        <v>17211</v>
      </c>
      <c r="VUM5" s="12" t="s">
        <v>17212</v>
      </c>
      <c r="VUN5" s="12" t="s">
        <v>17213</v>
      </c>
      <c r="VUO5" s="12" t="s">
        <v>17214</v>
      </c>
      <c r="VUP5" s="12" t="s">
        <v>17215</v>
      </c>
      <c r="VUQ5" s="12" t="s">
        <v>17216</v>
      </c>
      <c r="VUR5" s="12" t="s">
        <v>17217</v>
      </c>
      <c r="VUS5" s="12" t="s">
        <v>17218</v>
      </c>
      <c r="VUT5" s="12" t="s">
        <v>17219</v>
      </c>
      <c r="VUU5" s="12" t="s">
        <v>17220</v>
      </c>
      <c r="VUV5" s="12" t="s">
        <v>17221</v>
      </c>
      <c r="VUW5" s="12" t="s">
        <v>17222</v>
      </c>
      <c r="VUX5" s="12" t="s">
        <v>17223</v>
      </c>
      <c r="VUY5" s="12" t="s">
        <v>17224</v>
      </c>
      <c r="VUZ5" s="12" t="s">
        <v>17225</v>
      </c>
      <c r="VVA5" s="12" t="s">
        <v>17226</v>
      </c>
      <c r="VVB5" s="12" t="s">
        <v>17227</v>
      </c>
      <c r="VVC5" s="12" t="s">
        <v>17228</v>
      </c>
      <c r="VVD5" s="12" t="s">
        <v>17229</v>
      </c>
      <c r="VVE5" s="12" t="s">
        <v>17230</v>
      </c>
      <c r="VVF5" s="12" t="s">
        <v>17231</v>
      </c>
      <c r="VVG5" s="12" t="s">
        <v>17232</v>
      </c>
      <c r="VVH5" s="12" t="s">
        <v>17233</v>
      </c>
      <c r="VVI5" s="12" t="s">
        <v>17234</v>
      </c>
      <c r="VVJ5" s="12" t="s">
        <v>17235</v>
      </c>
      <c r="VVK5" s="12" t="s">
        <v>17236</v>
      </c>
      <c r="VVL5" s="12" t="s">
        <v>17237</v>
      </c>
      <c r="VVM5" s="12" t="s">
        <v>17238</v>
      </c>
      <c r="VVN5" s="12" t="s">
        <v>17239</v>
      </c>
      <c r="VVO5" s="12" t="s">
        <v>17240</v>
      </c>
      <c r="VVP5" s="12" t="s">
        <v>17241</v>
      </c>
      <c r="VVQ5" s="12" t="s">
        <v>17242</v>
      </c>
      <c r="VVR5" s="12" t="s">
        <v>17243</v>
      </c>
      <c r="VVS5" s="12" t="s">
        <v>17244</v>
      </c>
      <c r="VVT5" s="12" t="s">
        <v>17245</v>
      </c>
      <c r="VVU5" s="12" t="s">
        <v>17246</v>
      </c>
      <c r="VVV5" s="12" t="s">
        <v>17247</v>
      </c>
      <c r="VVW5" s="12" t="s">
        <v>17248</v>
      </c>
      <c r="VVX5" s="12" t="s">
        <v>17249</v>
      </c>
      <c r="VVY5" s="12" t="s">
        <v>17250</v>
      </c>
      <c r="VVZ5" s="12" t="s">
        <v>17251</v>
      </c>
      <c r="VWA5" s="12" t="s">
        <v>17252</v>
      </c>
      <c r="VWB5" s="12" t="s">
        <v>17253</v>
      </c>
      <c r="VWC5" s="12" t="s">
        <v>17254</v>
      </c>
      <c r="VWD5" s="12" t="s">
        <v>17255</v>
      </c>
      <c r="VWE5" s="12" t="s">
        <v>17256</v>
      </c>
      <c r="VWF5" s="12" t="s">
        <v>17257</v>
      </c>
      <c r="VWG5" s="12" t="s">
        <v>17258</v>
      </c>
      <c r="VWH5" s="12" t="s">
        <v>17259</v>
      </c>
      <c r="VWI5" s="12" t="s">
        <v>17260</v>
      </c>
      <c r="VWJ5" s="12" t="s">
        <v>17261</v>
      </c>
      <c r="VWK5" s="12" t="s">
        <v>17262</v>
      </c>
      <c r="VWL5" s="12" t="s">
        <v>17263</v>
      </c>
      <c r="VWM5" s="12" t="s">
        <v>17264</v>
      </c>
      <c r="VWN5" s="12" t="s">
        <v>17265</v>
      </c>
      <c r="VWO5" s="12" t="s">
        <v>17266</v>
      </c>
      <c r="VWP5" s="12" t="s">
        <v>17267</v>
      </c>
      <c r="VWQ5" s="12" t="s">
        <v>17268</v>
      </c>
      <c r="VWR5" s="12" t="s">
        <v>17269</v>
      </c>
      <c r="VWS5" s="12" t="s">
        <v>17270</v>
      </c>
      <c r="VWT5" s="12" t="s">
        <v>17271</v>
      </c>
      <c r="VWU5" s="12" t="s">
        <v>17272</v>
      </c>
      <c r="VWV5" s="12" t="s">
        <v>17273</v>
      </c>
      <c r="VWW5" s="12" t="s">
        <v>17274</v>
      </c>
      <c r="VWX5" s="12" t="s">
        <v>17275</v>
      </c>
      <c r="VWY5" s="12" t="s">
        <v>17276</v>
      </c>
      <c r="VWZ5" s="12" t="s">
        <v>17277</v>
      </c>
      <c r="VXA5" s="12" t="s">
        <v>17278</v>
      </c>
      <c r="VXB5" s="12" t="s">
        <v>17279</v>
      </c>
      <c r="VXC5" s="12" t="s">
        <v>17280</v>
      </c>
      <c r="VXD5" s="12" t="s">
        <v>17281</v>
      </c>
      <c r="VXE5" s="12" t="s">
        <v>17282</v>
      </c>
      <c r="VXF5" s="12" t="s">
        <v>17283</v>
      </c>
      <c r="VXG5" s="12" t="s">
        <v>17284</v>
      </c>
      <c r="VXH5" s="12" t="s">
        <v>17285</v>
      </c>
      <c r="VXI5" s="12" t="s">
        <v>17286</v>
      </c>
      <c r="VXJ5" s="12" t="s">
        <v>17287</v>
      </c>
      <c r="VXK5" s="12" t="s">
        <v>17288</v>
      </c>
      <c r="VXL5" s="12" t="s">
        <v>17289</v>
      </c>
      <c r="VXM5" s="12" t="s">
        <v>17290</v>
      </c>
      <c r="VXN5" s="12" t="s">
        <v>17291</v>
      </c>
      <c r="VXO5" s="12" t="s">
        <v>17292</v>
      </c>
      <c r="VXP5" s="12" t="s">
        <v>17293</v>
      </c>
      <c r="VXQ5" s="12" t="s">
        <v>17294</v>
      </c>
      <c r="VXR5" s="12" t="s">
        <v>17295</v>
      </c>
      <c r="VXS5" s="12" t="s">
        <v>17296</v>
      </c>
      <c r="VXT5" s="12" t="s">
        <v>17297</v>
      </c>
      <c r="VXU5" s="12" t="s">
        <v>17298</v>
      </c>
      <c r="VXV5" s="12" t="s">
        <v>17299</v>
      </c>
      <c r="VXW5" s="12" t="s">
        <v>17300</v>
      </c>
      <c r="VXX5" s="12" t="s">
        <v>17301</v>
      </c>
      <c r="VXY5" s="12" t="s">
        <v>17302</v>
      </c>
      <c r="VXZ5" s="12" t="s">
        <v>17303</v>
      </c>
      <c r="VYA5" s="12" t="s">
        <v>17304</v>
      </c>
      <c r="VYB5" s="12" t="s">
        <v>17305</v>
      </c>
      <c r="VYC5" s="12" t="s">
        <v>17306</v>
      </c>
      <c r="VYD5" s="12" t="s">
        <v>17307</v>
      </c>
      <c r="VYE5" s="12" t="s">
        <v>17308</v>
      </c>
      <c r="VYF5" s="12" t="s">
        <v>17309</v>
      </c>
      <c r="VYG5" s="12" t="s">
        <v>17310</v>
      </c>
      <c r="VYH5" s="12" t="s">
        <v>17311</v>
      </c>
      <c r="VYI5" s="12" t="s">
        <v>17312</v>
      </c>
      <c r="VYJ5" s="12" t="s">
        <v>17313</v>
      </c>
      <c r="VYK5" s="12" t="s">
        <v>17314</v>
      </c>
      <c r="VYL5" s="12" t="s">
        <v>17315</v>
      </c>
      <c r="VYM5" s="12" t="s">
        <v>17316</v>
      </c>
      <c r="VYN5" s="12" t="s">
        <v>17317</v>
      </c>
      <c r="VYO5" s="12" t="s">
        <v>17318</v>
      </c>
      <c r="VYP5" s="12" t="s">
        <v>17319</v>
      </c>
      <c r="VYQ5" s="12" t="s">
        <v>17320</v>
      </c>
      <c r="VYR5" s="12" t="s">
        <v>17321</v>
      </c>
      <c r="VYS5" s="12" t="s">
        <v>17322</v>
      </c>
      <c r="VYT5" s="12" t="s">
        <v>17323</v>
      </c>
      <c r="VYU5" s="12" t="s">
        <v>17324</v>
      </c>
      <c r="VYV5" s="12" t="s">
        <v>17325</v>
      </c>
      <c r="VYW5" s="12" t="s">
        <v>17326</v>
      </c>
      <c r="VYX5" s="12" t="s">
        <v>17327</v>
      </c>
      <c r="VYY5" s="12" t="s">
        <v>17328</v>
      </c>
      <c r="VYZ5" s="12" t="s">
        <v>17329</v>
      </c>
      <c r="VZA5" s="12" t="s">
        <v>17330</v>
      </c>
      <c r="VZB5" s="12" t="s">
        <v>17331</v>
      </c>
      <c r="VZC5" s="12" t="s">
        <v>17332</v>
      </c>
      <c r="VZD5" s="12" t="s">
        <v>17333</v>
      </c>
      <c r="VZE5" s="12" t="s">
        <v>17334</v>
      </c>
      <c r="VZF5" s="12" t="s">
        <v>17335</v>
      </c>
      <c r="VZG5" s="12" t="s">
        <v>17336</v>
      </c>
      <c r="VZH5" s="12" t="s">
        <v>17337</v>
      </c>
      <c r="VZI5" s="12" t="s">
        <v>17338</v>
      </c>
      <c r="VZJ5" s="12" t="s">
        <v>17339</v>
      </c>
      <c r="VZK5" s="12" t="s">
        <v>17340</v>
      </c>
      <c r="VZL5" s="12" t="s">
        <v>17341</v>
      </c>
      <c r="VZM5" s="12" t="s">
        <v>17342</v>
      </c>
      <c r="VZN5" s="12" t="s">
        <v>17343</v>
      </c>
      <c r="VZO5" s="12" t="s">
        <v>17344</v>
      </c>
      <c r="VZP5" s="12" t="s">
        <v>17345</v>
      </c>
      <c r="VZQ5" s="12" t="s">
        <v>17346</v>
      </c>
      <c r="VZR5" s="12" t="s">
        <v>17347</v>
      </c>
      <c r="VZS5" s="12" t="s">
        <v>17348</v>
      </c>
      <c r="VZT5" s="12" t="s">
        <v>17349</v>
      </c>
      <c r="VZU5" s="12" t="s">
        <v>17350</v>
      </c>
      <c r="VZV5" s="12" t="s">
        <v>17351</v>
      </c>
      <c r="VZW5" s="12" t="s">
        <v>17352</v>
      </c>
      <c r="VZX5" s="12" t="s">
        <v>17353</v>
      </c>
      <c r="VZY5" s="12" t="s">
        <v>17354</v>
      </c>
      <c r="VZZ5" s="12" t="s">
        <v>17355</v>
      </c>
      <c r="WAA5" s="12" t="s">
        <v>17356</v>
      </c>
      <c r="WAB5" s="12" t="s">
        <v>17357</v>
      </c>
      <c r="WAC5" s="12" t="s">
        <v>17358</v>
      </c>
      <c r="WAD5" s="12" t="s">
        <v>17359</v>
      </c>
      <c r="WAE5" s="12" t="s">
        <v>17360</v>
      </c>
      <c r="WAF5" s="12" t="s">
        <v>17361</v>
      </c>
      <c r="WAG5" s="12" t="s">
        <v>17362</v>
      </c>
      <c r="WAH5" s="12" t="s">
        <v>17363</v>
      </c>
      <c r="WAI5" s="12" t="s">
        <v>17364</v>
      </c>
      <c r="WAJ5" s="12" t="s">
        <v>17365</v>
      </c>
      <c r="WAK5" s="12" t="s">
        <v>17366</v>
      </c>
      <c r="WAL5" s="12" t="s">
        <v>17367</v>
      </c>
      <c r="WAM5" s="12" t="s">
        <v>17368</v>
      </c>
      <c r="WAN5" s="12" t="s">
        <v>17369</v>
      </c>
      <c r="WAO5" s="12" t="s">
        <v>17370</v>
      </c>
      <c r="WAP5" s="12" t="s">
        <v>17371</v>
      </c>
      <c r="WAQ5" s="12" t="s">
        <v>17372</v>
      </c>
      <c r="WAR5" s="12" t="s">
        <v>17373</v>
      </c>
      <c r="WAS5" s="12" t="s">
        <v>17374</v>
      </c>
      <c r="WAT5" s="12" t="s">
        <v>17375</v>
      </c>
      <c r="WAU5" s="12" t="s">
        <v>17376</v>
      </c>
      <c r="WAV5" s="12" t="s">
        <v>17377</v>
      </c>
      <c r="WAW5" s="12" t="s">
        <v>17378</v>
      </c>
      <c r="WAX5" s="12" t="s">
        <v>17379</v>
      </c>
      <c r="WAY5" s="12" t="s">
        <v>17380</v>
      </c>
      <c r="WAZ5" s="12" t="s">
        <v>17381</v>
      </c>
      <c r="WBA5" s="12" t="s">
        <v>17382</v>
      </c>
      <c r="WBB5" s="12" t="s">
        <v>17383</v>
      </c>
      <c r="WBC5" s="12" t="s">
        <v>17384</v>
      </c>
      <c r="WBD5" s="12" t="s">
        <v>17385</v>
      </c>
      <c r="WBE5" s="12" t="s">
        <v>17386</v>
      </c>
      <c r="WBF5" s="12" t="s">
        <v>17387</v>
      </c>
      <c r="WBG5" s="12" t="s">
        <v>17388</v>
      </c>
      <c r="WBH5" s="12" t="s">
        <v>17389</v>
      </c>
      <c r="WBI5" s="12" t="s">
        <v>17390</v>
      </c>
      <c r="WBJ5" s="12" t="s">
        <v>17391</v>
      </c>
      <c r="WBK5" s="12" t="s">
        <v>17392</v>
      </c>
      <c r="WBL5" s="12" t="s">
        <v>17393</v>
      </c>
      <c r="WBM5" s="12" t="s">
        <v>17394</v>
      </c>
      <c r="WBN5" s="12" t="s">
        <v>17395</v>
      </c>
      <c r="WBO5" s="12" t="s">
        <v>17396</v>
      </c>
      <c r="WBP5" s="12" t="s">
        <v>17397</v>
      </c>
      <c r="WBQ5" s="12" t="s">
        <v>17398</v>
      </c>
      <c r="WBR5" s="12" t="s">
        <v>17399</v>
      </c>
      <c r="WBS5" s="12" t="s">
        <v>17400</v>
      </c>
      <c r="WBT5" s="12" t="s">
        <v>17401</v>
      </c>
      <c r="WBU5" s="12" t="s">
        <v>17402</v>
      </c>
      <c r="WBV5" s="12" t="s">
        <v>17403</v>
      </c>
      <c r="WBW5" s="12" t="s">
        <v>17404</v>
      </c>
      <c r="WBX5" s="12" t="s">
        <v>17405</v>
      </c>
      <c r="WBY5" s="12" t="s">
        <v>17406</v>
      </c>
      <c r="WBZ5" s="12" t="s">
        <v>17407</v>
      </c>
      <c r="WCA5" s="12" t="s">
        <v>17408</v>
      </c>
      <c r="WCB5" s="12" t="s">
        <v>17409</v>
      </c>
      <c r="WCC5" s="12" t="s">
        <v>17410</v>
      </c>
      <c r="WCD5" s="12" t="s">
        <v>17411</v>
      </c>
      <c r="WCE5" s="12" t="s">
        <v>17412</v>
      </c>
      <c r="WCF5" s="12" t="s">
        <v>17413</v>
      </c>
      <c r="WCG5" s="12" t="s">
        <v>17414</v>
      </c>
      <c r="WCH5" s="12" t="s">
        <v>17415</v>
      </c>
      <c r="WCI5" s="12" t="s">
        <v>17416</v>
      </c>
      <c r="WCJ5" s="12" t="s">
        <v>17417</v>
      </c>
      <c r="WCK5" s="12" t="s">
        <v>17418</v>
      </c>
      <c r="WCL5" s="12" t="s">
        <v>17419</v>
      </c>
      <c r="WCM5" s="12" t="s">
        <v>17420</v>
      </c>
      <c r="WCN5" s="12" t="s">
        <v>17421</v>
      </c>
      <c r="WCO5" s="12" t="s">
        <v>17422</v>
      </c>
      <c r="WCP5" s="12" t="s">
        <v>17423</v>
      </c>
      <c r="WCQ5" s="12" t="s">
        <v>17424</v>
      </c>
      <c r="WCR5" s="12" t="s">
        <v>17425</v>
      </c>
      <c r="WCS5" s="12" t="s">
        <v>17426</v>
      </c>
      <c r="WCT5" s="12" t="s">
        <v>17427</v>
      </c>
      <c r="WCU5" s="12" t="s">
        <v>17428</v>
      </c>
      <c r="WCV5" s="12" t="s">
        <v>17429</v>
      </c>
      <c r="WCW5" s="12" t="s">
        <v>17430</v>
      </c>
      <c r="WCX5" s="12" t="s">
        <v>17431</v>
      </c>
      <c r="WCY5" s="12" t="s">
        <v>17432</v>
      </c>
      <c r="WCZ5" s="12" t="s">
        <v>17433</v>
      </c>
      <c r="WDA5" s="12" t="s">
        <v>17434</v>
      </c>
      <c r="WDB5" s="12" t="s">
        <v>17435</v>
      </c>
      <c r="WDC5" s="12" t="s">
        <v>17436</v>
      </c>
      <c r="WDD5" s="12" t="s">
        <v>17437</v>
      </c>
      <c r="WDE5" s="12" t="s">
        <v>17438</v>
      </c>
      <c r="WDF5" s="12" t="s">
        <v>17439</v>
      </c>
      <c r="WDG5" s="12" t="s">
        <v>17440</v>
      </c>
      <c r="WDH5" s="12" t="s">
        <v>17441</v>
      </c>
      <c r="WDI5" s="12" t="s">
        <v>17442</v>
      </c>
      <c r="WDJ5" s="12" t="s">
        <v>17443</v>
      </c>
      <c r="WDK5" s="12" t="s">
        <v>17444</v>
      </c>
      <c r="WDL5" s="12" t="s">
        <v>17445</v>
      </c>
      <c r="WDM5" s="12" t="s">
        <v>17446</v>
      </c>
      <c r="WDN5" s="12" t="s">
        <v>17447</v>
      </c>
      <c r="WDO5" s="12" t="s">
        <v>17448</v>
      </c>
      <c r="WDP5" s="12" t="s">
        <v>17449</v>
      </c>
      <c r="WDQ5" s="12" t="s">
        <v>17450</v>
      </c>
      <c r="WDR5" s="12" t="s">
        <v>17451</v>
      </c>
      <c r="WDS5" s="12" t="s">
        <v>17452</v>
      </c>
      <c r="WDT5" s="12" t="s">
        <v>17453</v>
      </c>
      <c r="WDU5" s="12" t="s">
        <v>17454</v>
      </c>
      <c r="WDV5" s="12" t="s">
        <v>17455</v>
      </c>
      <c r="WDW5" s="12" t="s">
        <v>17456</v>
      </c>
      <c r="WDX5" s="12" t="s">
        <v>17457</v>
      </c>
      <c r="WDY5" s="12" t="s">
        <v>17458</v>
      </c>
      <c r="WDZ5" s="12" t="s">
        <v>17459</v>
      </c>
      <c r="WEA5" s="12" t="s">
        <v>17460</v>
      </c>
      <c r="WEB5" s="12" t="s">
        <v>17461</v>
      </c>
      <c r="WEC5" s="12" t="s">
        <v>17462</v>
      </c>
      <c r="WED5" s="12" t="s">
        <v>17463</v>
      </c>
      <c r="WEE5" s="12" t="s">
        <v>17464</v>
      </c>
      <c r="WEF5" s="12" t="s">
        <v>17465</v>
      </c>
      <c r="WEG5" s="12" t="s">
        <v>17466</v>
      </c>
      <c r="WEH5" s="12" t="s">
        <v>17467</v>
      </c>
      <c r="WEI5" s="12" t="s">
        <v>17468</v>
      </c>
      <c r="WEJ5" s="12" t="s">
        <v>17469</v>
      </c>
      <c r="WEK5" s="12" t="s">
        <v>17470</v>
      </c>
      <c r="WEL5" s="12" t="s">
        <v>17471</v>
      </c>
      <c r="WEM5" s="12" t="s">
        <v>17472</v>
      </c>
      <c r="WEN5" s="12" t="s">
        <v>17473</v>
      </c>
      <c r="WEO5" s="12" t="s">
        <v>17474</v>
      </c>
      <c r="WEP5" s="12" t="s">
        <v>17475</v>
      </c>
      <c r="WEQ5" s="12" t="s">
        <v>17476</v>
      </c>
      <c r="WER5" s="12" t="s">
        <v>17477</v>
      </c>
      <c r="WES5" s="12" t="s">
        <v>17478</v>
      </c>
      <c r="WET5" s="12" t="s">
        <v>17479</v>
      </c>
      <c r="WEU5" s="12" t="s">
        <v>17480</v>
      </c>
      <c r="WEV5" s="12" t="s">
        <v>17481</v>
      </c>
      <c r="WEW5" s="12" t="s">
        <v>17482</v>
      </c>
      <c r="WEX5" s="12" t="s">
        <v>17483</v>
      </c>
      <c r="WEY5" s="12" t="s">
        <v>17484</v>
      </c>
      <c r="WEZ5" s="12" t="s">
        <v>17485</v>
      </c>
      <c r="WFA5" s="12" t="s">
        <v>17486</v>
      </c>
      <c r="WFB5" s="12" t="s">
        <v>17487</v>
      </c>
      <c r="WFC5" s="12" t="s">
        <v>17488</v>
      </c>
      <c r="WFD5" s="12" t="s">
        <v>17489</v>
      </c>
      <c r="WFE5" s="12" t="s">
        <v>17490</v>
      </c>
      <c r="WFF5" s="12" t="s">
        <v>17491</v>
      </c>
      <c r="WFG5" s="12" t="s">
        <v>17492</v>
      </c>
      <c r="WFH5" s="12" t="s">
        <v>17493</v>
      </c>
      <c r="WFI5" s="12" t="s">
        <v>17494</v>
      </c>
      <c r="WFJ5" s="12" t="s">
        <v>17495</v>
      </c>
      <c r="WFK5" s="12" t="s">
        <v>17496</v>
      </c>
      <c r="WFL5" s="12" t="s">
        <v>17497</v>
      </c>
      <c r="WFM5" s="12" t="s">
        <v>17498</v>
      </c>
      <c r="WFN5" s="12" t="s">
        <v>17499</v>
      </c>
      <c r="WFO5" s="12" t="s">
        <v>17500</v>
      </c>
      <c r="WFP5" s="12" t="s">
        <v>17501</v>
      </c>
      <c r="WFQ5" s="12" t="s">
        <v>17502</v>
      </c>
      <c r="WFR5" s="12" t="s">
        <v>17503</v>
      </c>
      <c r="WFS5" s="12" t="s">
        <v>17504</v>
      </c>
      <c r="WFT5" s="12" t="s">
        <v>17505</v>
      </c>
      <c r="WFU5" s="12" t="s">
        <v>17506</v>
      </c>
      <c r="WFV5" s="12" t="s">
        <v>17507</v>
      </c>
      <c r="WFW5" s="12" t="s">
        <v>17508</v>
      </c>
      <c r="WFX5" s="12" t="s">
        <v>17509</v>
      </c>
      <c r="WFY5" s="12" t="s">
        <v>17510</v>
      </c>
      <c r="WFZ5" s="12" t="s">
        <v>17511</v>
      </c>
      <c r="WGA5" s="12" t="s">
        <v>17512</v>
      </c>
      <c r="WGB5" s="12" t="s">
        <v>17513</v>
      </c>
      <c r="WGC5" s="12" t="s">
        <v>17514</v>
      </c>
      <c r="WGD5" s="12" t="s">
        <v>17515</v>
      </c>
      <c r="WGE5" s="12" t="s">
        <v>17516</v>
      </c>
      <c r="WGF5" s="12" t="s">
        <v>17517</v>
      </c>
      <c r="WGG5" s="12" t="s">
        <v>17518</v>
      </c>
      <c r="WGH5" s="12" t="s">
        <v>17519</v>
      </c>
      <c r="WGI5" s="12" t="s">
        <v>17520</v>
      </c>
      <c r="WGJ5" s="12" t="s">
        <v>17521</v>
      </c>
      <c r="WGK5" s="12" t="s">
        <v>17522</v>
      </c>
      <c r="WGL5" s="12" t="s">
        <v>17523</v>
      </c>
      <c r="WGM5" s="12" t="s">
        <v>17524</v>
      </c>
      <c r="WGN5" s="12" t="s">
        <v>17525</v>
      </c>
      <c r="WGO5" s="12" t="s">
        <v>17526</v>
      </c>
      <c r="WGP5" s="12" t="s">
        <v>17527</v>
      </c>
      <c r="WGQ5" s="12" t="s">
        <v>17528</v>
      </c>
      <c r="WGR5" s="12" t="s">
        <v>17529</v>
      </c>
      <c r="WGS5" s="12" t="s">
        <v>17530</v>
      </c>
      <c r="WGT5" s="12" t="s">
        <v>17531</v>
      </c>
      <c r="WGU5" s="12" t="s">
        <v>17532</v>
      </c>
      <c r="WGV5" s="12" t="s">
        <v>17533</v>
      </c>
      <c r="WGW5" s="12" t="s">
        <v>17534</v>
      </c>
      <c r="WGX5" s="12" t="s">
        <v>17535</v>
      </c>
      <c r="WGY5" s="12" t="s">
        <v>17536</v>
      </c>
      <c r="WGZ5" s="12" t="s">
        <v>17537</v>
      </c>
      <c r="WHA5" s="12" t="s">
        <v>17538</v>
      </c>
      <c r="WHB5" s="12" t="s">
        <v>17539</v>
      </c>
      <c r="WHC5" s="12" t="s">
        <v>17540</v>
      </c>
      <c r="WHD5" s="12" t="s">
        <v>17541</v>
      </c>
      <c r="WHE5" s="12" t="s">
        <v>17542</v>
      </c>
      <c r="WHF5" s="12" t="s">
        <v>17543</v>
      </c>
      <c r="WHG5" s="12" t="s">
        <v>17544</v>
      </c>
      <c r="WHH5" s="12" t="s">
        <v>17545</v>
      </c>
      <c r="WHI5" s="12" t="s">
        <v>17546</v>
      </c>
      <c r="WHJ5" s="12" t="s">
        <v>17547</v>
      </c>
      <c r="WHK5" s="12" t="s">
        <v>17548</v>
      </c>
      <c r="WHL5" s="12" t="s">
        <v>17549</v>
      </c>
      <c r="WHM5" s="12" t="s">
        <v>17550</v>
      </c>
      <c r="WHN5" s="12" t="s">
        <v>17551</v>
      </c>
      <c r="WHO5" s="12" t="s">
        <v>17552</v>
      </c>
      <c r="WHP5" s="12" t="s">
        <v>17553</v>
      </c>
      <c r="WHQ5" s="12" t="s">
        <v>17554</v>
      </c>
      <c r="WHR5" s="12" t="s">
        <v>17555</v>
      </c>
      <c r="WHS5" s="12" t="s">
        <v>17556</v>
      </c>
      <c r="WHT5" s="12" t="s">
        <v>17557</v>
      </c>
      <c r="WHU5" s="12" t="s">
        <v>17558</v>
      </c>
      <c r="WHV5" s="12" t="s">
        <v>17559</v>
      </c>
      <c r="WHW5" s="12" t="s">
        <v>17560</v>
      </c>
      <c r="WHX5" s="12" t="s">
        <v>17561</v>
      </c>
      <c r="WHY5" s="12" t="s">
        <v>17562</v>
      </c>
      <c r="WHZ5" s="12" t="s">
        <v>17563</v>
      </c>
      <c r="WIA5" s="12" t="s">
        <v>17564</v>
      </c>
      <c r="WIB5" s="12" t="s">
        <v>17565</v>
      </c>
      <c r="WIC5" s="12" t="s">
        <v>17566</v>
      </c>
      <c r="WID5" s="12" t="s">
        <v>17567</v>
      </c>
      <c r="WIE5" s="12" t="s">
        <v>17568</v>
      </c>
      <c r="WIF5" s="12" t="s">
        <v>17569</v>
      </c>
      <c r="WIG5" s="12" t="s">
        <v>17570</v>
      </c>
      <c r="WIH5" s="12" t="s">
        <v>17571</v>
      </c>
      <c r="WII5" s="12" t="s">
        <v>17572</v>
      </c>
      <c r="WIJ5" s="12" t="s">
        <v>17573</v>
      </c>
      <c r="WIK5" s="12" t="s">
        <v>17574</v>
      </c>
      <c r="WIL5" s="12" t="s">
        <v>17575</v>
      </c>
      <c r="WIM5" s="12" t="s">
        <v>17576</v>
      </c>
      <c r="WIN5" s="12" t="s">
        <v>17577</v>
      </c>
      <c r="WIO5" s="12" t="s">
        <v>17578</v>
      </c>
      <c r="WIP5" s="12" t="s">
        <v>17579</v>
      </c>
      <c r="WIQ5" s="12" t="s">
        <v>17580</v>
      </c>
      <c r="WIR5" s="12" t="s">
        <v>17581</v>
      </c>
      <c r="WIS5" s="12" t="s">
        <v>17582</v>
      </c>
      <c r="WIT5" s="12" t="s">
        <v>17583</v>
      </c>
      <c r="WIU5" s="12" t="s">
        <v>17584</v>
      </c>
      <c r="WIV5" s="12" t="s">
        <v>17585</v>
      </c>
      <c r="WIW5" s="12" t="s">
        <v>17586</v>
      </c>
      <c r="WIX5" s="12" t="s">
        <v>17587</v>
      </c>
      <c r="WIY5" s="12" t="s">
        <v>17588</v>
      </c>
      <c r="WIZ5" s="12" t="s">
        <v>17589</v>
      </c>
      <c r="WJA5" s="12" t="s">
        <v>17590</v>
      </c>
      <c r="WJB5" s="12" t="s">
        <v>17591</v>
      </c>
      <c r="WJC5" s="12" t="s">
        <v>17592</v>
      </c>
      <c r="WJD5" s="12" t="s">
        <v>17593</v>
      </c>
      <c r="WJE5" s="12" t="s">
        <v>17594</v>
      </c>
      <c r="WJF5" s="12" t="s">
        <v>17595</v>
      </c>
      <c r="WJG5" s="12" t="s">
        <v>17596</v>
      </c>
      <c r="WJH5" s="12" t="s">
        <v>17597</v>
      </c>
      <c r="WJI5" s="12" t="s">
        <v>17598</v>
      </c>
      <c r="WJJ5" s="12" t="s">
        <v>17599</v>
      </c>
      <c r="WJK5" s="12" t="s">
        <v>17600</v>
      </c>
      <c r="WJL5" s="12" t="s">
        <v>17601</v>
      </c>
      <c r="WJM5" s="12" t="s">
        <v>17602</v>
      </c>
      <c r="WJN5" s="12" t="s">
        <v>17603</v>
      </c>
      <c r="WJO5" s="12" t="s">
        <v>17604</v>
      </c>
      <c r="WJP5" s="12" t="s">
        <v>17605</v>
      </c>
      <c r="WJQ5" s="12" t="s">
        <v>17606</v>
      </c>
      <c r="WJR5" s="12" t="s">
        <v>17607</v>
      </c>
      <c r="WJS5" s="12" t="s">
        <v>17608</v>
      </c>
      <c r="WJT5" s="12" t="s">
        <v>17609</v>
      </c>
      <c r="WJU5" s="12" t="s">
        <v>17610</v>
      </c>
      <c r="WJV5" s="12" t="s">
        <v>17611</v>
      </c>
      <c r="WJW5" s="12" t="s">
        <v>17612</v>
      </c>
      <c r="WJX5" s="12" t="s">
        <v>17613</v>
      </c>
      <c r="WJY5" s="12" t="s">
        <v>17614</v>
      </c>
      <c r="WJZ5" s="12" t="s">
        <v>17615</v>
      </c>
      <c r="WKA5" s="12" t="s">
        <v>17616</v>
      </c>
      <c r="WKB5" s="12" t="s">
        <v>17617</v>
      </c>
      <c r="WKC5" s="12" t="s">
        <v>17618</v>
      </c>
      <c r="WKD5" s="12" t="s">
        <v>17619</v>
      </c>
      <c r="WKE5" s="12" t="s">
        <v>17620</v>
      </c>
      <c r="WKF5" s="12" t="s">
        <v>17621</v>
      </c>
      <c r="WKG5" s="12" t="s">
        <v>17622</v>
      </c>
      <c r="WKH5" s="12" t="s">
        <v>17623</v>
      </c>
      <c r="WKI5" s="12" t="s">
        <v>17624</v>
      </c>
      <c r="WKJ5" s="12" t="s">
        <v>17625</v>
      </c>
      <c r="WKK5" s="12" t="s">
        <v>17626</v>
      </c>
      <c r="WKL5" s="12" t="s">
        <v>17627</v>
      </c>
      <c r="WKM5" s="12" t="s">
        <v>17628</v>
      </c>
      <c r="WKN5" s="12" t="s">
        <v>17629</v>
      </c>
      <c r="WKO5" s="12" t="s">
        <v>17630</v>
      </c>
      <c r="WKP5" s="12" t="s">
        <v>17631</v>
      </c>
      <c r="WKQ5" s="12" t="s">
        <v>17632</v>
      </c>
      <c r="WKR5" s="12" t="s">
        <v>17633</v>
      </c>
      <c r="WKS5" s="12" t="s">
        <v>17634</v>
      </c>
      <c r="WKT5" s="12" t="s">
        <v>17635</v>
      </c>
      <c r="WKU5" s="12" t="s">
        <v>17636</v>
      </c>
      <c r="WKV5" s="12" t="s">
        <v>17637</v>
      </c>
      <c r="WKW5" s="12" t="s">
        <v>17638</v>
      </c>
      <c r="WKX5" s="12" t="s">
        <v>17639</v>
      </c>
      <c r="WKY5" s="12" t="s">
        <v>17640</v>
      </c>
      <c r="WKZ5" s="12" t="s">
        <v>17641</v>
      </c>
      <c r="WLA5" s="12" t="s">
        <v>17642</v>
      </c>
      <c r="WLB5" s="12" t="s">
        <v>17643</v>
      </c>
      <c r="WLC5" s="12" t="s">
        <v>17644</v>
      </c>
      <c r="WLD5" s="12" t="s">
        <v>17645</v>
      </c>
      <c r="WLE5" s="12" t="s">
        <v>17646</v>
      </c>
      <c r="WLF5" s="12" t="s">
        <v>17647</v>
      </c>
      <c r="WLG5" s="12" t="s">
        <v>17648</v>
      </c>
      <c r="WLH5" s="12" t="s">
        <v>17649</v>
      </c>
      <c r="WLI5" s="12" t="s">
        <v>17650</v>
      </c>
      <c r="WLJ5" s="12" t="s">
        <v>17651</v>
      </c>
      <c r="WLK5" s="12" t="s">
        <v>17652</v>
      </c>
      <c r="WLL5" s="12" t="s">
        <v>17653</v>
      </c>
      <c r="WLM5" s="12" t="s">
        <v>17654</v>
      </c>
      <c r="WLN5" s="12" t="s">
        <v>17655</v>
      </c>
      <c r="WLO5" s="12" t="s">
        <v>17656</v>
      </c>
      <c r="WLP5" s="12" t="s">
        <v>17657</v>
      </c>
      <c r="WLQ5" s="12" t="s">
        <v>17658</v>
      </c>
      <c r="WLR5" s="12" t="s">
        <v>17659</v>
      </c>
      <c r="WLS5" s="12" t="s">
        <v>17660</v>
      </c>
      <c r="WLT5" s="12" t="s">
        <v>17661</v>
      </c>
      <c r="WLU5" s="12" t="s">
        <v>17662</v>
      </c>
      <c r="WLV5" s="12" t="s">
        <v>17663</v>
      </c>
      <c r="WLW5" s="12" t="s">
        <v>17664</v>
      </c>
      <c r="WLX5" s="12" t="s">
        <v>17665</v>
      </c>
      <c r="WLY5" s="12" t="s">
        <v>17666</v>
      </c>
      <c r="WLZ5" s="12" t="s">
        <v>17667</v>
      </c>
      <c r="WMA5" s="12" t="s">
        <v>17668</v>
      </c>
      <c r="WMB5" s="12" t="s">
        <v>17669</v>
      </c>
      <c r="WMC5" s="12" t="s">
        <v>17670</v>
      </c>
      <c r="WMD5" s="12" t="s">
        <v>17671</v>
      </c>
      <c r="WME5" s="12" t="s">
        <v>17672</v>
      </c>
      <c r="WMF5" s="12" t="s">
        <v>17673</v>
      </c>
      <c r="WMG5" s="12" t="s">
        <v>17674</v>
      </c>
      <c r="WMH5" s="12" t="s">
        <v>17675</v>
      </c>
      <c r="WMI5" s="12" t="s">
        <v>17676</v>
      </c>
      <c r="WMJ5" s="12" t="s">
        <v>17677</v>
      </c>
      <c r="WMK5" s="12" t="s">
        <v>17678</v>
      </c>
      <c r="WML5" s="12" t="s">
        <v>17679</v>
      </c>
      <c r="WMM5" s="12" t="s">
        <v>17680</v>
      </c>
      <c r="WMN5" s="12" t="s">
        <v>17681</v>
      </c>
      <c r="WMO5" s="12" t="s">
        <v>17682</v>
      </c>
      <c r="WMP5" s="12" t="s">
        <v>17683</v>
      </c>
      <c r="WMQ5" s="12" t="s">
        <v>17684</v>
      </c>
      <c r="WMR5" s="12" t="s">
        <v>17685</v>
      </c>
      <c r="WMS5" s="12" t="s">
        <v>17686</v>
      </c>
      <c r="WMT5" s="12" t="s">
        <v>17687</v>
      </c>
      <c r="WMU5" s="12" t="s">
        <v>17688</v>
      </c>
      <c r="WMV5" s="12" t="s">
        <v>17689</v>
      </c>
      <c r="WMW5" s="12" t="s">
        <v>17690</v>
      </c>
      <c r="WMX5" s="12" t="s">
        <v>17691</v>
      </c>
      <c r="WMY5" s="12" t="s">
        <v>17692</v>
      </c>
      <c r="WMZ5" s="12" t="s">
        <v>17693</v>
      </c>
      <c r="WNA5" s="12" t="s">
        <v>17694</v>
      </c>
      <c r="WNB5" s="12" t="s">
        <v>17695</v>
      </c>
      <c r="WNC5" s="12" t="s">
        <v>17696</v>
      </c>
      <c r="WND5" s="12" t="s">
        <v>17697</v>
      </c>
      <c r="WNE5" s="12" t="s">
        <v>17698</v>
      </c>
      <c r="WNF5" s="12" t="s">
        <v>17699</v>
      </c>
      <c r="WNG5" s="12" t="s">
        <v>17700</v>
      </c>
      <c r="WNH5" s="12" t="s">
        <v>17701</v>
      </c>
      <c r="WNI5" s="12" t="s">
        <v>17702</v>
      </c>
      <c r="WNJ5" s="12" t="s">
        <v>17703</v>
      </c>
      <c r="WNK5" s="12" t="s">
        <v>17704</v>
      </c>
      <c r="WNL5" s="12" t="s">
        <v>17705</v>
      </c>
      <c r="WNM5" s="12" t="s">
        <v>17706</v>
      </c>
      <c r="WNN5" s="12" t="s">
        <v>17707</v>
      </c>
      <c r="WNO5" s="12" t="s">
        <v>17708</v>
      </c>
      <c r="WNP5" s="12" t="s">
        <v>17709</v>
      </c>
      <c r="WNQ5" s="12" t="s">
        <v>17710</v>
      </c>
      <c r="WNR5" s="12" t="s">
        <v>17711</v>
      </c>
      <c r="WNS5" s="12" t="s">
        <v>17712</v>
      </c>
      <c r="WNT5" s="12" t="s">
        <v>17713</v>
      </c>
      <c r="WNU5" s="12" t="s">
        <v>17714</v>
      </c>
      <c r="WNV5" s="12" t="s">
        <v>17715</v>
      </c>
      <c r="WNW5" s="12" t="s">
        <v>17716</v>
      </c>
      <c r="WNX5" s="12" t="s">
        <v>17717</v>
      </c>
      <c r="WNY5" s="12" t="s">
        <v>17718</v>
      </c>
      <c r="WNZ5" s="12" t="s">
        <v>17719</v>
      </c>
      <c r="WOA5" s="12" t="s">
        <v>17720</v>
      </c>
      <c r="WOB5" s="12" t="s">
        <v>17721</v>
      </c>
      <c r="WOC5" s="12" t="s">
        <v>17722</v>
      </c>
      <c r="WOD5" s="12" t="s">
        <v>17723</v>
      </c>
      <c r="WOE5" s="12" t="s">
        <v>17724</v>
      </c>
      <c r="WOF5" s="12" t="s">
        <v>17725</v>
      </c>
      <c r="WOG5" s="12" t="s">
        <v>17726</v>
      </c>
      <c r="WOH5" s="12" t="s">
        <v>17727</v>
      </c>
      <c r="WOI5" s="12" t="s">
        <v>17728</v>
      </c>
      <c r="WOJ5" s="12" t="s">
        <v>17729</v>
      </c>
      <c r="WOK5" s="12" t="s">
        <v>17730</v>
      </c>
      <c r="WOL5" s="12" t="s">
        <v>17731</v>
      </c>
      <c r="WOM5" s="12" t="s">
        <v>17732</v>
      </c>
      <c r="WON5" s="12" t="s">
        <v>17733</v>
      </c>
      <c r="WOO5" s="12" t="s">
        <v>17734</v>
      </c>
      <c r="WOP5" s="12" t="s">
        <v>17735</v>
      </c>
      <c r="WOQ5" s="12" t="s">
        <v>17736</v>
      </c>
      <c r="WOR5" s="12" t="s">
        <v>17737</v>
      </c>
      <c r="WOS5" s="12" t="s">
        <v>17738</v>
      </c>
      <c r="WOT5" s="12" t="s">
        <v>17739</v>
      </c>
      <c r="WOU5" s="12" t="s">
        <v>17740</v>
      </c>
      <c r="WOV5" s="12" t="s">
        <v>17741</v>
      </c>
      <c r="WOW5" s="12" t="s">
        <v>17742</v>
      </c>
      <c r="WOX5" s="12" t="s">
        <v>17743</v>
      </c>
      <c r="WOY5" s="12" t="s">
        <v>17744</v>
      </c>
      <c r="WOZ5" s="12" t="s">
        <v>17745</v>
      </c>
      <c r="WPA5" s="12" t="s">
        <v>17746</v>
      </c>
      <c r="WPB5" s="12" t="s">
        <v>17747</v>
      </c>
      <c r="WPC5" s="12" t="s">
        <v>17748</v>
      </c>
      <c r="WPD5" s="12" t="s">
        <v>17749</v>
      </c>
      <c r="WPE5" s="12" t="s">
        <v>17750</v>
      </c>
      <c r="WPF5" s="12" t="s">
        <v>17751</v>
      </c>
      <c r="WPG5" s="12" t="s">
        <v>17752</v>
      </c>
      <c r="WPH5" s="12" t="s">
        <v>17753</v>
      </c>
      <c r="WPI5" s="12" t="s">
        <v>17754</v>
      </c>
      <c r="WPJ5" s="12" t="s">
        <v>17755</v>
      </c>
      <c r="WPK5" s="12" t="s">
        <v>17756</v>
      </c>
      <c r="WPL5" s="12" t="s">
        <v>17757</v>
      </c>
      <c r="WPM5" s="12" t="s">
        <v>17758</v>
      </c>
      <c r="WPN5" s="12" t="s">
        <v>17759</v>
      </c>
      <c r="WPO5" s="12" t="s">
        <v>17760</v>
      </c>
      <c r="WPP5" s="12" t="s">
        <v>17761</v>
      </c>
      <c r="WPQ5" s="12" t="s">
        <v>17762</v>
      </c>
      <c r="WPR5" s="12" t="s">
        <v>17763</v>
      </c>
      <c r="WPS5" s="12" t="s">
        <v>17764</v>
      </c>
      <c r="WPT5" s="12" t="s">
        <v>17765</v>
      </c>
      <c r="WPU5" s="12" t="s">
        <v>17766</v>
      </c>
      <c r="WPV5" s="12" t="s">
        <v>17767</v>
      </c>
      <c r="WPW5" s="12" t="s">
        <v>17768</v>
      </c>
      <c r="WPX5" s="12" t="s">
        <v>17769</v>
      </c>
      <c r="WPY5" s="12" t="s">
        <v>17770</v>
      </c>
      <c r="WPZ5" s="12" t="s">
        <v>17771</v>
      </c>
      <c r="WQA5" s="12" t="s">
        <v>17772</v>
      </c>
      <c r="WQB5" s="12" t="s">
        <v>17773</v>
      </c>
      <c r="WQC5" s="12" t="s">
        <v>17774</v>
      </c>
      <c r="WQD5" s="12" t="s">
        <v>17775</v>
      </c>
      <c r="WQE5" s="12" t="s">
        <v>17776</v>
      </c>
      <c r="WQF5" s="12" t="s">
        <v>17777</v>
      </c>
      <c r="WQG5" s="12" t="s">
        <v>17778</v>
      </c>
      <c r="WQH5" s="12" t="s">
        <v>17779</v>
      </c>
      <c r="WQI5" s="12" t="s">
        <v>17780</v>
      </c>
      <c r="WQJ5" s="12" t="s">
        <v>17781</v>
      </c>
      <c r="WQK5" s="12" t="s">
        <v>17782</v>
      </c>
      <c r="WQL5" s="12" t="s">
        <v>17783</v>
      </c>
      <c r="WQM5" s="12" t="s">
        <v>17784</v>
      </c>
      <c r="WQN5" s="12" t="s">
        <v>17785</v>
      </c>
      <c r="WQO5" s="12" t="s">
        <v>17786</v>
      </c>
      <c r="WQP5" s="12" t="s">
        <v>17787</v>
      </c>
      <c r="WQQ5" s="12" t="s">
        <v>17788</v>
      </c>
      <c r="WQR5" s="12" t="s">
        <v>17789</v>
      </c>
      <c r="WQS5" s="12" t="s">
        <v>17790</v>
      </c>
      <c r="WQT5" s="12" t="s">
        <v>17791</v>
      </c>
      <c r="WQU5" s="12" t="s">
        <v>17792</v>
      </c>
      <c r="WQV5" s="12" t="s">
        <v>17793</v>
      </c>
      <c r="WQW5" s="12" t="s">
        <v>17794</v>
      </c>
      <c r="WQX5" s="12" t="s">
        <v>17795</v>
      </c>
      <c r="WQY5" s="12" t="s">
        <v>17796</v>
      </c>
      <c r="WQZ5" s="12" t="s">
        <v>17797</v>
      </c>
      <c r="WRA5" s="12" t="s">
        <v>17798</v>
      </c>
      <c r="WRB5" s="12" t="s">
        <v>17799</v>
      </c>
      <c r="WRC5" s="12" t="s">
        <v>17800</v>
      </c>
      <c r="WRD5" s="12" t="s">
        <v>17801</v>
      </c>
      <c r="WRE5" s="12" t="s">
        <v>17802</v>
      </c>
      <c r="WRF5" s="12" t="s">
        <v>17803</v>
      </c>
      <c r="WRG5" s="12" t="s">
        <v>17804</v>
      </c>
      <c r="WRH5" s="12" t="s">
        <v>17805</v>
      </c>
      <c r="WRI5" s="12" t="s">
        <v>17806</v>
      </c>
      <c r="WRJ5" s="12" t="s">
        <v>17807</v>
      </c>
      <c r="WRK5" s="12" t="s">
        <v>17808</v>
      </c>
      <c r="WRL5" s="12" t="s">
        <v>17809</v>
      </c>
      <c r="WRM5" s="12" t="s">
        <v>17810</v>
      </c>
      <c r="WRN5" s="12" t="s">
        <v>17811</v>
      </c>
      <c r="WRO5" s="12" t="s">
        <v>17812</v>
      </c>
      <c r="WRP5" s="12" t="s">
        <v>17813</v>
      </c>
      <c r="WRQ5" s="12" t="s">
        <v>17814</v>
      </c>
      <c r="WRR5" s="12" t="s">
        <v>17815</v>
      </c>
      <c r="WRS5" s="12" t="s">
        <v>17816</v>
      </c>
      <c r="WRT5" s="12" t="s">
        <v>17817</v>
      </c>
      <c r="WRU5" s="12" t="s">
        <v>17818</v>
      </c>
      <c r="WRV5" s="12" t="s">
        <v>17819</v>
      </c>
      <c r="WRW5" s="12" t="s">
        <v>17820</v>
      </c>
      <c r="WRX5" s="12" t="s">
        <v>17821</v>
      </c>
      <c r="WRY5" s="12" t="s">
        <v>17822</v>
      </c>
      <c r="WRZ5" s="12" t="s">
        <v>17823</v>
      </c>
      <c r="WSA5" s="12" t="s">
        <v>17824</v>
      </c>
      <c r="WSB5" s="12" t="s">
        <v>17825</v>
      </c>
      <c r="WSC5" s="12" t="s">
        <v>17826</v>
      </c>
      <c r="WSD5" s="12" t="s">
        <v>17827</v>
      </c>
      <c r="WSE5" s="12" t="s">
        <v>17828</v>
      </c>
      <c r="WSF5" s="12" t="s">
        <v>17829</v>
      </c>
      <c r="WSG5" s="12" t="s">
        <v>17830</v>
      </c>
      <c r="WSH5" s="12" t="s">
        <v>17831</v>
      </c>
      <c r="WSI5" s="12" t="s">
        <v>17832</v>
      </c>
      <c r="WSJ5" s="12" t="s">
        <v>17833</v>
      </c>
      <c r="WSK5" s="12" t="s">
        <v>17834</v>
      </c>
      <c r="WSL5" s="12" t="s">
        <v>17835</v>
      </c>
      <c r="WSM5" s="12" t="s">
        <v>17836</v>
      </c>
      <c r="WSN5" s="12" t="s">
        <v>17837</v>
      </c>
      <c r="WSO5" s="12" t="s">
        <v>17838</v>
      </c>
      <c r="WSP5" s="12" t="s">
        <v>17839</v>
      </c>
      <c r="WSQ5" s="12" t="s">
        <v>17840</v>
      </c>
      <c r="WSR5" s="12" t="s">
        <v>17841</v>
      </c>
      <c r="WSS5" s="12" t="s">
        <v>17842</v>
      </c>
      <c r="WST5" s="12" t="s">
        <v>17843</v>
      </c>
      <c r="WSU5" s="12" t="s">
        <v>17844</v>
      </c>
      <c r="WSV5" s="12" t="s">
        <v>17845</v>
      </c>
      <c r="WSW5" s="12" t="s">
        <v>17846</v>
      </c>
      <c r="WSX5" s="12" t="s">
        <v>17847</v>
      </c>
      <c r="WSY5" s="12" t="s">
        <v>17848</v>
      </c>
      <c r="WSZ5" s="12" t="s">
        <v>17849</v>
      </c>
      <c r="WTA5" s="12" t="s">
        <v>17850</v>
      </c>
      <c r="WTB5" s="12" t="s">
        <v>17851</v>
      </c>
      <c r="WTC5" s="12" t="s">
        <v>17852</v>
      </c>
      <c r="WTD5" s="12" t="s">
        <v>17853</v>
      </c>
      <c r="WTE5" s="12" t="s">
        <v>17854</v>
      </c>
      <c r="WTF5" s="12" t="s">
        <v>17855</v>
      </c>
      <c r="WTG5" s="12" t="s">
        <v>17856</v>
      </c>
      <c r="WTH5" s="12" t="s">
        <v>17857</v>
      </c>
      <c r="WTI5" s="12" t="s">
        <v>17858</v>
      </c>
      <c r="WTJ5" s="12" t="s">
        <v>17859</v>
      </c>
      <c r="WTK5" s="12" t="s">
        <v>17860</v>
      </c>
      <c r="WTL5" s="12" t="s">
        <v>17861</v>
      </c>
      <c r="WTM5" s="12" t="s">
        <v>17862</v>
      </c>
      <c r="WTN5" s="12" t="s">
        <v>17863</v>
      </c>
      <c r="WTO5" s="12" t="s">
        <v>17864</v>
      </c>
      <c r="WTP5" s="12" t="s">
        <v>17865</v>
      </c>
      <c r="WTQ5" s="12" t="s">
        <v>17866</v>
      </c>
      <c r="WTR5" s="12" t="s">
        <v>17867</v>
      </c>
      <c r="WTS5" s="12" t="s">
        <v>17868</v>
      </c>
      <c r="WTT5" s="12" t="s">
        <v>17869</v>
      </c>
      <c r="WTU5" s="12" t="s">
        <v>17870</v>
      </c>
      <c r="WTV5" s="12" t="s">
        <v>17871</v>
      </c>
      <c r="WTW5" s="12" t="s">
        <v>17872</v>
      </c>
      <c r="WTX5" s="12" t="s">
        <v>17873</v>
      </c>
      <c r="WTY5" s="12" t="s">
        <v>17874</v>
      </c>
      <c r="WTZ5" s="12" t="s">
        <v>17875</v>
      </c>
      <c r="WUA5" s="12" t="s">
        <v>17876</v>
      </c>
      <c r="WUB5" s="12" t="s">
        <v>17877</v>
      </c>
      <c r="WUC5" s="12" t="s">
        <v>17878</v>
      </c>
      <c r="WUD5" s="12" t="s">
        <v>17879</v>
      </c>
      <c r="WUE5" s="12" t="s">
        <v>17880</v>
      </c>
      <c r="WUF5" s="12" t="s">
        <v>17881</v>
      </c>
      <c r="WUG5" s="12" t="s">
        <v>17882</v>
      </c>
      <c r="WUH5" s="12" t="s">
        <v>17883</v>
      </c>
      <c r="WUI5" s="12" t="s">
        <v>17884</v>
      </c>
      <c r="WUJ5" s="12" t="s">
        <v>17885</v>
      </c>
      <c r="WUK5" s="12" t="s">
        <v>17886</v>
      </c>
      <c r="WUL5" s="12" t="s">
        <v>17887</v>
      </c>
      <c r="WUM5" s="12" t="s">
        <v>17888</v>
      </c>
      <c r="WUN5" s="12" t="s">
        <v>17889</v>
      </c>
      <c r="WUO5" s="12" t="s">
        <v>17890</v>
      </c>
      <c r="WUP5" s="12" t="s">
        <v>17891</v>
      </c>
      <c r="WUQ5" s="12" t="s">
        <v>17892</v>
      </c>
      <c r="WUR5" s="12" t="s">
        <v>17893</v>
      </c>
      <c r="WUS5" s="12" t="s">
        <v>17894</v>
      </c>
      <c r="WUT5" s="12" t="s">
        <v>17895</v>
      </c>
      <c r="WUU5" s="12" t="s">
        <v>17896</v>
      </c>
      <c r="WUV5" s="12" t="s">
        <v>17897</v>
      </c>
      <c r="WUW5" s="12" t="s">
        <v>17898</v>
      </c>
      <c r="WUX5" s="12" t="s">
        <v>17899</v>
      </c>
      <c r="WUY5" s="12" t="s">
        <v>17900</v>
      </c>
      <c r="WUZ5" s="12" t="s">
        <v>17901</v>
      </c>
      <c r="WVA5" s="12" t="s">
        <v>17902</v>
      </c>
      <c r="WVB5" s="12" t="s">
        <v>17903</v>
      </c>
      <c r="WVC5" s="12" t="s">
        <v>17904</v>
      </c>
      <c r="WVD5" s="12" t="s">
        <v>17905</v>
      </c>
      <c r="WVE5" s="12" t="s">
        <v>17906</v>
      </c>
      <c r="WVF5" s="12" t="s">
        <v>17907</v>
      </c>
      <c r="WVG5" s="12" t="s">
        <v>17908</v>
      </c>
      <c r="WVH5" s="12" t="s">
        <v>17909</v>
      </c>
      <c r="WVI5" s="12" t="s">
        <v>17910</v>
      </c>
      <c r="WVJ5" s="12" t="s">
        <v>17911</v>
      </c>
      <c r="WVK5" s="12" t="s">
        <v>17912</v>
      </c>
      <c r="WVL5" s="12" t="s">
        <v>17913</v>
      </c>
      <c r="WVM5" s="12" t="s">
        <v>17914</v>
      </c>
      <c r="WVN5" s="12" t="s">
        <v>17915</v>
      </c>
      <c r="WVO5" s="12" t="s">
        <v>17916</v>
      </c>
      <c r="WVP5" s="12" t="s">
        <v>17917</v>
      </c>
      <c r="WVQ5" s="12" t="s">
        <v>17918</v>
      </c>
      <c r="WVR5" s="12" t="s">
        <v>17919</v>
      </c>
      <c r="WVS5" s="12" t="s">
        <v>17920</v>
      </c>
      <c r="WVT5" s="12" t="s">
        <v>17921</v>
      </c>
      <c r="WVU5" s="12" t="s">
        <v>17922</v>
      </c>
      <c r="WVV5" s="12" t="s">
        <v>17923</v>
      </c>
      <c r="WVW5" s="12" t="s">
        <v>17924</v>
      </c>
      <c r="WVX5" s="12" t="s">
        <v>17925</v>
      </c>
      <c r="WVY5" s="12" t="s">
        <v>17926</v>
      </c>
      <c r="WVZ5" s="12" t="s">
        <v>17927</v>
      </c>
      <c r="WWA5" s="12" t="s">
        <v>17928</v>
      </c>
      <c r="WWB5" s="12" t="s">
        <v>17929</v>
      </c>
      <c r="WWC5" s="12" t="s">
        <v>17930</v>
      </c>
      <c r="WWD5" s="12" t="s">
        <v>17931</v>
      </c>
      <c r="WWE5" s="12" t="s">
        <v>17932</v>
      </c>
      <c r="WWF5" s="12" t="s">
        <v>17933</v>
      </c>
      <c r="WWG5" s="12" t="s">
        <v>17934</v>
      </c>
      <c r="WWH5" s="12" t="s">
        <v>17935</v>
      </c>
      <c r="WWI5" s="12" t="s">
        <v>17936</v>
      </c>
      <c r="WWJ5" s="12" t="s">
        <v>17937</v>
      </c>
      <c r="WWK5" s="12" t="s">
        <v>17938</v>
      </c>
      <c r="WWL5" s="12" t="s">
        <v>17939</v>
      </c>
      <c r="WWM5" s="12" t="s">
        <v>17940</v>
      </c>
      <c r="WWN5" s="12" t="s">
        <v>17941</v>
      </c>
      <c r="WWO5" s="12" t="s">
        <v>17942</v>
      </c>
      <c r="WWP5" s="12" t="s">
        <v>17943</v>
      </c>
      <c r="WWQ5" s="12" t="s">
        <v>17944</v>
      </c>
      <c r="WWR5" s="12" t="s">
        <v>17945</v>
      </c>
      <c r="WWS5" s="12" t="s">
        <v>17946</v>
      </c>
      <c r="WWT5" s="12" t="s">
        <v>17947</v>
      </c>
      <c r="WWU5" s="12" t="s">
        <v>17948</v>
      </c>
      <c r="WWV5" s="12" t="s">
        <v>17949</v>
      </c>
      <c r="WWW5" s="12" t="s">
        <v>17950</v>
      </c>
      <c r="WWX5" s="12" t="s">
        <v>17951</v>
      </c>
      <c r="WWY5" s="12" t="s">
        <v>17952</v>
      </c>
      <c r="WWZ5" s="12" t="s">
        <v>17953</v>
      </c>
      <c r="WXA5" s="12" t="s">
        <v>17954</v>
      </c>
      <c r="WXB5" s="12" t="s">
        <v>17955</v>
      </c>
      <c r="WXC5" s="12" t="s">
        <v>17956</v>
      </c>
      <c r="WXD5" s="12" t="s">
        <v>17957</v>
      </c>
      <c r="WXE5" s="12" t="s">
        <v>17958</v>
      </c>
      <c r="WXF5" s="12" t="s">
        <v>17959</v>
      </c>
      <c r="WXG5" s="12" t="s">
        <v>17960</v>
      </c>
      <c r="WXH5" s="12" t="s">
        <v>17961</v>
      </c>
      <c r="WXI5" s="12" t="s">
        <v>17962</v>
      </c>
      <c r="WXJ5" s="12" t="s">
        <v>17963</v>
      </c>
      <c r="WXK5" s="12" t="s">
        <v>17964</v>
      </c>
      <c r="WXL5" s="12" t="s">
        <v>17965</v>
      </c>
      <c r="WXM5" s="12" t="s">
        <v>17966</v>
      </c>
      <c r="WXN5" s="12" t="s">
        <v>17967</v>
      </c>
      <c r="WXO5" s="12" t="s">
        <v>17968</v>
      </c>
      <c r="WXP5" s="12" t="s">
        <v>17969</v>
      </c>
      <c r="WXQ5" s="12" t="s">
        <v>17970</v>
      </c>
      <c r="WXR5" s="12" t="s">
        <v>17971</v>
      </c>
      <c r="WXS5" s="12" t="s">
        <v>17972</v>
      </c>
      <c r="WXT5" s="12" t="s">
        <v>17973</v>
      </c>
      <c r="WXU5" s="12" t="s">
        <v>17974</v>
      </c>
      <c r="WXV5" s="12" t="s">
        <v>17975</v>
      </c>
      <c r="WXW5" s="12" t="s">
        <v>17976</v>
      </c>
      <c r="WXX5" s="12" t="s">
        <v>17977</v>
      </c>
      <c r="WXY5" s="12" t="s">
        <v>17978</v>
      </c>
      <c r="WXZ5" s="12" t="s">
        <v>17979</v>
      </c>
      <c r="WYA5" s="12" t="s">
        <v>17980</v>
      </c>
      <c r="WYB5" s="12" t="s">
        <v>17981</v>
      </c>
      <c r="WYC5" s="12" t="s">
        <v>17982</v>
      </c>
      <c r="WYD5" s="12" t="s">
        <v>17983</v>
      </c>
      <c r="WYE5" s="12" t="s">
        <v>17984</v>
      </c>
      <c r="WYF5" s="12" t="s">
        <v>17985</v>
      </c>
      <c r="WYG5" s="12" t="s">
        <v>17986</v>
      </c>
      <c r="WYH5" s="12" t="s">
        <v>17987</v>
      </c>
      <c r="WYI5" s="12" t="s">
        <v>17988</v>
      </c>
      <c r="WYJ5" s="12" t="s">
        <v>17989</v>
      </c>
      <c r="WYK5" s="12" t="s">
        <v>17990</v>
      </c>
      <c r="WYL5" s="12" t="s">
        <v>17991</v>
      </c>
      <c r="WYM5" s="12" t="s">
        <v>17992</v>
      </c>
      <c r="WYN5" s="12" t="s">
        <v>17993</v>
      </c>
      <c r="WYO5" s="12" t="s">
        <v>17994</v>
      </c>
      <c r="WYP5" s="12" t="s">
        <v>17995</v>
      </c>
      <c r="WYQ5" s="12" t="s">
        <v>17996</v>
      </c>
      <c r="WYR5" s="12" t="s">
        <v>17997</v>
      </c>
      <c r="WYS5" s="12" t="s">
        <v>17998</v>
      </c>
      <c r="WYT5" s="12" t="s">
        <v>17999</v>
      </c>
      <c r="WYU5" s="12" t="s">
        <v>18000</v>
      </c>
      <c r="WYV5" s="12" t="s">
        <v>18001</v>
      </c>
      <c r="WYW5" s="12" t="s">
        <v>18002</v>
      </c>
      <c r="WYX5" s="12" t="s">
        <v>18003</v>
      </c>
      <c r="WYY5" s="12" t="s">
        <v>18004</v>
      </c>
      <c r="WYZ5" s="12" t="s">
        <v>18005</v>
      </c>
      <c r="WZA5" s="12" t="s">
        <v>18006</v>
      </c>
      <c r="WZB5" s="12" t="s">
        <v>18007</v>
      </c>
      <c r="WZC5" s="12" t="s">
        <v>18008</v>
      </c>
      <c r="WZD5" s="12" t="s">
        <v>18009</v>
      </c>
      <c r="WZE5" s="12" t="s">
        <v>18010</v>
      </c>
      <c r="WZF5" s="12" t="s">
        <v>18011</v>
      </c>
      <c r="WZG5" s="12" t="s">
        <v>18012</v>
      </c>
      <c r="WZH5" s="12" t="s">
        <v>18013</v>
      </c>
      <c r="WZI5" s="12" t="s">
        <v>18014</v>
      </c>
      <c r="WZJ5" s="12" t="s">
        <v>18015</v>
      </c>
      <c r="WZK5" s="12" t="s">
        <v>18016</v>
      </c>
      <c r="WZL5" s="12" t="s">
        <v>18017</v>
      </c>
      <c r="WZM5" s="12" t="s">
        <v>18018</v>
      </c>
      <c r="WZN5" s="12" t="s">
        <v>18019</v>
      </c>
      <c r="WZO5" s="12" t="s">
        <v>18020</v>
      </c>
      <c r="WZP5" s="12" t="s">
        <v>18021</v>
      </c>
      <c r="WZQ5" s="12" t="s">
        <v>18022</v>
      </c>
      <c r="WZR5" s="12" t="s">
        <v>18023</v>
      </c>
      <c r="WZS5" s="12" t="s">
        <v>18024</v>
      </c>
      <c r="WZT5" s="12" t="s">
        <v>18025</v>
      </c>
      <c r="WZU5" s="12" t="s">
        <v>18026</v>
      </c>
      <c r="WZV5" s="12" t="s">
        <v>18027</v>
      </c>
      <c r="WZW5" s="12" t="s">
        <v>18028</v>
      </c>
      <c r="WZX5" s="12" t="s">
        <v>18029</v>
      </c>
      <c r="WZY5" s="12" t="s">
        <v>18030</v>
      </c>
      <c r="WZZ5" s="12" t="s">
        <v>18031</v>
      </c>
      <c r="XAA5" s="12" t="s">
        <v>18032</v>
      </c>
      <c r="XAB5" s="12" t="s">
        <v>18033</v>
      </c>
      <c r="XAC5" s="12" t="s">
        <v>18034</v>
      </c>
      <c r="XAD5" s="12" t="s">
        <v>18035</v>
      </c>
      <c r="XAE5" s="12" t="s">
        <v>18036</v>
      </c>
      <c r="XAF5" s="12" t="s">
        <v>18037</v>
      </c>
      <c r="XAG5" s="12" t="s">
        <v>18038</v>
      </c>
      <c r="XAH5" s="12" t="s">
        <v>18039</v>
      </c>
      <c r="XAI5" s="12" t="s">
        <v>18040</v>
      </c>
      <c r="XAJ5" s="12" t="s">
        <v>18041</v>
      </c>
      <c r="XAK5" s="12" t="s">
        <v>18042</v>
      </c>
      <c r="XAL5" s="12" t="s">
        <v>18043</v>
      </c>
      <c r="XAM5" s="12" t="s">
        <v>18044</v>
      </c>
      <c r="XAN5" s="12" t="s">
        <v>18045</v>
      </c>
      <c r="XAO5" s="12" t="s">
        <v>18046</v>
      </c>
      <c r="XAP5" s="12" t="s">
        <v>18047</v>
      </c>
      <c r="XAQ5" s="12" t="s">
        <v>18048</v>
      </c>
      <c r="XAR5" s="12" t="s">
        <v>18049</v>
      </c>
      <c r="XAS5" s="12" t="s">
        <v>18050</v>
      </c>
      <c r="XAT5" s="12" t="s">
        <v>18051</v>
      </c>
      <c r="XAU5" s="12" t="s">
        <v>18052</v>
      </c>
      <c r="XAV5" s="12" t="s">
        <v>18053</v>
      </c>
      <c r="XAW5" s="12" t="s">
        <v>18054</v>
      </c>
      <c r="XAX5" s="12" t="s">
        <v>18055</v>
      </c>
      <c r="XAY5" s="12" t="s">
        <v>18056</v>
      </c>
      <c r="XAZ5" s="12" t="s">
        <v>18057</v>
      </c>
      <c r="XBA5" s="12" t="s">
        <v>18058</v>
      </c>
      <c r="XBB5" s="12" t="s">
        <v>18059</v>
      </c>
      <c r="XBC5" s="12" t="s">
        <v>18060</v>
      </c>
      <c r="XBD5" s="12" t="s">
        <v>18061</v>
      </c>
      <c r="XBE5" s="12" t="s">
        <v>18062</v>
      </c>
      <c r="XBF5" s="12" t="s">
        <v>18063</v>
      </c>
      <c r="XBG5" s="12" t="s">
        <v>18064</v>
      </c>
      <c r="XBH5" s="12" t="s">
        <v>18065</v>
      </c>
      <c r="XBI5" s="12" t="s">
        <v>18066</v>
      </c>
      <c r="XBJ5" s="12" t="s">
        <v>18067</v>
      </c>
      <c r="XBK5" s="12" t="s">
        <v>18068</v>
      </c>
      <c r="XBL5" s="12" t="s">
        <v>18069</v>
      </c>
      <c r="XBM5" s="12" t="s">
        <v>18070</v>
      </c>
      <c r="XBN5" s="12" t="s">
        <v>18071</v>
      </c>
      <c r="XBO5" s="12" t="s">
        <v>18072</v>
      </c>
      <c r="XBP5" s="12" t="s">
        <v>18073</v>
      </c>
      <c r="XBQ5" s="12" t="s">
        <v>18074</v>
      </c>
      <c r="XBR5" s="12" t="s">
        <v>18075</v>
      </c>
      <c r="XBS5" s="12" t="s">
        <v>18076</v>
      </c>
      <c r="XBT5" s="12" t="s">
        <v>18077</v>
      </c>
      <c r="XBU5" s="12" t="s">
        <v>18078</v>
      </c>
      <c r="XBV5" s="12" t="s">
        <v>18079</v>
      </c>
      <c r="XBW5" s="12" t="s">
        <v>18080</v>
      </c>
      <c r="XBX5" s="12" t="s">
        <v>18081</v>
      </c>
      <c r="XBY5" s="12" t="s">
        <v>18082</v>
      </c>
      <c r="XBZ5" s="12" t="s">
        <v>18083</v>
      </c>
      <c r="XCA5" s="12" t="s">
        <v>18084</v>
      </c>
      <c r="XCB5" s="12" t="s">
        <v>18085</v>
      </c>
      <c r="XCC5" s="12" t="s">
        <v>18086</v>
      </c>
      <c r="XCD5" s="12" t="s">
        <v>18087</v>
      </c>
      <c r="XCE5" s="12" t="s">
        <v>18088</v>
      </c>
      <c r="XCF5" s="12" t="s">
        <v>18089</v>
      </c>
      <c r="XCG5" s="12" t="s">
        <v>18090</v>
      </c>
      <c r="XCH5" s="12" t="s">
        <v>18091</v>
      </c>
      <c r="XCI5" s="12" t="s">
        <v>18092</v>
      </c>
      <c r="XCJ5" s="12" t="s">
        <v>18093</v>
      </c>
      <c r="XCK5" s="12" t="s">
        <v>18094</v>
      </c>
      <c r="XCL5" s="12" t="s">
        <v>18095</v>
      </c>
      <c r="XCM5" s="12" t="s">
        <v>18096</v>
      </c>
      <c r="XCN5" s="12" t="s">
        <v>18097</v>
      </c>
      <c r="XCO5" s="12" t="s">
        <v>18098</v>
      </c>
      <c r="XCP5" s="12" t="s">
        <v>18099</v>
      </c>
      <c r="XCQ5" s="12" t="s">
        <v>18100</v>
      </c>
      <c r="XCR5" s="12" t="s">
        <v>18101</v>
      </c>
      <c r="XCS5" s="12" t="s">
        <v>18102</v>
      </c>
      <c r="XCT5" s="12" t="s">
        <v>18103</v>
      </c>
      <c r="XCU5" s="12" t="s">
        <v>18104</v>
      </c>
      <c r="XCV5" s="12" t="s">
        <v>18105</v>
      </c>
      <c r="XCW5" s="12" t="s">
        <v>18106</v>
      </c>
      <c r="XCX5" s="12" t="s">
        <v>18107</v>
      </c>
      <c r="XCY5" s="12" t="s">
        <v>18108</v>
      </c>
      <c r="XCZ5" s="12" t="s">
        <v>18109</v>
      </c>
      <c r="XDA5" s="12" t="s">
        <v>18110</v>
      </c>
      <c r="XDB5" s="12" t="s">
        <v>18111</v>
      </c>
      <c r="XDC5" s="12" t="s">
        <v>18112</v>
      </c>
      <c r="XDD5" s="12" t="s">
        <v>18113</v>
      </c>
      <c r="XDE5" s="12" t="s">
        <v>18114</v>
      </c>
      <c r="XDF5" s="12" t="s">
        <v>18115</v>
      </c>
      <c r="XDG5" s="12" t="s">
        <v>18116</v>
      </c>
      <c r="XDH5" s="12" t="s">
        <v>18117</v>
      </c>
      <c r="XDI5" s="12" t="s">
        <v>18118</v>
      </c>
      <c r="XDJ5" s="12" t="s">
        <v>18119</v>
      </c>
      <c r="XDK5" s="12" t="s">
        <v>18120</v>
      </c>
      <c r="XDL5" s="12" t="s">
        <v>18121</v>
      </c>
      <c r="XDM5" s="12" t="s">
        <v>18122</v>
      </c>
      <c r="XDN5" s="12" t="s">
        <v>18123</v>
      </c>
      <c r="XDO5" s="12" t="s">
        <v>18124</v>
      </c>
      <c r="XDP5" s="12" t="s">
        <v>18125</v>
      </c>
      <c r="XDQ5" s="12" t="s">
        <v>18126</v>
      </c>
      <c r="XDR5" s="12" t="s">
        <v>18127</v>
      </c>
      <c r="XDS5" s="12" t="s">
        <v>18128</v>
      </c>
      <c r="XDT5" s="12" t="s">
        <v>18129</v>
      </c>
      <c r="XDU5" s="12" t="s">
        <v>18130</v>
      </c>
      <c r="XDV5" s="12" t="s">
        <v>18131</v>
      </c>
      <c r="XDW5" s="12" t="s">
        <v>18132</v>
      </c>
      <c r="XDX5" s="12" t="s">
        <v>18133</v>
      </c>
      <c r="XDY5" s="12" t="s">
        <v>18134</v>
      </c>
      <c r="XDZ5" s="12" t="s">
        <v>18135</v>
      </c>
      <c r="XEA5" s="12" t="s">
        <v>18136</v>
      </c>
      <c r="XEB5" s="12" t="s">
        <v>18137</v>
      </c>
      <c r="XEC5" s="12" t="s">
        <v>18138</v>
      </c>
      <c r="XED5" s="12" t="s">
        <v>18139</v>
      </c>
      <c r="XEE5" s="12" t="s">
        <v>18140</v>
      </c>
      <c r="XEF5" s="12" t="s">
        <v>18141</v>
      </c>
      <c r="XEG5" s="12" t="s">
        <v>18142</v>
      </c>
      <c r="XEH5" s="12" t="s">
        <v>18143</v>
      </c>
      <c r="XEI5" s="12" t="s">
        <v>18144</v>
      </c>
      <c r="XEJ5" s="12" t="s">
        <v>18145</v>
      </c>
      <c r="XEK5" s="12" t="s">
        <v>18146</v>
      </c>
      <c r="XEL5" s="12" t="s">
        <v>18147</v>
      </c>
      <c r="XEM5" s="12" t="s">
        <v>18148</v>
      </c>
      <c r="XEN5" s="12" t="s">
        <v>18149</v>
      </c>
      <c r="XEO5" s="12" t="s">
        <v>18150</v>
      </c>
      <c r="XEP5" s="12" t="s">
        <v>18151</v>
      </c>
      <c r="XEQ5" s="12" t="s">
        <v>18152</v>
      </c>
      <c r="XER5" s="12" t="s">
        <v>18153</v>
      </c>
      <c r="XES5" s="12" t="s">
        <v>18154</v>
      </c>
      <c r="XET5" s="12" t="s">
        <v>18155</v>
      </c>
      <c r="XEU5" s="12" t="s">
        <v>18156</v>
      </c>
      <c r="XEV5" s="12" t="s">
        <v>18157</v>
      </c>
      <c r="XEW5" s="12" t="s">
        <v>18158</v>
      </c>
      <c r="XEX5" s="12" t="s">
        <v>18159</v>
      </c>
      <c r="XEY5" s="12" t="s">
        <v>18160</v>
      </c>
      <c r="XEZ5" s="12" t="s">
        <v>18161</v>
      </c>
      <c r="XFA5" s="12" t="s">
        <v>18162</v>
      </c>
      <c r="XFB5" s="12" t="s">
        <v>18163</v>
      </c>
      <c r="XFC5" s="12" t="s">
        <v>18164</v>
      </c>
      <c r="XFD5" s="12" t="s">
        <v>18165</v>
      </c>
    </row>
    <row r="6" spans="1:16384" ht="15.75" thickTop="1" x14ac:dyDescent="0.25">
      <c r="A6" s="595" t="str">
        <f>IFERROR(IF(Tabla_O2[[#This Row],[Enunciado]]="","",PREF_PREGUNTA&amp;IF(PREF_PREGUNTA="",""," - ")&amp;
IF(n_preg_ON_O2=TRUE,IF((N_I_O2+ROW()-N_I_Tabla)&gt;99,
IF((N_I_O2+ROW()-N_I_Tabla)&lt;100,"0",""),"")&amp;
IF((N_I_O2+ROW()-N_I_Tabla)&lt;10,"0","")&amp;(N_I_O2+ROW()-N_I_Tabla),""))&amp;
IF(Tabla_O2[[#This Row],[Descripcion]]&lt;&gt;""," "&amp;Tabla_O2[[#This Row],[Descripcion]],""),"")</f>
        <v/>
      </c>
      <c r="B6" s="596" t="str">
        <f>IF(COUNTIF(Tabla_O2[[#This Row],[Puntos 1]:[Puntos 6]],"&gt;0")=0,"",COUNTIF(Tabla_O2[[#This Row],[Puntos 1]:[Puntos 6]],"&gt;0"))</f>
        <v/>
      </c>
      <c r="C6" s="596" t="str">
        <f>IFERROR(MAX(COUNTA(Tabla_O2[[#This Row],[Respuesta 1]:[Respuesta 6]])-Tabla_O2[[#This Row],[NRC]],0),"")</f>
        <v/>
      </c>
      <c r="D6" s="596" t="str">
        <f>IF(SUMIF(Tabla_O2[[#This Row],[Puntos 1]:[Puntos 6]],"&gt;0")=0,"",SUMIF(Tabla_O2[[#This Row],[Puntos 1]:[Puntos 6]],"&gt;0"))</f>
        <v/>
      </c>
      <c r="E6" s="596" t="str">
        <f>IF(SUMIF(Tabla_O2[[#This Row],[Puntos 1]:[Puntos 6]],"&lt;0")=0,"",SUMIF(Tabla_O2[[#This Row],[Puntos 1]:[Puntos 6]],"&lt;0"))</f>
        <v/>
      </c>
      <c r="F6" s="597"/>
      <c r="G6" s="598"/>
      <c r="H6" s="610"/>
      <c r="I6" s="611"/>
      <c r="J6" s="612"/>
      <c r="K6" s="613"/>
      <c r="L6" s="614"/>
      <c r="M6" s="615"/>
      <c r="N6" s="599"/>
      <c r="O6" s="600"/>
      <c r="P6" s="601"/>
      <c r="Q6" s="602"/>
      <c r="R6" s="603"/>
      <c r="S6" s="604"/>
      <c r="T6" s="604"/>
      <c r="U6" s="604"/>
      <c r="V6" s="604"/>
      <c r="W6" s="604"/>
      <c r="X6" s="604"/>
      <c r="Y6" s="604"/>
      <c r="Z6" s="604"/>
      <c r="AA6" s="604"/>
      <c r="AB6" s="604"/>
      <c r="AC6" s="604"/>
      <c r="AD6" s="604"/>
      <c r="AE6" s="604"/>
      <c r="AF6" s="605"/>
      <c r="AG6" s="606"/>
      <c r="AH6" s="607"/>
      <c r="AI6" s="608"/>
      <c r="AJ6" s="601"/>
    </row>
  </sheetData>
  <sheetProtection algorithmName="SHA-512" hashValue="Ja4uiov2SlBW4ezWwI8qDP6p2a+IJVKwPp1hBj2qiIVcPmRgRWKd93BusrSqV2gh5hdM6hhr4RH37/GUtr6EGw==" saltValue="l465dhGUlWFsbiwI2vaP6Q==" spinCount="100000" sheet="1" objects="1" scenarios="1" selectLockedCells="1"/>
  <conditionalFormatting sqref="Z4:AE4 F4:S4 F2:AJ2 F6:AJ6">
    <cfRule type="cellIs" dxfId="559" priority="969" operator="equal">
      <formula>""</formula>
    </cfRule>
    <cfRule type="cellIs" dxfId="558" priority="970" operator="equal">
      <formula>0</formula>
    </cfRule>
  </conditionalFormatting>
  <conditionalFormatting sqref="AF4:AI4">
    <cfRule type="cellIs" dxfId="557" priority="961" operator="equal">
      <formula>""</formula>
    </cfRule>
    <cfRule type="cellIs" dxfId="556" priority="962" operator="equal">
      <formula>0</formula>
    </cfRule>
  </conditionalFormatting>
  <conditionalFormatting sqref="T4:Y4">
    <cfRule type="cellIs" dxfId="555" priority="463" operator="equal">
      <formula>""</formula>
    </cfRule>
    <cfRule type="cellIs" dxfId="554" priority="464" operator="equal">
      <formula>0</formula>
    </cfRule>
  </conditionalFormatting>
  <conditionalFormatting sqref="AJ4">
    <cfRule type="cellIs" dxfId="553" priority="261" operator="equal">
      <formula>""</formula>
    </cfRule>
    <cfRule type="cellIs" dxfId="552" priority="262" operator="equal">
      <formula>0</formula>
    </cfRule>
  </conditionalFormatting>
  <conditionalFormatting sqref="F5:AJ5">
    <cfRule type="cellIs" dxfId="551" priority="1" operator="equal">
      <formula>""</formula>
    </cfRule>
    <cfRule type="cellIs" dxfId="550" priority="2" operator="equal">
      <formula>0</formula>
    </cfRule>
  </conditionalFormatting>
  <dataValidations count="1">
    <dataValidation allowBlank="1" showInputMessage="1" showErrorMessage="1" errorTitle="Error" error="Debes introducir un número válido. _x000a_Rellena primero las respuestas._x000a__x000a_Pulsa ESC para continuar." sqref="B4 B6"/>
  </dataValidations>
  <pageMargins left="0.70866141732283472" right="0.70866141732283472" top="0.74803149606299213" bottom="0.74803149606299213" header="0.31496062992125984" footer="0.31496062992125984"/>
  <pageSetup paperSize="9" scale="44" fitToHeight="47" orientation="landscape" r:id="rId1"/>
  <drawing r:id="rId2"/>
  <tableParts count="1">
    <tablePart r:id="rId3"/>
  </tableParts>
</worksheet>
</file>

<file path=xl/worksheets/sheet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Hoja_13">
    <tabColor rgb="FF005877"/>
    <pageSetUpPr fitToPage="1"/>
  </sheetPr>
  <dimension ref="A1:XEZ72"/>
  <sheetViews>
    <sheetView showGridLines="0" showRowColHeaders="0" zoomScale="140" zoomScaleNormal="140" workbookViewId="0">
      <pane xSplit="38" ySplit="73" topLeftCell="AM74" activePane="bottomRight" state="frozen"/>
      <selection activeCell="K7" sqref="K7:O7"/>
      <selection pane="topRight" activeCell="K7" sqref="K7:O7"/>
      <selection pane="bottomLeft" activeCell="K7" sqref="K7:O7"/>
      <selection pane="bottomRight" activeCell="H9" sqref="H9:M9"/>
    </sheetView>
  </sheetViews>
  <sheetFormatPr baseColWidth="10" defaultColWidth="0" defaultRowHeight="15" zeroHeight="1" x14ac:dyDescent="0.25"/>
  <cols>
    <col min="1" max="1" width="10.7109375" customWidth="1"/>
    <col min="2" max="2" width="2.7109375" style="4" customWidth="1"/>
    <col min="3" max="23" width="5.7109375" style="4" customWidth="1"/>
    <col min="24" max="24" width="2.7109375" style="4" customWidth="1"/>
    <col min="25" max="25" width="10.7109375" style="93" customWidth="1"/>
    <col min="26" max="26" width="2.7109375" style="4" customWidth="1"/>
    <col min="27" max="27" width="10.7109375" style="4" customWidth="1"/>
    <col min="28" max="28" width="2.7109375" style="4" customWidth="1"/>
    <col min="29" max="52" width="2.7109375" style="4" hidden="1" customWidth="1"/>
    <col min="53" max="16380" width="0" style="4" hidden="1"/>
    <col min="16381" max="16384" width="11.42578125" style="4" hidden="1"/>
  </cols>
  <sheetData>
    <row r="1" spans="1:31 16368:16380" ht="2.25" customHeight="1" thickTop="1" x14ac:dyDescent="0.25">
      <c r="A1" s="737" t="str">
        <f ca="1">'Formulario OM'!A1</f>
        <v>CÓDIGOS 
ESPECIALES</v>
      </c>
      <c r="B1" s="776" t="str">
        <f ca="1">APP&amp;" - " &amp;Tipo_3</f>
        <v>FastTest PlugIn - Verdadero/Falso</v>
      </c>
      <c r="C1" s="777"/>
      <c r="D1" s="777"/>
      <c r="E1" s="777"/>
      <c r="F1" s="777"/>
      <c r="G1" s="777"/>
      <c r="H1" s="777"/>
      <c r="I1" s="777"/>
      <c r="J1" s="777"/>
      <c r="K1" s="777"/>
      <c r="L1" s="172"/>
      <c r="M1" s="172"/>
      <c r="N1" s="172"/>
      <c r="O1" s="172"/>
      <c r="P1" s="172"/>
      <c r="Q1" s="172"/>
      <c r="R1" s="172"/>
      <c r="S1" s="172"/>
      <c r="T1" s="172"/>
      <c r="U1" s="172"/>
      <c r="V1" s="172"/>
      <c r="W1" s="172"/>
      <c r="X1" s="173"/>
      <c r="Y1" s="713" t="str">
        <f ca="1">'DATOS GENERALES'!Y1</f>
        <v>NO USAR CORTAR
[Ctrl + X]</v>
      </c>
      <c r="AB1" s="4">
        <f>COUNTA(Q7,H9,H11,H27,T27,T29,G33,M33,G35,M35)</f>
        <v>0</v>
      </c>
      <c r="AC1" s="590" t="str">
        <f>IFERROR(HLOOKUP(AC4,$AB$4:AB4,1,0),"OK")</f>
        <v>OK</v>
      </c>
      <c r="AD1" s="590" t="str">
        <f>IFERROR(HLOOKUP(AD4,$AB$4:AC4,1,0),"OK")</f>
        <v>OK</v>
      </c>
      <c r="AE1" s="590"/>
    </row>
    <row r="2" spans="1:31 16368:16380" ht="24.95" customHeight="1" x14ac:dyDescent="0.25">
      <c r="A2" s="738"/>
      <c r="B2" s="778"/>
      <c r="C2" s="779"/>
      <c r="D2" s="779"/>
      <c r="E2" s="779"/>
      <c r="F2" s="779"/>
      <c r="G2" s="779"/>
      <c r="H2" s="779"/>
      <c r="I2" s="779"/>
      <c r="J2" s="779"/>
      <c r="K2" s="779"/>
      <c r="L2" s="760" t="str">
        <f ca="1">'Formulario OM'!L2</f>
        <v>DATOS 
GENERALES</v>
      </c>
      <c r="M2" s="761">
        <f>'Formulario OM'!M2</f>
        <v>0</v>
      </c>
      <c r="N2" s="803" t="str">
        <f ca="1">'Formulario OM'!N2</f>
        <v>BANCO 
PREGUNTAS</v>
      </c>
      <c r="O2" s="804">
        <f>'Formulario OM'!O2</f>
        <v>0</v>
      </c>
      <c r="P2" s="805" t="str">
        <f ca="1">'Formulario OM'!P2</f>
        <v>LIMPIAR 
DATOS</v>
      </c>
      <c r="Q2" s="804">
        <f>'Formulario OM'!Q2</f>
        <v>0</v>
      </c>
      <c r="R2" s="805" t="str">
        <f ca="1">'Formulario OM'!R2</f>
        <v>GUARDAR 
PREGUNTAS</v>
      </c>
      <c r="S2" s="804">
        <f>'Formulario OM'!S2</f>
        <v>0</v>
      </c>
      <c r="T2" s="805" t="str">
        <f ca="1">'Formulario OM'!T2</f>
        <v>BORRAR 
PREGUNTAS</v>
      </c>
      <c r="U2" s="804">
        <f>'Formulario OM'!U2</f>
        <v>0</v>
      </c>
      <c r="V2" s="805" t="str">
        <f ca="1">'Formulario OM'!V2</f>
        <v>DAR 
FORMATO</v>
      </c>
      <c r="W2" s="806">
        <f>'Formulario OM'!W2</f>
        <v>0</v>
      </c>
      <c r="X2" s="211" t="s">
        <v>129</v>
      </c>
      <c r="Y2" s="714"/>
      <c r="Z2" s="300" t="s">
        <v>1310</v>
      </c>
      <c r="AA2" s="313" t="str">
        <f ca="1">'Formulario OM'!AA2</f>
        <v>BORRAR VARIABLES</v>
      </c>
      <c r="AB2" s="581">
        <f>COUNTA(Y5:Y35)+COUNTA(AA5:AA35)</f>
        <v>0</v>
      </c>
      <c r="AC2" s="590">
        <f>COUNTA(AC5:AC36)</f>
        <v>0</v>
      </c>
      <c r="AD2" s="590">
        <f>COUNTA(AD5:AD36)</f>
        <v>0</v>
      </c>
      <c r="AE2" s="590"/>
    </row>
    <row r="3" spans="1:31 16368:16380" ht="2.25" customHeight="1" thickBot="1" x14ac:dyDescent="0.3">
      <c r="A3" s="739"/>
      <c r="B3" s="778"/>
      <c r="C3" s="779"/>
      <c r="D3" s="779"/>
      <c r="E3" s="779"/>
      <c r="F3" s="779"/>
      <c r="G3" s="779"/>
      <c r="H3" s="779"/>
      <c r="I3" s="779"/>
      <c r="J3" s="779"/>
      <c r="K3" s="779"/>
      <c r="L3" s="187"/>
      <c r="M3" s="188"/>
      <c r="N3" s="189"/>
      <c r="O3" s="190"/>
      <c r="P3" s="189"/>
      <c r="Q3" s="190"/>
      <c r="R3" s="189"/>
      <c r="S3" s="190"/>
      <c r="T3" s="189"/>
      <c r="U3" s="190"/>
      <c r="V3" s="189"/>
      <c r="W3" s="190"/>
      <c r="X3" s="191"/>
      <c r="Y3" s="715"/>
      <c r="AB3" s="583" t="s">
        <v>18754</v>
      </c>
      <c r="AC3" s="590">
        <f>COUNTA(AC39:AC79)</f>
        <v>0</v>
      </c>
      <c r="AD3" s="590">
        <f>COUNTA(AD39:AD79)</f>
        <v>0</v>
      </c>
      <c r="AE3" s="590"/>
    </row>
    <row r="4" spans="1:31 16368:16380" ht="6" customHeight="1" thickBot="1" x14ac:dyDescent="0.3">
      <c r="A4" s="192"/>
      <c r="B4" s="75"/>
      <c r="C4" s="77"/>
      <c r="D4" s="77"/>
      <c r="E4" s="77"/>
      <c r="F4" s="77"/>
      <c r="G4" s="77"/>
      <c r="H4" s="78"/>
      <c r="I4" s="79"/>
      <c r="J4" s="79"/>
      <c r="K4" s="79"/>
      <c r="L4" s="79"/>
      <c r="M4" s="845"/>
      <c r="N4" s="79"/>
      <c r="O4" s="79"/>
      <c r="P4" s="79"/>
      <c r="Q4" s="79"/>
      <c r="R4" s="79"/>
      <c r="S4" s="79"/>
      <c r="T4" s="78"/>
      <c r="U4" s="78"/>
      <c r="V4" s="78"/>
      <c r="W4" s="78"/>
      <c r="X4" s="80"/>
      <c r="Y4" s="196"/>
      <c r="AB4" s="583" t="s">
        <v>18755</v>
      </c>
      <c r="AC4" s="590">
        <f>COLUMN()+COUNTA(AD4:XFD4)</f>
        <v>29</v>
      </c>
    </row>
    <row r="5" spans="1:31 16368:16380" x14ac:dyDescent="0.25">
      <c r="A5" s="194" t="str">
        <f ca="1">'Formulario OM'!A5</f>
        <v>FÓRMULA</v>
      </c>
      <c r="B5" s="839" t="str">
        <f ca="1">INDIRECT("Z_OM_01_"&amp;IDIOMA)</f>
        <v>Nº Inicial del Banco de Preguntas</v>
      </c>
      <c r="C5" s="840"/>
      <c r="D5" s="840"/>
      <c r="E5" s="840"/>
      <c r="F5" s="840"/>
      <c r="G5" s="840"/>
      <c r="H5" s="328">
        <f>'Datos VF'!A4</f>
        <v>301</v>
      </c>
      <c r="I5" s="750" t="str">
        <f ca="1">'Formulario OM'!I5</f>
        <v>Pregunta Nº</v>
      </c>
      <c r="J5" s="750"/>
      <c r="K5" s="750"/>
      <c r="L5" s="39">
        <f>G37</f>
        <v>301</v>
      </c>
      <c r="M5" s="846"/>
      <c r="N5" s="757" t="str">
        <f ca="1">INDIRECT("Z_TX_88_"&amp;IDIOMA)&amp;" ("&amp;AC4-COLUMN(AC2)&amp;")"</f>
        <v>ALMACENAR FORMULAS (0)</v>
      </c>
      <c r="O5" s="758"/>
      <c r="P5" s="758"/>
      <c r="Q5" s="759"/>
      <c r="R5" s="825" t="str">
        <f ca="1">INDIRECT("Z_DG_15_"&amp;IDIOMA)&amp;": "&amp;P_min_VF&amp;IF(P_max_VF=0,""," - "&amp;P_max_VF)</f>
        <v>Rango de preguntas almacenadas: 0</v>
      </c>
      <c r="S5" s="746"/>
      <c r="T5" s="746"/>
      <c r="U5" s="746"/>
      <c r="V5" s="746"/>
      <c r="W5" s="746"/>
      <c r="X5" s="68"/>
      <c r="Y5" s="198"/>
      <c r="Z5" s="300">
        <v>1</v>
      </c>
      <c r="AA5" s="314"/>
      <c r="AB5" s="300">
        <f>Z35+1</f>
        <v>17</v>
      </c>
      <c r="XEN5" s="4" t="str">
        <f>IFERROR(IF(VLOOKUP($L$6,'Datos VF'!$A$5:$AI$5,XEN4)="","",VLOOKUP($L$6,'Datos VF'!$A$5:$AI$5,XEN4,0)),"")</f>
        <v/>
      </c>
      <c r="XEZ5" s="4" t="str">
        <f>IFERROR(IF(VLOOKUP($L$6,'Datos VF'!$A$5:$AI$5,XEZ4)="","",VLOOKUP($L$6,'Datos VF'!$A$5:$AI$5,XEZ4,0)),"")</f>
        <v/>
      </c>
    </row>
    <row r="6" spans="1:31 16368:16380" ht="6" customHeight="1" thickBot="1" x14ac:dyDescent="0.3">
      <c r="A6" s="19"/>
      <c r="B6" s="60"/>
      <c r="C6" s="61"/>
      <c r="D6" s="61"/>
      <c r="E6" s="61"/>
      <c r="F6" s="61"/>
      <c r="G6" s="61"/>
      <c r="H6" s="62"/>
      <c r="I6" s="63"/>
      <c r="J6" s="63"/>
      <c r="K6" s="63"/>
      <c r="L6" s="63"/>
      <c r="M6" s="846"/>
      <c r="N6" s="63"/>
      <c r="O6" s="62"/>
      <c r="P6" s="67"/>
      <c r="Q6" s="63"/>
      <c r="R6" s="63"/>
      <c r="S6" s="73"/>
      <c r="T6" s="73"/>
      <c r="U6" s="73"/>
      <c r="V6" s="62"/>
      <c r="W6" s="62"/>
      <c r="X6" s="64"/>
      <c r="Y6" s="197"/>
    </row>
    <row r="7" spans="1:31 16368:16380" ht="15" customHeight="1" thickTop="1" thickBot="1" x14ac:dyDescent="0.3">
      <c r="A7" s="194" t="str">
        <f ca="1">'Formulario OM'!A7</f>
        <v>SUPERÍNDICE</v>
      </c>
      <c r="B7" s="839" t="str">
        <f ca="1">INDIRECT("Z_OM_04_"&amp;IDIOMA)</f>
        <v>Nombre de la pregunta</v>
      </c>
      <c r="C7" s="840"/>
      <c r="D7" s="840"/>
      <c r="E7" s="840"/>
      <c r="F7" s="840"/>
      <c r="G7" s="840"/>
      <c r="H7" s="772" t="str">
        <f ca="1">IFERROR(INDIRECT("'Datos VF'!a"&amp;(L5-H5+N_I_Tabla)),"")</f>
        <v/>
      </c>
      <c r="I7" s="772"/>
      <c r="J7" s="772"/>
      <c r="K7" s="772"/>
      <c r="L7" s="772"/>
      <c r="M7" s="772"/>
      <c r="N7" s="750" t="str">
        <f ca="1">INDIRECT("Z_OM_14_"&amp;IDIOMA)</f>
        <v>Imagen</v>
      </c>
      <c r="O7" s="844"/>
      <c r="P7" s="844"/>
      <c r="Q7" s="768"/>
      <c r="R7" s="769"/>
      <c r="S7" s="769"/>
      <c r="T7" s="769"/>
      <c r="U7" s="769"/>
      <c r="V7" s="769"/>
      <c r="W7" s="770"/>
      <c r="X7" s="68"/>
      <c r="Y7" s="198"/>
      <c r="Z7" s="300">
        <f>Z5+1</f>
        <v>2</v>
      </c>
      <c r="AA7" s="314"/>
      <c r="AB7" s="300">
        <f>AB5+1</f>
        <v>18</v>
      </c>
      <c r="XEZ7" s="4" t="str">
        <f>IFERROR(IF(VLOOKUP($L$6,'Datos VF'!$A$5:$AI$5,XEZ6)="","",VLOOKUP($L$6,'Datos VF'!$A$5:$AI$5,XEZ6,0)),"")</f>
        <v/>
      </c>
    </row>
    <row r="8" spans="1:31 16368:16380" ht="6" customHeight="1" thickTop="1" x14ac:dyDescent="0.25">
      <c r="A8" s="20"/>
      <c r="B8" s="60"/>
      <c r="C8" s="61"/>
      <c r="D8" s="61"/>
      <c r="E8" s="61"/>
      <c r="F8" s="61"/>
      <c r="G8" s="63"/>
      <c r="H8" s="63"/>
      <c r="I8" s="62"/>
      <c r="J8" s="62"/>
      <c r="K8" s="62"/>
      <c r="L8" s="62"/>
      <c r="M8" s="63"/>
      <c r="N8" s="63"/>
      <c r="O8" s="73"/>
      <c r="P8" s="67"/>
      <c r="Q8" s="63"/>
      <c r="R8" s="73"/>
      <c r="S8" s="73"/>
      <c r="T8" s="73"/>
      <c r="U8" s="73"/>
      <c r="V8" s="837"/>
      <c r="W8" s="837"/>
      <c r="X8" s="64"/>
      <c r="Y8" s="94"/>
    </row>
    <row r="9" spans="1:31 16368:16380" x14ac:dyDescent="0.25">
      <c r="A9" s="194" t="str">
        <f ca="1">'Formulario OM'!A9</f>
        <v>SUBÍNDICE</v>
      </c>
      <c r="B9" s="702" t="str">
        <f ca="1">INDIRECT("Z_OM_05_"&amp;IDIOMA)</f>
        <v>Descripción</v>
      </c>
      <c r="C9" s="700"/>
      <c r="D9" s="700"/>
      <c r="E9" s="700"/>
      <c r="F9" s="700"/>
      <c r="G9" s="700"/>
      <c r="H9" s="771"/>
      <c r="I9" s="771"/>
      <c r="J9" s="771"/>
      <c r="K9" s="771"/>
      <c r="L9" s="771"/>
      <c r="M9" s="771"/>
      <c r="N9" s="73"/>
      <c r="O9" s="74"/>
      <c r="P9" s="67"/>
      <c r="Q9" s="67"/>
      <c r="R9" s="73"/>
      <c r="S9" s="73"/>
      <c r="T9" s="73"/>
      <c r="U9" s="73"/>
      <c r="V9" s="836"/>
      <c r="W9" s="836"/>
      <c r="X9" s="68"/>
      <c r="Y9" s="198"/>
      <c r="Z9" s="300">
        <f>Z7+1</f>
        <v>3</v>
      </c>
      <c r="AA9" s="314"/>
      <c r="AB9" s="300">
        <f>AB7+1</f>
        <v>19</v>
      </c>
    </row>
    <row r="10" spans="1:31 16368:16380" ht="6" customHeight="1" thickBot="1" x14ac:dyDescent="0.3">
      <c r="A10" s="19"/>
      <c r="B10" s="60"/>
      <c r="C10" s="61"/>
      <c r="D10" s="61"/>
      <c r="E10" s="61"/>
      <c r="F10" s="61"/>
      <c r="G10" s="61"/>
      <c r="H10" s="62"/>
      <c r="I10" s="63"/>
      <c r="J10" s="63"/>
      <c r="K10" s="63"/>
      <c r="L10" s="63"/>
      <c r="M10" s="63"/>
      <c r="N10" s="63"/>
      <c r="O10" s="63"/>
      <c r="P10" s="63"/>
      <c r="Q10" s="63"/>
      <c r="R10" s="63"/>
      <c r="S10" s="63"/>
      <c r="T10" s="62"/>
      <c r="U10" s="62"/>
      <c r="V10" s="62"/>
      <c r="W10" s="62"/>
      <c r="X10" s="64"/>
      <c r="Y10" s="94"/>
    </row>
    <row r="11" spans="1:31 16368:16380" ht="15.75" thickTop="1" x14ac:dyDescent="0.25">
      <c r="A11" s="194" t="str">
        <f ca="1">'Formulario OM'!A11</f>
        <v>SALTO LÍNEA</v>
      </c>
      <c r="B11" s="749" t="str">
        <f ca="1">INDIRECT("Z_OM_07_"&amp;IDIOMA)</f>
        <v>Enunciado de la pregunta</v>
      </c>
      <c r="C11" s="750"/>
      <c r="D11" s="750"/>
      <c r="E11" s="750"/>
      <c r="F11" s="750"/>
      <c r="G11" s="841"/>
      <c r="H11" s="827"/>
      <c r="I11" s="828"/>
      <c r="J11" s="828"/>
      <c r="K11" s="828"/>
      <c r="L11" s="828"/>
      <c r="M11" s="828"/>
      <c r="N11" s="828"/>
      <c r="O11" s="828"/>
      <c r="P11" s="828"/>
      <c r="Q11" s="828"/>
      <c r="R11" s="828"/>
      <c r="S11" s="828"/>
      <c r="T11" s="828"/>
      <c r="U11" s="828"/>
      <c r="V11" s="828"/>
      <c r="W11" s="829"/>
      <c r="X11" s="68"/>
      <c r="Y11" s="198"/>
      <c r="Z11" s="300">
        <f>Z9+1</f>
        <v>4</v>
      </c>
      <c r="AA11" s="314"/>
      <c r="AB11" s="300">
        <f>AB9+1</f>
        <v>20</v>
      </c>
    </row>
    <row r="12" spans="1:31 16368:16380" ht="6" customHeight="1" thickBot="1" x14ac:dyDescent="0.3">
      <c r="A12" s="2"/>
      <c r="B12" s="753"/>
      <c r="C12" s="754"/>
      <c r="D12" s="61"/>
      <c r="E12" s="77"/>
      <c r="F12" s="77"/>
      <c r="G12" s="330"/>
      <c r="H12" s="830"/>
      <c r="I12" s="831"/>
      <c r="J12" s="831"/>
      <c r="K12" s="831"/>
      <c r="L12" s="831"/>
      <c r="M12" s="831"/>
      <c r="N12" s="831"/>
      <c r="O12" s="831"/>
      <c r="P12" s="831"/>
      <c r="Q12" s="831"/>
      <c r="R12" s="831"/>
      <c r="S12" s="831"/>
      <c r="T12" s="831"/>
      <c r="U12" s="831"/>
      <c r="V12" s="831"/>
      <c r="W12" s="832"/>
      <c r="X12" s="64"/>
      <c r="Y12" s="94"/>
    </row>
    <row r="13" spans="1:31 16368:16380" x14ac:dyDescent="0.25">
      <c r="A13" s="194" t="str">
        <f ca="1">'Formulario OM'!A13</f>
        <v>CONCATENAR</v>
      </c>
      <c r="B13" s="753"/>
      <c r="C13" s="754"/>
      <c r="D13" s="838" t="str">
        <f>'DATOS GENERALES'!C11</f>
        <v>Moodle
 Editor.
(HTML)</v>
      </c>
      <c r="E13" s="838"/>
      <c r="F13" s="838"/>
      <c r="G13" s="838"/>
      <c r="H13" s="830"/>
      <c r="I13" s="831"/>
      <c r="J13" s="831"/>
      <c r="K13" s="831"/>
      <c r="L13" s="831"/>
      <c r="M13" s="831"/>
      <c r="N13" s="831"/>
      <c r="O13" s="831"/>
      <c r="P13" s="831"/>
      <c r="Q13" s="831"/>
      <c r="R13" s="831"/>
      <c r="S13" s="831"/>
      <c r="T13" s="831"/>
      <c r="U13" s="831"/>
      <c r="V13" s="831"/>
      <c r="W13" s="832"/>
      <c r="X13" s="68"/>
      <c r="Y13" s="198"/>
      <c r="Z13" s="300">
        <f>Z11+1</f>
        <v>5</v>
      </c>
      <c r="AA13" s="314"/>
      <c r="AB13" s="300">
        <f>AB11+1</f>
        <v>21</v>
      </c>
    </row>
    <row r="14" spans="1:31 16368:16380" ht="6" customHeight="1" x14ac:dyDescent="0.25">
      <c r="B14" s="753"/>
      <c r="C14" s="754"/>
      <c r="D14" s="61"/>
      <c r="E14" s="77"/>
      <c r="F14" s="77"/>
      <c r="G14" s="847"/>
      <c r="H14" s="830"/>
      <c r="I14" s="831"/>
      <c r="J14" s="831"/>
      <c r="K14" s="831"/>
      <c r="L14" s="831"/>
      <c r="M14" s="831"/>
      <c r="N14" s="831"/>
      <c r="O14" s="831"/>
      <c r="P14" s="831"/>
      <c r="Q14" s="831"/>
      <c r="R14" s="831"/>
      <c r="S14" s="831"/>
      <c r="T14" s="831"/>
      <c r="U14" s="831"/>
      <c r="V14" s="831"/>
      <c r="W14" s="832"/>
      <c r="X14" s="64"/>
      <c r="Y14" s="94"/>
    </row>
    <row r="15" spans="1:31 16368:16380" x14ac:dyDescent="0.25">
      <c r="A15" s="194" t="str">
        <f ca="1">'Formulario OM'!A15</f>
        <v>NEGRITA</v>
      </c>
      <c r="B15" s="749"/>
      <c r="C15" s="750"/>
      <c r="D15" s="750"/>
      <c r="E15" s="750"/>
      <c r="F15" s="750"/>
      <c r="G15" s="847"/>
      <c r="H15" s="830"/>
      <c r="I15" s="831"/>
      <c r="J15" s="831"/>
      <c r="K15" s="831"/>
      <c r="L15" s="831"/>
      <c r="M15" s="831"/>
      <c r="N15" s="831"/>
      <c r="O15" s="831"/>
      <c r="P15" s="831"/>
      <c r="Q15" s="831"/>
      <c r="R15" s="831"/>
      <c r="S15" s="831"/>
      <c r="T15" s="831"/>
      <c r="U15" s="831"/>
      <c r="V15" s="831"/>
      <c r="W15" s="832"/>
      <c r="X15" s="68"/>
      <c r="Y15" s="198"/>
      <c r="Z15" s="300">
        <f>Z13+1</f>
        <v>6</v>
      </c>
      <c r="AA15" s="314"/>
      <c r="AB15" s="300">
        <f>AB13+1</f>
        <v>22</v>
      </c>
    </row>
    <row r="16" spans="1:31 16368:16380" ht="6" customHeight="1" x14ac:dyDescent="0.25">
      <c r="B16" s="60"/>
      <c r="C16" s="61"/>
      <c r="D16" s="61"/>
      <c r="E16" s="61"/>
      <c r="F16" s="61"/>
      <c r="G16" s="847"/>
      <c r="H16" s="830"/>
      <c r="I16" s="831"/>
      <c r="J16" s="831"/>
      <c r="K16" s="831"/>
      <c r="L16" s="831"/>
      <c r="M16" s="831"/>
      <c r="N16" s="831"/>
      <c r="O16" s="831"/>
      <c r="P16" s="831"/>
      <c r="Q16" s="831"/>
      <c r="R16" s="831"/>
      <c r="S16" s="831"/>
      <c r="T16" s="831"/>
      <c r="U16" s="831"/>
      <c r="V16" s="831"/>
      <c r="W16" s="832"/>
      <c r="X16" s="64"/>
      <c r="Y16" s="94"/>
    </row>
    <row r="17" spans="1:28 16368:16368" ht="15" customHeight="1" x14ac:dyDescent="0.25">
      <c r="A17" s="194" t="str">
        <f ca="1">'Formulario OM'!A17</f>
        <v>ESPACIOS (+1)</v>
      </c>
      <c r="B17" s="65"/>
      <c r="C17" s="66"/>
      <c r="D17" s="66"/>
      <c r="E17" s="66"/>
      <c r="F17" s="66"/>
      <c r="G17" s="61"/>
      <c r="H17" s="830"/>
      <c r="I17" s="831"/>
      <c r="J17" s="831"/>
      <c r="K17" s="831"/>
      <c r="L17" s="831"/>
      <c r="M17" s="831"/>
      <c r="N17" s="831"/>
      <c r="O17" s="831"/>
      <c r="P17" s="831"/>
      <c r="Q17" s="831"/>
      <c r="R17" s="831"/>
      <c r="S17" s="831"/>
      <c r="T17" s="831"/>
      <c r="U17" s="831"/>
      <c r="V17" s="831"/>
      <c r="W17" s="832"/>
      <c r="X17" s="68"/>
      <c r="Y17" s="198"/>
      <c r="Z17" s="300">
        <f>Z15+1</f>
        <v>7</v>
      </c>
      <c r="AA17" s="314"/>
      <c r="AB17" s="300">
        <f>AB15+1</f>
        <v>23</v>
      </c>
    </row>
    <row r="18" spans="1:28 16368:16368" ht="6" customHeight="1" x14ac:dyDescent="0.25">
      <c r="B18" s="60"/>
      <c r="C18" s="61"/>
      <c r="D18" s="61"/>
      <c r="E18" s="61"/>
      <c r="F18" s="61"/>
      <c r="G18" s="61"/>
      <c r="H18" s="830"/>
      <c r="I18" s="831"/>
      <c r="J18" s="831"/>
      <c r="K18" s="831"/>
      <c r="L18" s="831"/>
      <c r="M18" s="831"/>
      <c r="N18" s="831"/>
      <c r="O18" s="831"/>
      <c r="P18" s="831"/>
      <c r="Q18" s="831"/>
      <c r="R18" s="831"/>
      <c r="S18" s="831"/>
      <c r="T18" s="831"/>
      <c r="U18" s="831"/>
      <c r="V18" s="831"/>
      <c r="W18" s="832"/>
      <c r="X18" s="64"/>
      <c r="Y18" s="94"/>
    </row>
    <row r="19" spans="1:28 16368:16368" ht="15.75" customHeight="1" x14ac:dyDescent="0.25">
      <c r="A19" s="194" t="str">
        <f ca="1">'Formulario OM'!A19</f>
        <v>TEXTO ROJO</v>
      </c>
      <c r="B19" s="65"/>
      <c r="C19" s="66"/>
      <c r="D19" s="66"/>
      <c r="E19" s="66"/>
      <c r="F19" s="66"/>
      <c r="G19" s="66"/>
      <c r="H19" s="830"/>
      <c r="I19" s="831"/>
      <c r="J19" s="831"/>
      <c r="K19" s="831"/>
      <c r="L19" s="831"/>
      <c r="M19" s="831"/>
      <c r="N19" s="831"/>
      <c r="O19" s="831"/>
      <c r="P19" s="831"/>
      <c r="Q19" s="831"/>
      <c r="R19" s="831"/>
      <c r="S19" s="831"/>
      <c r="T19" s="831"/>
      <c r="U19" s="831"/>
      <c r="V19" s="831"/>
      <c r="W19" s="832"/>
      <c r="X19" s="68"/>
      <c r="Y19" s="198"/>
      <c r="Z19" s="300">
        <f>Z17+1</f>
        <v>8</v>
      </c>
      <c r="AA19" s="314"/>
      <c r="AB19" s="300">
        <f>AB17+1</f>
        <v>24</v>
      </c>
    </row>
    <row r="20" spans="1:28 16368:16368" ht="6" customHeight="1" x14ac:dyDescent="0.25">
      <c r="A20" s="195"/>
      <c r="B20" s="60"/>
      <c r="C20" s="61"/>
      <c r="D20" s="61"/>
      <c r="E20" s="61"/>
      <c r="F20" s="61"/>
      <c r="G20" s="61"/>
      <c r="H20" s="830"/>
      <c r="I20" s="831"/>
      <c r="J20" s="831"/>
      <c r="K20" s="831"/>
      <c r="L20" s="831"/>
      <c r="M20" s="831"/>
      <c r="N20" s="831"/>
      <c r="O20" s="831"/>
      <c r="P20" s="831"/>
      <c r="Q20" s="831"/>
      <c r="R20" s="831"/>
      <c r="S20" s="831"/>
      <c r="T20" s="831"/>
      <c r="U20" s="831"/>
      <c r="V20" s="831"/>
      <c r="W20" s="832"/>
      <c r="X20" s="64"/>
      <c r="Y20" s="94"/>
    </row>
    <row r="21" spans="1:28 16368:16368" x14ac:dyDescent="0.25">
      <c r="A21" s="194" t="str">
        <f ca="1">'Formulario OM'!A21</f>
        <v>TEXTO AZUL</v>
      </c>
      <c r="B21" s="65"/>
      <c r="C21" s="66"/>
      <c r="D21" s="66"/>
      <c r="E21" s="66"/>
      <c r="F21" s="215"/>
      <c r="G21" s="62"/>
      <c r="H21" s="830"/>
      <c r="I21" s="831"/>
      <c r="J21" s="831"/>
      <c r="K21" s="831"/>
      <c r="L21" s="831"/>
      <c r="M21" s="831"/>
      <c r="N21" s="831"/>
      <c r="O21" s="831"/>
      <c r="P21" s="831"/>
      <c r="Q21" s="831"/>
      <c r="R21" s="831"/>
      <c r="S21" s="831"/>
      <c r="T21" s="831"/>
      <c r="U21" s="831"/>
      <c r="V21" s="831"/>
      <c r="W21" s="832"/>
      <c r="X21" s="68"/>
      <c r="Y21" s="198"/>
      <c r="Z21" s="300">
        <f>Z19+1</f>
        <v>9</v>
      </c>
      <c r="AA21" s="314"/>
      <c r="AB21" s="300">
        <f>AB19+1</f>
        <v>25</v>
      </c>
      <c r="XEN21" s="4" t="str">
        <f>IFERROR(IF(VLOOKUP($L$6,'Datos VF'!$A$5:$AI$5,XEN20)="","",VLOOKUP($L$6,'Datos VF'!$A$5:$AI$5,XEN20,0)),"")</f>
        <v/>
      </c>
    </row>
    <row r="22" spans="1:28 16368:16368" ht="6" customHeight="1" x14ac:dyDescent="0.25">
      <c r="B22" s="60"/>
      <c r="C22" s="61"/>
      <c r="D22" s="61"/>
      <c r="E22" s="61"/>
      <c r="F22" s="61"/>
      <c r="G22" s="61"/>
      <c r="H22" s="830"/>
      <c r="I22" s="831"/>
      <c r="J22" s="831"/>
      <c r="K22" s="831"/>
      <c r="L22" s="831"/>
      <c r="M22" s="831"/>
      <c r="N22" s="831"/>
      <c r="O22" s="831"/>
      <c r="P22" s="831"/>
      <c r="Q22" s="831"/>
      <c r="R22" s="831"/>
      <c r="S22" s="831"/>
      <c r="T22" s="831"/>
      <c r="U22" s="831"/>
      <c r="V22" s="831"/>
      <c r="W22" s="832"/>
      <c r="X22" s="64"/>
      <c r="Y22" s="94"/>
      <c r="Z22" s="17"/>
    </row>
    <row r="23" spans="1:28 16368:16368" x14ac:dyDescent="0.25">
      <c r="A23" s="194" t="str">
        <f ca="1">'Formulario OM'!A23</f>
        <v>OTRO COLOR</v>
      </c>
      <c r="B23" s="65"/>
      <c r="C23" s="66"/>
      <c r="D23" s="66"/>
      <c r="E23" s="66"/>
      <c r="F23" s="66"/>
      <c r="G23" s="66"/>
      <c r="H23" s="830"/>
      <c r="I23" s="831"/>
      <c r="J23" s="831"/>
      <c r="K23" s="831"/>
      <c r="L23" s="831"/>
      <c r="M23" s="831"/>
      <c r="N23" s="831"/>
      <c r="O23" s="831"/>
      <c r="P23" s="831"/>
      <c r="Q23" s="831"/>
      <c r="R23" s="831"/>
      <c r="S23" s="831"/>
      <c r="T23" s="831"/>
      <c r="U23" s="831"/>
      <c r="V23" s="831"/>
      <c r="W23" s="832"/>
      <c r="X23" s="68"/>
      <c r="Y23" s="198"/>
      <c r="Z23" s="300">
        <f>Z21+1</f>
        <v>10</v>
      </c>
      <c r="AA23" s="314"/>
      <c r="AB23" s="300">
        <f>AB21+1</f>
        <v>26</v>
      </c>
      <c r="XEN23" s="4" t="str">
        <f>IFERROR(IF(VLOOKUP($L$6,'Datos VF'!$A$5:$AI$5,XEN22)="","",VLOOKUP($L$6,'Datos VF'!$A$5:$AI$5,XEN22,0)),"")</f>
        <v/>
      </c>
    </row>
    <row r="24" spans="1:28 16368:16368" ht="6" customHeight="1" thickBot="1" x14ac:dyDescent="0.3">
      <c r="B24" s="65"/>
      <c r="C24" s="66"/>
      <c r="D24" s="66"/>
      <c r="E24" s="66"/>
      <c r="F24" s="66"/>
      <c r="G24" s="66"/>
      <c r="H24" s="830"/>
      <c r="I24" s="831"/>
      <c r="J24" s="831"/>
      <c r="K24" s="831"/>
      <c r="L24" s="831"/>
      <c r="M24" s="831"/>
      <c r="N24" s="831"/>
      <c r="O24" s="831"/>
      <c r="P24" s="831"/>
      <c r="Q24" s="831"/>
      <c r="R24" s="831"/>
      <c r="S24" s="831"/>
      <c r="T24" s="831"/>
      <c r="U24" s="831"/>
      <c r="V24" s="831"/>
      <c r="W24" s="832"/>
      <c r="X24" s="68"/>
      <c r="Y24" s="4"/>
      <c r="Z24" s="17"/>
    </row>
    <row r="25" spans="1:28 16368:16368" ht="15" customHeight="1" thickBot="1" x14ac:dyDescent="0.3">
      <c r="A25" s="737" t="str">
        <f ca="1">'Formulario OM'!A25</f>
        <v>INSERTAR
IMÁGENES</v>
      </c>
      <c r="B25" s="65"/>
      <c r="C25" s="66"/>
      <c r="D25" s="66"/>
      <c r="E25" s="66"/>
      <c r="F25" s="66"/>
      <c r="G25" s="66"/>
      <c r="H25" s="833"/>
      <c r="I25" s="834"/>
      <c r="J25" s="834"/>
      <c r="K25" s="834"/>
      <c r="L25" s="834"/>
      <c r="M25" s="834"/>
      <c r="N25" s="834"/>
      <c r="O25" s="834"/>
      <c r="P25" s="834"/>
      <c r="Q25" s="834"/>
      <c r="R25" s="834"/>
      <c r="S25" s="834"/>
      <c r="T25" s="834"/>
      <c r="U25" s="834"/>
      <c r="V25" s="834"/>
      <c r="W25" s="835"/>
      <c r="X25" s="68"/>
      <c r="Y25" s="198"/>
      <c r="Z25" s="300">
        <f>Z23+1</f>
        <v>11</v>
      </c>
      <c r="AA25" s="314"/>
      <c r="AB25" s="300">
        <f>AB23+1</f>
        <v>27</v>
      </c>
      <c r="XEN25" s="4" t="str">
        <f>IFERROR(IF(VLOOKUP($L$6,'Datos VF'!$A$5:$AI$5,XEN24)="","",VLOOKUP($L$6,'Datos VF'!$A$5:$AI$5,XEN24,0)),"")</f>
        <v/>
      </c>
    </row>
    <row r="26" spans="1:28 16368:16368" ht="6" customHeight="1" thickTop="1" thickBot="1" x14ac:dyDescent="0.3">
      <c r="A26" s="738"/>
      <c r="B26" s="65"/>
      <c r="C26" s="69"/>
      <c r="D26" s="69"/>
      <c r="E26" s="69"/>
      <c r="F26" s="69"/>
      <c r="G26" s="66"/>
      <c r="H26" s="62"/>
      <c r="I26" s="63"/>
      <c r="J26" s="63"/>
      <c r="K26" s="63"/>
      <c r="L26" s="63"/>
      <c r="M26" s="63"/>
      <c r="N26" s="63"/>
      <c r="O26" s="63"/>
      <c r="P26" s="63"/>
      <c r="Q26" s="63"/>
      <c r="R26" s="63"/>
      <c r="S26" s="63"/>
      <c r="T26" s="62"/>
      <c r="U26" s="63"/>
      <c r="V26" s="63"/>
      <c r="W26" s="63"/>
      <c r="X26" s="68"/>
      <c r="Y26" s="94"/>
      <c r="Z26" s="17"/>
    </row>
    <row r="27" spans="1:28 16368:16368" ht="15" customHeight="1" thickTop="1" thickBot="1" x14ac:dyDescent="0.3">
      <c r="A27" s="739"/>
      <c r="B27" s="65"/>
      <c r="C27" s="750" t="str">
        <f ca="1">INDIRECT("z_om_08_"&amp;IDIOMA)</f>
        <v>Respuesta Correcta</v>
      </c>
      <c r="D27" s="750"/>
      <c r="E27" s="750"/>
      <c r="F27" s="750"/>
      <c r="G27" s="750"/>
      <c r="H27" s="826"/>
      <c r="I27" s="826"/>
      <c r="J27" s="826"/>
      <c r="K27" s="826"/>
      <c r="L27" s="826"/>
      <c r="M27" s="826"/>
      <c r="N27" s="826"/>
      <c r="O27" s="826"/>
      <c r="P27" s="842" t="str">
        <f ca="1">'Formulario OM'!R17</f>
        <v>Retroalim.</v>
      </c>
      <c r="Q27" s="842"/>
      <c r="R27" s="842"/>
      <c r="S27" s="843"/>
      <c r="T27" s="762"/>
      <c r="U27" s="763"/>
      <c r="V27" s="763"/>
      <c r="W27" s="764"/>
      <c r="X27" s="68"/>
      <c r="Y27" s="198"/>
      <c r="Z27" s="300">
        <f>Z25+1</f>
        <v>12</v>
      </c>
      <c r="AA27" s="314"/>
      <c r="AB27" s="300">
        <f>AB25+1</f>
        <v>28</v>
      </c>
      <c r="XEN27" s="4" t="str">
        <f>IFERROR(IF(VLOOKUP($L$6,'Datos VF'!$A$5:$AI$5,XEN26)="","",VLOOKUP($L$6,'Datos VF'!$A$5:$AI$5,XEN26,0)),"")</f>
        <v/>
      </c>
    </row>
    <row r="28" spans="1:28 16368:16368" ht="6" customHeight="1" thickBot="1" x14ac:dyDescent="0.3">
      <c r="B28" s="65"/>
      <c r="C28" s="69"/>
      <c r="D28" s="69"/>
      <c r="E28" s="69"/>
      <c r="F28" s="69"/>
      <c r="G28" s="66"/>
      <c r="H28" s="62"/>
      <c r="I28" s="63"/>
      <c r="J28" s="63"/>
      <c r="K28" s="63"/>
      <c r="L28" s="63"/>
      <c r="M28" s="63"/>
      <c r="N28" s="63"/>
      <c r="O28" s="63"/>
      <c r="P28" s="63"/>
      <c r="Q28" s="63"/>
      <c r="R28" s="63"/>
      <c r="S28" s="63"/>
      <c r="T28" s="62"/>
      <c r="U28" s="62"/>
      <c r="V28" s="62"/>
      <c r="W28" s="62"/>
      <c r="X28" s="68"/>
      <c r="Y28" s="94"/>
      <c r="Z28" s="17"/>
    </row>
    <row r="29" spans="1:28 16368:16368" ht="15" customHeight="1" thickTop="1" thickBot="1" x14ac:dyDescent="0.3">
      <c r="A29" s="737" t="str">
        <f ca="1">'Formulario OM'!A29</f>
        <v>USAR DATOS VARIABLES</v>
      </c>
      <c r="B29" s="65"/>
      <c r="C29" s="66"/>
      <c r="D29" s="66"/>
      <c r="E29" s="69"/>
      <c r="F29" s="215"/>
      <c r="G29" s="76"/>
      <c r="H29" s="750" t="str">
        <f ca="1">P27&amp;" "&amp;'Formulario OM'!G18</f>
        <v>Retroalim. Respuesta Incorrecta</v>
      </c>
      <c r="I29" s="750"/>
      <c r="J29" s="750"/>
      <c r="K29" s="750"/>
      <c r="L29" s="750"/>
      <c r="M29" s="750"/>
      <c r="N29" s="750"/>
      <c r="O29" s="750"/>
      <c r="P29" s="750"/>
      <c r="Q29" s="750"/>
      <c r="R29" s="750"/>
      <c r="S29" s="841"/>
      <c r="T29" s="762"/>
      <c r="U29" s="763"/>
      <c r="V29" s="763"/>
      <c r="W29" s="764"/>
      <c r="X29" s="180"/>
      <c r="Y29" s="198"/>
      <c r="Z29" s="300">
        <f>Z27+1</f>
        <v>13</v>
      </c>
      <c r="AA29" s="314"/>
      <c r="AB29" s="300">
        <f>AB27+1</f>
        <v>29</v>
      </c>
    </row>
    <row r="30" spans="1:28 16368:16368" ht="6" customHeight="1" thickTop="1" x14ac:dyDescent="0.25">
      <c r="A30" s="738"/>
      <c r="B30" s="65"/>
      <c r="C30" s="69"/>
      <c r="D30" s="69"/>
      <c r="E30" s="69"/>
      <c r="F30" s="77">
        <v>1</v>
      </c>
      <c r="G30" s="66"/>
      <c r="H30" s="62"/>
      <c r="I30" s="63"/>
      <c r="J30" s="63"/>
      <c r="K30" s="63"/>
      <c r="L30" s="63"/>
      <c r="M30" s="63"/>
      <c r="N30" s="63"/>
      <c r="O30" s="63"/>
      <c r="P30" s="63"/>
      <c r="Q30" s="63"/>
      <c r="R30" s="63"/>
      <c r="S30" s="63"/>
      <c r="T30" s="62"/>
      <c r="U30" s="62"/>
      <c r="V30" s="62"/>
      <c r="W30" s="62"/>
      <c r="X30" s="180"/>
      <c r="Y30" s="94"/>
      <c r="Z30" s="17"/>
    </row>
    <row r="31" spans="1:28 16368:16368" ht="15.75" thickBot="1" x14ac:dyDescent="0.3">
      <c r="A31" s="739"/>
      <c r="B31" s="65"/>
      <c r="C31" s="66"/>
      <c r="D31" s="66"/>
      <c r="E31" s="69"/>
      <c r="F31" s="77"/>
      <c r="G31" s="795" t="str">
        <f ca="1">INDIRECT("Z_OM_11_"&amp;IDIOMA)</f>
        <v>PISTA</v>
      </c>
      <c r="H31" s="795"/>
      <c r="I31" s="795"/>
      <c r="J31" s="795"/>
      <c r="K31" s="795"/>
      <c r="L31" s="795"/>
      <c r="M31" s="795"/>
      <c r="N31" s="795"/>
      <c r="O31" s="795"/>
      <c r="P31" s="795"/>
      <c r="Q31" s="795"/>
      <c r="R31" s="179"/>
      <c r="S31" s="697"/>
      <c r="T31" s="697"/>
      <c r="U31" s="697"/>
      <c r="V31" s="697"/>
      <c r="W31" s="697"/>
      <c r="X31" s="783"/>
      <c r="Y31" s="198"/>
      <c r="Z31" s="300">
        <f>Z29+1</f>
        <v>14</v>
      </c>
      <c r="AA31" s="314"/>
      <c r="AB31" s="300">
        <f>AB29+1</f>
        <v>30</v>
      </c>
    </row>
    <row r="32" spans="1:28 16368:16368" ht="6" customHeight="1" thickBot="1" x14ac:dyDescent="0.3">
      <c r="A32" s="195"/>
      <c r="B32" s="65"/>
      <c r="C32" s="747" t="s">
        <v>138</v>
      </c>
      <c r="D32" s="747"/>
      <c r="E32" s="69"/>
      <c r="F32" s="77"/>
      <c r="G32" s="76"/>
      <c r="H32" s="76"/>
      <c r="I32" s="76"/>
      <c r="J32" s="70"/>
      <c r="K32" s="70"/>
      <c r="L32" s="70"/>
      <c r="M32" s="76"/>
      <c r="N32" s="70"/>
      <c r="O32" s="70"/>
      <c r="P32" s="70"/>
      <c r="Q32" s="70"/>
      <c r="R32" s="179"/>
      <c r="S32" s="697"/>
      <c r="T32" s="697"/>
      <c r="U32" s="697"/>
      <c r="V32" s="697"/>
      <c r="W32" s="697"/>
      <c r="X32" s="783"/>
      <c r="Y32" s="94"/>
    </row>
    <row r="33" spans="1:28" ht="15.75" customHeight="1" thickTop="1" thickBot="1" x14ac:dyDescent="0.3">
      <c r="A33" s="194" t="str">
        <f ca="1">'Formulario OM'!A33</f>
        <v>ACTIVAR</v>
      </c>
      <c r="B33" s="65"/>
      <c r="C33" s="747"/>
      <c r="D33" s="747"/>
      <c r="E33" s="69"/>
      <c r="F33" s="215" t="s">
        <v>858</v>
      </c>
      <c r="G33" s="762"/>
      <c r="H33" s="763"/>
      <c r="I33" s="763"/>
      <c r="J33" s="763"/>
      <c r="K33" s="764"/>
      <c r="L33" s="215" t="s">
        <v>856</v>
      </c>
      <c r="M33" s="762"/>
      <c r="N33" s="763"/>
      <c r="O33" s="763"/>
      <c r="P33" s="763"/>
      <c r="Q33" s="764"/>
      <c r="R33" s="179"/>
      <c r="S33" s="697"/>
      <c r="T33" s="697"/>
      <c r="U33" s="697"/>
      <c r="V33" s="697"/>
      <c r="W33" s="697"/>
      <c r="X33" s="783"/>
      <c r="Y33" s="198"/>
      <c r="Z33" s="300">
        <f>Z31+1</f>
        <v>15</v>
      </c>
      <c r="AA33" s="314"/>
      <c r="AB33" s="300">
        <f>AB31+1</f>
        <v>31</v>
      </c>
    </row>
    <row r="34" spans="1:28" ht="6" customHeight="1" thickTop="1" thickBot="1" x14ac:dyDescent="0.3">
      <c r="A34" s="2"/>
      <c r="B34" s="65"/>
      <c r="C34" s="747"/>
      <c r="D34" s="747"/>
      <c r="E34" s="69"/>
      <c r="F34" s="77"/>
      <c r="G34" s="76"/>
      <c r="H34" s="76"/>
      <c r="I34" s="76"/>
      <c r="J34" s="70"/>
      <c r="K34" s="70"/>
      <c r="L34" s="70"/>
      <c r="M34" s="76"/>
      <c r="N34" s="71"/>
      <c r="O34" s="71"/>
      <c r="P34" s="71"/>
      <c r="Q34" s="71"/>
      <c r="R34" s="179"/>
      <c r="S34" s="697"/>
      <c r="T34" s="697"/>
      <c r="U34" s="697"/>
      <c r="V34" s="697"/>
      <c r="W34" s="697"/>
      <c r="X34" s="783"/>
      <c r="Y34" s="94"/>
    </row>
    <row r="35" spans="1:28" ht="15.75" customHeight="1" thickTop="1" thickBot="1" x14ac:dyDescent="0.3">
      <c r="A35" s="194" t="str">
        <f ca="1">'Formulario OM'!A35</f>
        <v>DESACTIVAR</v>
      </c>
      <c r="B35" s="65"/>
      <c r="C35" s="747"/>
      <c r="D35" s="747"/>
      <c r="E35" s="69"/>
      <c r="F35" s="215" t="s">
        <v>859</v>
      </c>
      <c r="G35" s="762"/>
      <c r="H35" s="763"/>
      <c r="I35" s="763"/>
      <c r="J35" s="763"/>
      <c r="K35" s="764"/>
      <c r="L35" s="215" t="s">
        <v>857</v>
      </c>
      <c r="M35" s="762"/>
      <c r="N35" s="763"/>
      <c r="O35" s="763"/>
      <c r="P35" s="763"/>
      <c r="Q35" s="764"/>
      <c r="R35" s="179"/>
      <c r="S35" s="697"/>
      <c r="T35" s="697"/>
      <c r="U35" s="697"/>
      <c r="V35" s="697"/>
      <c r="W35" s="697"/>
      <c r="X35" s="783"/>
      <c r="Y35" s="198"/>
      <c r="Z35" s="300">
        <f>Z33+1</f>
        <v>16</v>
      </c>
      <c r="AA35" s="314"/>
      <c r="AB35" s="300">
        <f>AB33+1</f>
        <v>32</v>
      </c>
    </row>
    <row r="36" spans="1:28" ht="9.9499999999999993" customHeight="1" thickTop="1" thickBot="1" x14ac:dyDescent="0.3">
      <c r="A36" s="653" t="str">
        <f>IF(AB2&gt;0,AB2,"")</f>
        <v/>
      </c>
      <c r="B36" s="315"/>
      <c r="C36" s="336" t="str">
        <f>Version</f>
        <v xml:space="preserve">   V - 5.0 </v>
      </c>
      <c r="D36" s="72"/>
      <c r="E36" s="72"/>
      <c r="F36" s="233">
        <v>4</v>
      </c>
      <c r="G36" s="72"/>
      <c r="H36" s="72"/>
      <c r="I36" s="72"/>
      <c r="J36" s="72"/>
      <c r="K36" s="72"/>
      <c r="L36" s="72"/>
      <c r="M36" s="72"/>
      <c r="N36" s="72"/>
      <c r="O36" s="72"/>
      <c r="P36" s="72"/>
      <c r="Q36" s="72"/>
      <c r="R36" s="181"/>
      <c r="S36" s="784"/>
      <c r="T36" s="784"/>
      <c r="U36" s="784"/>
      <c r="V36" s="784"/>
      <c r="W36" s="784"/>
      <c r="X36" s="785"/>
      <c r="Y36" s="94"/>
    </row>
    <row r="37" spans="1:28" s="3" customFormat="1" ht="15.75" hidden="1" customHeight="1" thickTop="1" x14ac:dyDescent="0.25">
      <c r="G37" s="48">
        <v>301</v>
      </c>
      <c r="I37" s="332" t="s">
        <v>12</v>
      </c>
      <c r="J37" s="332" t="s">
        <v>16</v>
      </c>
      <c r="M37" s="302" t="b">
        <v>1</v>
      </c>
      <c r="N37" s="302" t="b">
        <f>Centrar_Tabla</f>
        <v>1</v>
      </c>
      <c r="Y37" s="6"/>
    </row>
    <row r="38" spans="1:28" s="3" customFormat="1" ht="15.75" hidden="1" customHeight="1" x14ac:dyDescent="0.25">
      <c r="A38" s="6"/>
      <c r="B38" s="18"/>
      <c r="C38" s="18"/>
      <c r="D38" s="18"/>
      <c r="E38" s="18"/>
      <c r="F38" s="18"/>
      <c r="G38" s="18"/>
      <c r="I38" s="333" t="str">
        <f ca="1">INDIRECT("Z_VF_01_"&amp;IDIOMA)</f>
        <v>VERDADERO</v>
      </c>
      <c r="J38" s="333" t="str">
        <f ca="1">INDIRECT("Z_VF_02_"&amp;IDIOMA)</f>
        <v>FALSO</v>
      </c>
      <c r="M38" s="3">
        <v>0</v>
      </c>
      <c r="Y38" s="6"/>
    </row>
    <row r="39" spans="1:28" s="3" customFormat="1" hidden="1" x14ac:dyDescent="0.25">
      <c r="A39" s="6"/>
      <c r="I39" s="3" t="str">
        <f>I37</f>
        <v>true</v>
      </c>
      <c r="J39" s="3" t="str">
        <f>J37</f>
        <v>false</v>
      </c>
      <c r="Y39" s="6"/>
    </row>
    <row r="40" spans="1:28" s="3" customFormat="1" ht="5.0999999999999996" customHeight="1" thickTop="1" x14ac:dyDescent="0.25">
      <c r="A40" s="6"/>
      <c r="Y40" s="6"/>
    </row>
    <row r="41" spans="1:28" s="3" customFormat="1" ht="15" customHeight="1" x14ac:dyDescent="0.25">
      <c r="A41" s="199"/>
      <c r="Y41" s="6"/>
    </row>
    <row r="42" spans="1:28" s="3" customFormat="1" hidden="1" x14ac:dyDescent="0.25">
      <c r="A42" s="6"/>
      <c r="Y42" s="6"/>
    </row>
    <row r="43" spans="1:28" s="3" customFormat="1" hidden="1" x14ac:dyDescent="0.25">
      <c r="A43" s="6"/>
      <c r="Y43" s="6"/>
    </row>
    <row r="44" spans="1:28" s="3" customFormat="1" hidden="1" x14ac:dyDescent="0.25">
      <c r="A44" s="6"/>
      <c r="Y44" s="6"/>
    </row>
    <row r="45" spans="1:28" s="3" customFormat="1" hidden="1" x14ac:dyDescent="0.25">
      <c r="A45" s="6"/>
      <c r="Y45" s="6"/>
    </row>
    <row r="46" spans="1:28" s="3" customFormat="1" hidden="1" x14ac:dyDescent="0.25">
      <c r="Y46" s="6"/>
    </row>
    <row r="47" spans="1:28" s="3" customFormat="1" hidden="1" x14ac:dyDescent="0.25">
      <c r="A47"/>
      <c r="Y47" s="6"/>
    </row>
    <row r="48" spans="1:28" s="3" customFormat="1" hidden="1" x14ac:dyDescent="0.25">
      <c r="A48"/>
      <c r="Y48" s="6"/>
    </row>
    <row r="49" spans="1:25" s="3" customFormat="1" hidden="1" x14ac:dyDescent="0.25">
      <c r="A49"/>
      <c r="Y49" s="6"/>
    </row>
    <row r="50" spans="1:25" s="3" customFormat="1" hidden="1" x14ac:dyDescent="0.25">
      <c r="A50"/>
      <c r="Y50" s="6"/>
    </row>
    <row r="51" spans="1:25" s="3" customFormat="1" hidden="1" x14ac:dyDescent="0.25">
      <c r="A51"/>
      <c r="Y51" s="6"/>
    </row>
    <row r="52" spans="1:25" s="3" customFormat="1" hidden="1" x14ac:dyDescent="0.25">
      <c r="A52"/>
      <c r="Y52" s="6"/>
    </row>
    <row r="53" spans="1:25" s="3" customFormat="1" hidden="1" x14ac:dyDescent="0.25">
      <c r="A53"/>
      <c r="Y53" s="6"/>
    </row>
    <row r="54" spans="1:25" s="3" customFormat="1" hidden="1" x14ac:dyDescent="0.25">
      <c r="A54"/>
      <c r="Y54" s="6"/>
    </row>
    <row r="55" spans="1:25" s="3" customFormat="1" hidden="1" x14ac:dyDescent="0.25">
      <c r="A55"/>
      <c r="Y55" s="6"/>
    </row>
    <row r="56" spans="1:25" s="3" customFormat="1" hidden="1" x14ac:dyDescent="0.25">
      <c r="A56"/>
      <c r="Y56" s="6"/>
    </row>
    <row r="57" spans="1:25" s="3" customFormat="1" hidden="1" x14ac:dyDescent="0.25">
      <c r="A57"/>
      <c r="Y57" s="6"/>
    </row>
    <row r="58" spans="1:25" s="3" customFormat="1" hidden="1" x14ac:dyDescent="0.25">
      <c r="A58"/>
      <c r="Y58" s="6"/>
    </row>
    <row r="59" spans="1:25" s="3" customFormat="1" hidden="1" x14ac:dyDescent="0.25">
      <c r="A59"/>
      <c r="Y59" s="6"/>
    </row>
    <row r="60" spans="1:25" s="3" customFormat="1" hidden="1" x14ac:dyDescent="0.25">
      <c r="A60"/>
      <c r="Y60" s="6"/>
    </row>
    <row r="61" spans="1:25" s="3" customFormat="1" hidden="1" x14ac:dyDescent="0.25">
      <c r="A61"/>
      <c r="Y61" s="6"/>
    </row>
    <row r="62" spans="1:25" s="3" customFormat="1" hidden="1" x14ac:dyDescent="0.25">
      <c r="A62"/>
      <c r="Y62" s="6"/>
    </row>
    <row r="63" spans="1:25" s="3" customFormat="1" hidden="1" x14ac:dyDescent="0.25">
      <c r="A63"/>
      <c r="Y63" s="6"/>
    </row>
    <row r="64" spans="1:25" s="3" customFormat="1" hidden="1" x14ac:dyDescent="0.25">
      <c r="A64"/>
      <c r="Y64" s="6"/>
    </row>
    <row r="65" spans="1:25" s="3" customFormat="1" hidden="1" x14ac:dyDescent="0.25">
      <c r="A65"/>
      <c r="Y65" s="6"/>
    </row>
    <row r="66" spans="1:25" s="3" customFormat="1" hidden="1" x14ac:dyDescent="0.25">
      <c r="A66"/>
      <c r="Y66" s="6"/>
    </row>
    <row r="67" spans="1:25" s="3" customFormat="1" hidden="1" x14ac:dyDescent="0.25">
      <c r="A67"/>
      <c r="Y67" s="6"/>
    </row>
    <row r="68" spans="1:25" s="3" customFormat="1" hidden="1" x14ac:dyDescent="0.25">
      <c r="A68"/>
      <c r="Y68" s="6"/>
    </row>
    <row r="69" spans="1:25" s="3" customFormat="1" hidden="1" x14ac:dyDescent="0.25">
      <c r="A69"/>
      <c r="Y69" s="6"/>
    </row>
    <row r="70" spans="1:25" s="3" customFormat="1" hidden="1" x14ac:dyDescent="0.25">
      <c r="A70"/>
      <c r="Y70" s="6"/>
    </row>
    <row r="71" spans="1:25" s="3" customFormat="1" hidden="1" x14ac:dyDescent="0.25">
      <c r="A71"/>
      <c r="Y71" s="6"/>
    </row>
    <row r="72" spans="1:25" s="3" customFormat="1" hidden="1" x14ac:dyDescent="0.25">
      <c r="A72"/>
      <c r="Y72" s="6"/>
    </row>
  </sheetData>
  <sheetProtection algorithmName="SHA-512" hashValue="97E4EbWLX6mNOFdUHbbpgLX3YjPWdGDrxnZzr9CV2HIMao8WXrS5+q9bOrPNa7P1wKHyzD7rRbssUunfgjZnzA==" saltValue="OLGSsZsMdK/Mhre4o3ze+Q==" spinCount="100000" sheet="1" objects="1" scenarios="1" selectLockedCells="1"/>
  <mergeCells count="43">
    <mergeCell ref="H29:S29"/>
    <mergeCell ref="G33:K33"/>
    <mergeCell ref="M33:Q33"/>
    <mergeCell ref="G35:K35"/>
    <mergeCell ref="M35:Q35"/>
    <mergeCell ref="B5:G5"/>
    <mergeCell ref="B7:G7"/>
    <mergeCell ref="B9:G9"/>
    <mergeCell ref="B11:G11"/>
    <mergeCell ref="P27:S27"/>
    <mergeCell ref="N7:P7"/>
    <mergeCell ref="C27:G27"/>
    <mergeCell ref="I5:K5"/>
    <mergeCell ref="B12:C14"/>
    <mergeCell ref="M4:M6"/>
    <mergeCell ref="B15:F15"/>
    <mergeCell ref="G14:G16"/>
    <mergeCell ref="N5:Q5"/>
    <mergeCell ref="A1:A3"/>
    <mergeCell ref="Y1:Y3"/>
    <mergeCell ref="R2:S2"/>
    <mergeCell ref="P2:Q2"/>
    <mergeCell ref="N2:O2"/>
    <mergeCell ref="L2:M2"/>
    <mergeCell ref="V2:W2"/>
    <mergeCell ref="T2:U2"/>
    <mergeCell ref="B1:K3"/>
    <mergeCell ref="A29:A31"/>
    <mergeCell ref="A25:A27"/>
    <mergeCell ref="R5:W5"/>
    <mergeCell ref="H27:O27"/>
    <mergeCell ref="T27:W27"/>
    <mergeCell ref="H9:M9"/>
    <mergeCell ref="Q7:W7"/>
    <mergeCell ref="H11:W25"/>
    <mergeCell ref="S31:X36"/>
    <mergeCell ref="H7:M7"/>
    <mergeCell ref="V9:W9"/>
    <mergeCell ref="V8:W8"/>
    <mergeCell ref="G31:Q31"/>
    <mergeCell ref="T29:W29"/>
    <mergeCell ref="D13:G13"/>
    <mergeCell ref="C32:D35"/>
  </mergeCells>
  <conditionalFormatting sqref="AA2">
    <cfRule type="expression" dxfId="513" priority="1">
      <formula>$Z$2="OK"</formula>
    </cfRule>
  </conditionalFormatting>
  <dataValidations xWindow="118" yWindow="645" count="5">
    <dataValidation type="whole" allowBlank="1" showInputMessage="1" showErrorMessage="1" sqref="H5">
      <formula1>1</formula1>
      <formula2>1000</formula2>
    </dataValidation>
    <dataValidation allowBlank="1" showErrorMessage="1" promptTitle="Nº Pregunta" prompt="Número de la PREGUNTA que se está consultando. Si quires que el primer número de este banco de preguntas sea mayor (11, 21, 31...) incrementa el rango en la casilla Nº INICIAL del BANCO de PREGUNTAS." sqref="L5"/>
    <dataValidation allowBlank="1" showErrorMessage="1" promptTitle="Descripción" prompt="Escirbe lo que quieras que aparezca en el NOMBRE de la pregunta. Éste se formará con el PREFIJO puesto en Datos Generales + el número de la pregunta + la Descripción." sqref="H9"/>
    <dataValidation allowBlank="1" showErrorMessage="1" promptTitle="Retroalimentación" prompt="Escribe el comentario que quieres que aparezca para la respuesta incorrecta." sqref="T29 T27"/>
    <dataValidation type="list" allowBlank="1" showErrorMessage="1" promptTitle="Respuestas" prompt="Escribe VERDADERO o FALSO" sqref="H27:O27">
      <formula1>$I$38:$J$38</formula1>
    </dataValidation>
  </dataValidations>
  <hyperlinks>
    <hyperlink ref="B1:K3" r:id="rId1" display="https://youtu.be/82WmbR3vKeQ"/>
  </hyperlinks>
  <printOptions horizontalCentered="1" verticalCentered="1"/>
  <pageMargins left="0.59055118110236227" right="0.59055118110236227" top="0.78740157480314965" bottom="0.78740157480314965" header="0.78740157480314965" footer="0.78740157480314965"/>
  <pageSetup paperSize="9" scale="84" orientation="landscape" horizontalDpi="1200" verticalDpi="1200" r:id="rId2"/>
  <headerFooter>
    <oddHeader>&amp;L&amp;G&amp;C&amp;"-,Negrita"&amp;12Elaborado por
MILAGROS HUERTA GÓMEZ DE MERODIO
(Universidad de Cádiz)&amp;R&amp;A</oddHeader>
    <oddFooter>&amp;C&amp;F&amp;RPg. &amp;P/&amp;N</oddFooter>
  </headerFooter>
  <drawing r:id="rId3"/>
  <legacyDrawing r:id="rId4"/>
  <legacyDrawingHF r:id="rId5"/>
  <mc:AlternateContent xmlns:mc="http://schemas.openxmlformats.org/markup-compatibility/2006">
    <mc:Choice Requires="x14">
      <controls>
        <mc:AlternateContent xmlns:mc="http://schemas.openxmlformats.org/markup-compatibility/2006">
          <mc:Choice Requires="x14">
            <control shapeId="7169" r:id="rId6" name="Contador 10">
              <controlPr defaultSize="0" autoPict="0" macro="[0]!Cambiar_N_I_Banco_Preguntas" altText="Para consultar los datos de cada pregunta.">
                <anchor moveWithCells="1" sizeWithCells="1">
                  <from>
                    <xdr:col>7</xdr:col>
                    <xdr:colOff>323850</xdr:colOff>
                    <xdr:row>3</xdr:row>
                    <xdr:rowOff>66675</xdr:rowOff>
                  </from>
                  <to>
                    <xdr:col>8</xdr:col>
                    <xdr:colOff>28575</xdr:colOff>
                    <xdr:row>5</xdr:row>
                    <xdr:rowOff>9525</xdr:rowOff>
                  </to>
                </anchor>
              </controlPr>
            </control>
          </mc:Choice>
        </mc:AlternateContent>
        <mc:AlternateContent xmlns:mc="http://schemas.openxmlformats.org/markup-compatibility/2006">
          <mc:Choice Requires="x14">
            <control shapeId="7170" r:id="rId7" name="Contador 100">
              <controlPr defaultSize="0" autoPict="0" macro="[0]!Cambiar_N_I_Banco_Preguntas" altText="Para consultar los datos de cada pregunta.">
                <anchor moveWithCells="1" sizeWithCells="1">
                  <from>
                    <xdr:col>8</xdr:col>
                    <xdr:colOff>28575</xdr:colOff>
                    <xdr:row>3</xdr:row>
                    <xdr:rowOff>66675</xdr:rowOff>
                  </from>
                  <to>
                    <xdr:col>8</xdr:col>
                    <xdr:colOff>114300</xdr:colOff>
                    <xdr:row>5</xdr:row>
                    <xdr:rowOff>9525</xdr:rowOff>
                  </to>
                </anchor>
              </controlPr>
            </control>
          </mc:Choice>
        </mc:AlternateContent>
        <mc:AlternateContent xmlns:mc="http://schemas.openxmlformats.org/markup-compatibility/2006">
          <mc:Choice Requires="x14">
            <control shapeId="7171" r:id="rId8" name="Contador 1">
              <controlPr defaultSize="0" autoPict="0" macro="[0]!Ver_Datos_Preguntas" altText="Para consultar los datos de cada pregunta.">
                <anchor moveWithCells="1" sizeWithCells="1">
                  <from>
                    <xdr:col>12</xdr:col>
                    <xdr:colOff>0</xdr:colOff>
                    <xdr:row>4</xdr:row>
                    <xdr:rowOff>0</xdr:rowOff>
                  </from>
                  <to>
                    <xdr:col>12</xdr:col>
                    <xdr:colOff>85725</xdr:colOff>
                    <xdr:row>5</xdr:row>
                    <xdr:rowOff>19050</xdr:rowOff>
                  </to>
                </anchor>
              </controlPr>
            </control>
          </mc:Choice>
        </mc:AlternateContent>
        <mc:AlternateContent xmlns:mc="http://schemas.openxmlformats.org/markup-compatibility/2006">
          <mc:Choice Requires="x14">
            <control shapeId="7172" r:id="rId9" name="Box PREGUNTAS">
              <controlPr defaultSize="0" autoFill="0" autoLine="0" autoPict="0">
                <anchor moveWithCells="1">
                  <from>
                    <xdr:col>12</xdr:col>
                    <xdr:colOff>85725</xdr:colOff>
                    <xdr:row>4</xdr:row>
                    <xdr:rowOff>9525</xdr:rowOff>
                  </from>
                  <to>
                    <xdr:col>12</xdr:col>
                    <xdr:colOff>323850</xdr:colOff>
                    <xdr:row>5</xdr:row>
                    <xdr:rowOff>19050</xdr:rowOff>
                  </to>
                </anchor>
              </controlPr>
            </control>
          </mc:Choice>
        </mc:AlternateContent>
      </controls>
    </mc:Choice>
  </mc:AlternateContent>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Hoja_23">
    <tabColor rgb="FFE87B00"/>
    <pageSetUpPr autoPageBreaks="0" fitToPage="1"/>
  </sheetPr>
  <dimension ref="A1:AM6"/>
  <sheetViews>
    <sheetView showGridLines="0" showRowColHeaders="0" zoomScale="140" zoomScaleNormal="140" workbookViewId="0">
      <pane xSplit="7" ySplit="4" topLeftCell="H6" activePane="bottomRight" state="frozen"/>
      <selection activeCell="I7" sqref="I7"/>
      <selection pane="topRight" activeCell="I7" sqref="I7"/>
      <selection pane="bottomLeft" activeCell="I7" sqref="I7"/>
      <selection pane="bottomRight" activeCell="G6" sqref="G6"/>
    </sheetView>
  </sheetViews>
  <sheetFormatPr baseColWidth="10" defaultColWidth="0" defaultRowHeight="15" x14ac:dyDescent="0.25"/>
  <cols>
    <col min="1" max="1" width="9.7109375" style="14" customWidth="1"/>
    <col min="2" max="3" width="3.7109375" style="11" hidden="1" customWidth="1"/>
    <col min="4" max="5" width="3.7109375" style="15" hidden="1" customWidth="1"/>
    <col min="6" max="6" width="11.28515625" style="15" customWidth="1"/>
    <col min="7" max="7" width="64.5703125" style="11" customWidth="1"/>
    <col min="8" max="10" width="12.5703125" style="11" customWidth="1"/>
    <col min="11" max="13" width="12.5703125" style="11" hidden="1" customWidth="1"/>
    <col min="14" max="31" width="14.28515625" style="11" hidden="1" customWidth="1"/>
    <col min="32" max="36" width="11.42578125" style="11" customWidth="1"/>
    <col min="37" max="39" width="0" style="11" hidden="1" customWidth="1"/>
    <col min="40" max="16384" width="11.42578125" style="11" hidden="1"/>
  </cols>
  <sheetData>
    <row r="1" spans="1:36" s="12" customFormat="1" ht="39.950000000000003" customHeight="1" x14ac:dyDescent="0.25">
      <c r="A1" s="317" t="str">
        <f>Version</f>
        <v xml:space="preserve">   V - 5.0 </v>
      </c>
      <c r="B1" s="207"/>
      <c r="C1" s="208"/>
      <c r="D1" s="316"/>
      <c r="E1" s="316"/>
      <c r="F1" s="319" t="str">
        <f ca="1">'Datos OM'!F1</f>
        <v>DATOS 
GENERALES
FORMULARIO</v>
      </c>
      <c r="G1" s="579" t="str">
        <f ca="1">'Datos OM'!G1</f>
        <v>INSERTAR PREGUNTA
BORRAR PREGUNTA</v>
      </c>
      <c r="H1" s="321">
        <f>COUNTA(Tabla_VF[Enunciado])</f>
        <v>0</v>
      </c>
      <c r="I1" s="320" t="str">
        <f ca="1">INDIRECT("Z_BP_01_"&amp;IDIOMA)</f>
        <v>Preguntas Almacenadas</v>
      </c>
      <c r="J1" s="364"/>
      <c r="AF1" s="320"/>
    </row>
    <row r="2" spans="1:36" s="13" customFormat="1" ht="36.75" thickBot="1" x14ac:dyDescent="0.3">
      <c r="A2" s="347" t="str">
        <f ca="1">'Datos OM'!A2</f>
        <v>Nombre de la pregunta</v>
      </c>
      <c r="B2" s="346"/>
      <c r="C2" s="348"/>
      <c r="D2" s="349"/>
      <c r="E2" s="349"/>
      <c r="F2" s="368" t="str">
        <f ca="1">'Datos OM'!F2</f>
        <v>Descripción</v>
      </c>
      <c r="G2" s="358" t="str">
        <f ca="1">'Formulario VF'!B1&amp;"
"&amp;'Formulario OM'!B11</f>
        <v>FastTest PlugIn - Verdadero/Falso
Enunciado de la pregunta</v>
      </c>
      <c r="H2" s="387" t="str">
        <f>MID(T_R,1,1)</f>
        <v>a</v>
      </c>
      <c r="I2" s="481" t="str">
        <f ca="1">'Formulario VF'!P27</f>
        <v>Retroalim.</v>
      </c>
      <c r="J2" s="482" t="str">
        <f ca="1">'Formulario VF'!H29</f>
        <v>Retroalim. Respuesta Incorrecta</v>
      </c>
      <c r="K2" s="389"/>
      <c r="L2" s="390"/>
      <c r="M2" s="391"/>
      <c r="N2" s="387"/>
      <c r="O2" s="388"/>
      <c r="P2" s="373"/>
      <c r="Q2" s="389"/>
      <c r="R2" s="390"/>
      <c r="S2" s="391"/>
      <c r="T2" s="391"/>
      <c r="U2" s="391"/>
      <c r="V2" s="391"/>
      <c r="W2" s="391"/>
      <c r="X2" s="391"/>
      <c r="Y2" s="391"/>
      <c r="Z2" s="391"/>
      <c r="AA2" s="391"/>
      <c r="AB2" s="391"/>
      <c r="AC2" s="391"/>
      <c r="AD2" s="391"/>
      <c r="AE2" s="391"/>
      <c r="AF2" s="369" t="str">
        <f ca="1">'Datos OM'!AF2</f>
        <v>PISTA: 1</v>
      </c>
      <c r="AG2" s="370" t="str">
        <f ca="1">'Datos OM'!AG2</f>
        <v>PISTA: 2</v>
      </c>
      <c r="AH2" s="371" t="str">
        <f ca="1">'Datos OM'!AH2</f>
        <v>PISTA: 3</v>
      </c>
      <c r="AI2" s="372" t="str">
        <f ca="1">'Datos OM'!AI2</f>
        <v>PISTA: 4</v>
      </c>
      <c r="AJ2" s="373" t="s">
        <v>1314</v>
      </c>
    </row>
    <row r="3" spans="1:36" s="472" customFormat="1" ht="12.75" hidden="1" thickTop="1" x14ac:dyDescent="0.25">
      <c r="A3" s="459" t="str">
        <f t="shared" ref="A3:AJ3" ca="1" si="0">IFERROR(IF(INDIRECT("F"&amp;PREGUNTA_ACTUAL-(N_I_VF)+N_I_Tabla&amp;"C"&amp;COLUMN(),FALSE)="","",INDIRECT("F"&amp;PREGUNTA_ACTUAL-(N_I_VF)+N_I_Tabla&amp;"C"&amp;COLUMN(),FALSE)),"")</f>
        <v/>
      </c>
      <c r="B3" s="459" t="str">
        <f t="shared" ca="1" si="0"/>
        <v/>
      </c>
      <c r="C3" s="459" t="str">
        <f t="shared" ca="1" si="0"/>
        <v/>
      </c>
      <c r="D3" s="459" t="str">
        <f t="shared" ca="1" si="0"/>
        <v/>
      </c>
      <c r="E3" s="459" t="str">
        <f t="shared" ca="1" si="0"/>
        <v/>
      </c>
      <c r="F3" s="459" t="str">
        <f t="shared" ca="1" si="0"/>
        <v/>
      </c>
      <c r="G3" s="459" t="str">
        <f t="shared" ca="1" si="0"/>
        <v/>
      </c>
      <c r="H3" s="459" t="str">
        <f t="shared" ca="1" si="0"/>
        <v/>
      </c>
      <c r="I3" s="459" t="str">
        <f t="shared" ca="1" si="0"/>
        <v/>
      </c>
      <c r="J3" s="459" t="str">
        <f t="shared" ca="1" si="0"/>
        <v/>
      </c>
      <c r="K3" s="459" t="str">
        <f t="shared" ca="1" si="0"/>
        <v/>
      </c>
      <c r="L3" s="459" t="str">
        <f t="shared" ca="1" si="0"/>
        <v/>
      </c>
      <c r="M3" s="459" t="str">
        <f t="shared" ca="1" si="0"/>
        <v/>
      </c>
      <c r="N3" s="459" t="str">
        <f t="shared" ca="1" si="0"/>
        <v/>
      </c>
      <c r="O3" s="459" t="str">
        <f t="shared" ca="1" si="0"/>
        <v/>
      </c>
      <c r="P3" s="459" t="str">
        <f t="shared" ca="1" si="0"/>
        <v/>
      </c>
      <c r="Q3" s="459" t="str">
        <f t="shared" ca="1" si="0"/>
        <v/>
      </c>
      <c r="R3" s="459" t="str">
        <f t="shared" ca="1" si="0"/>
        <v/>
      </c>
      <c r="S3" s="459" t="str">
        <f t="shared" ca="1" si="0"/>
        <v/>
      </c>
      <c r="T3" s="459" t="str">
        <f t="shared" ca="1" si="0"/>
        <v/>
      </c>
      <c r="U3" s="459" t="str">
        <f t="shared" ca="1" si="0"/>
        <v/>
      </c>
      <c r="V3" s="459" t="str">
        <f t="shared" ca="1" si="0"/>
        <v/>
      </c>
      <c r="W3" s="459" t="str">
        <f t="shared" ca="1" si="0"/>
        <v/>
      </c>
      <c r="X3" s="459" t="str">
        <f t="shared" ca="1" si="0"/>
        <v/>
      </c>
      <c r="Y3" s="459" t="str">
        <f t="shared" ca="1" si="0"/>
        <v/>
      </c>
      <c r="Z3" s="459" t="str">
        <f t="shared" ca="1" si="0"/>
        <v/>
      </c>
      <c r="AA3" s="459" t="str">
        <f t="shared" ca="1" si="0"/>
        <v/>
      </c>
      <c r="AB3" s="459" t="str">
        <f t="shared" ca="1" si="0"/>
        <v/>
      </c>
      <c r="AC3" s="459" t="str">
        <f t="shared" ca="1" si="0"/>
        <v/>
      </c>
      <c r="AD3" s="459" t="str">
        <f t="shared" ca="1" si="0"/>
        <v/>
      </c>
      <c r="AE3" s="459" t="str">
        <f t="shared" ca="1" si="0"/>
        <v/>
      </c>
      <c r="AF3" s="459" t="str">
        <f t="shared" ca="1" si="0"/>
        <v/>
      </c>
      <c r="AG3" s="459" t="str">
        <f t="shared" ca="1" si="0"/>
        <v/>
      </c>
      <c r="AH3" s="459" t="str">
        <f t="shared" ca="1" si="0"/>
        <v/>
      </c>
      <c r="AI3" s="459" t="str">
        <f t="shared" ca="1" si="0"/>
        <v/>
      </c>
      <c r="AJ3" s="459" t="str">
        <f t="shared" ca="1" si="0"/>
        <v/>
      </c>
    </row>
    <row r="4" spans="1:36" s="474" customFormat="1" ht="12" hidden="1" x14ac:dyDescent="0.2">
      <c r="A4" s="142">
        <v>301</v>
      </c>
      <c r="B4" s="471">
        <f>N_I_Tabla</f>
        <v>6</v>
      </c>
      <c r="C4" s="470"/>
      <c r="D4" s="570"/>
      <c r="E4" s="570"/>
      <c r="F4" s="148" t="str">
        <f>IF('Formulario VF'!H9="","",'Formulario VF'!H9)</f>
        <v/>
      </c>
      <c r="G4" s="422" t="str">
        <f>IF('Formulario VF'!H11="","",'Formulario VF'!H11)</f>
        <v/>
      </c>
      <c r="H4" s="150" t="str">
        <f>IF('Formulario VF'!H27="","",'Formulario VF'!H27)</f>
        <v/>
      </c>
      <c r="I4" s="151" t="str">
        <f>IF('Formulario VF'!T27="","",'Formulario VF'!T27)</f>
        <v/>
      </c>
      <c r="J4" s="152" t="str">
        <f>IF('Formulario VF'!T29="","",'Formulario VF'!T29)</f>
        <v/>
      </c>
      <c r="K4" s="153"/>
      <c r="L4" s="154"/>
      <c r="M4" s="155"/>
      <c r="N4" s="150"/>
      <c r="O4" s="151"/>
      <c r="P4" s="152"/>
      <c r="Q4" s="153"/>
      <c r="R4" s="154"/>
      <c r="S4" s="155"/>
      <c r="T4" s="155"/>
      <c r="U4" s="155"/>
      <c r="V4" s="155"/>
      <c r="W4" s="155"/>
      <c r="X4" s="155"/>
      <c r="Y4" s="155"/>
      <c r="Z4" s="155"/>
      <c r="AA4" s="155"/>
      <c r="AB4" s="155"/>
      <c r="AC4" s="155"/>
      <c r="AD4" s="155"/>
      <c r="AE4" s="155"/>
      <c r="AF4" s="156" t="str">
        <f>IF('Formulario VF'!G33="","",'Formulario VF'!G33)</f>
        <v/>
      </c>
      <c r="AG4" s="157" t="str">
        <f>IF('Formulario VF'!M33="","",'Formulario VF'!M33)</f>
        <v/>
      </c>
      <c r="AH4" s="158" t="str">
        <f>IF('Formulario VF'!G35="","",'Formulario VF'!G35)</f>
        <v/>
      </c>
      <c r="AI4" s="159" t="str">
        <f>IF('Formulario VF'!M35="","",'Formulario VF'!M35)</f>
        <v/>
      </c>
      <c r="AJ4" s="152" t="str">
        <f>IF('Formulario VF'!Q7="","",'Formulario VF'!Q7)</f>
        <v/>
      </c>
    </row>
    <row r="5" spans="1:36" s="12" customFormat="1" hidden="1" x14ac:dyDescent="0.25">
      <c r="A5" s="145" t="s">
        <v>1702</v>
      </c>
      <c r="B5" s="465" t="s">
        <v>18169</v>
      </c>
      <c r="C5" s="466" t="s">
        <v>18166</v>
      </c>
      <c r="D5" s="466" t="s">
        <v>18167</v>
      </c>
      <c r="E5" s="466" t="s">
        <v>18168</v>
      </c>
      <c r="F5" s="148" t="s">
        <v>1856</v>
      </c>
      <c r="G5" s="144" t="s">
        <v>24</v>
      </c>
      <c r="H5" s="150" t="s">
        <v>1711</v>
      </c>
      <c r="I5" s="151" t="s">
        <v>503</v>
      </c>
      <c r="J5" s="152" t="s">
        <v>1712</v>
      </c>
      <c r="K5" s="153" t="s">
        <v>1666</v>
      </c>
      <c r="L5" s="154" t="s">
        <v>1713</v>
      </c>
      <c r="M5" s="155" t="s">
        <v>1714</v>
      </c>
      <c r="N5" s="150" t="s">
        <v>1715</v>
      </c>
      <c r="O5" s="151" t="s">
        <v>1716</v>
      </c>
      <c r="P5" s="152" t="s">
        <v>1717</v>
      </c>
      <c r="Q5" s="153" t="s">
        <v>1718</v>
      </c>
      <c r="R5" s="154" t="s">
        <v>1719</v>
      </c>
      <c r="S5" s="155" t="s">
        <v>1720</v>
      </c>
      <c r="T5" s="155" t="s">
        <v>1721</v>
      </c>
      <c r="U5" s="155" t="s">
        <v>1722</v>
      </c>
      <c r="V5" s="155" t="s">
        <v>1723</v>
      </c>
      <c r="W5" s="155" t="s">
        <v>1724</v>
      </c>
      <c r="X5" s="155" t="s">
        <v>1725</v>
      </c>
      <c r="Y5" s="155" t="s">
        <v>1726</v>
      </c>
      <c r="Z5" s="155" t="s">
        <v>1727</v>
      </c>
      <c r="AA5" s="155" t="s">
        <v>1728</v>
      </c>
      <c r="AB5" s="155" t="s">
        <v>1729</v>
      </c>
      <c r="AC5" s="155" t="s">
        <v>1730</v>
      </c>
      <c r="AD5" s="155" t="s">
        <v>1731</v>
      </c>
      <c r="AE5" s="155" t="s">
        <v>1732</v>
      </c>
      <c r="AF5" s="156" t="s">
        <v>1606</v>
      </c>
      <c r="AG5" s="157" t="s">
        <v>1607</v>
      </c>
      <c r="AH5" s="158" t="s">
        <v>1608</v>
      </c>
      <c r="AI5" s="159" t="s">
        <v>1609</v>
      </c>
      <c r="AJ5" s="152" t="s">
        <v>1314</v>
      </c>
    </row>
    <row r="6" spans="1:36" ht="15.75" thickTop="1" x14ac:dyDescent="0.25">
      <c r="A6" s="616" t="str">
        <f>IFERROR(IF(Tabla_VF[[#This Row],[Enunciado]]="","",PREF_PREGUNTA&amp;IF(PREF_PREGUNTA="",""," - ")&amp;
IF(n_preg_ON_VF=TRUE,IF((N_I_VF+ROW()-N_I_Tabla)&gt;99,
IF((N_I_VF+ROW()-N_I_Tabla)&lt;100,"0",""),"")&amp;
IF((N_I_VF+ROW()-N_I_Tabla)&lt;10,"0","")&amp;(N_I_VF+ROW()-N_I_Tabla),""))&amp;
IF(Tabla_VF[[#This Row],[Descripcion]]&lt;&gt;""," "&amp;Tabla_VF[[#This Row],[Descripcion]],""),"")</f>
        <v/>
      </c>
      <c r="B6" s="617"/>
      <c r="C6" s="618"/>
      <c r="D6" s="619"/>
      <c r="E6" s="619"/>
      <c r="F6" s="597"/>
      <c r="G6" s="598"/>
      <c r="H6" s="610"/>
      <c r="I6" s="600"/>
      <c r="J6" s="601"/>
      <c r="K6" s="602"/>
      <c r="L6" s="603"/>
      <c r="M6" s="604"/>
      <c r="N6" s="599"/>
      <c r="O6" s="600"/>
      <c r="P6" s="601"/>
      <c r="Q6" s="602"/>
      <c r="R6" s="603"/>
      <c r="S6" s="604"/>
      <c r="T6" s="604"/>
      <c r="U6" s="604"/>
      <c r="V6" s="604"/>
      <c r="W6" s="604"/>
      <c r="X6" s="604"/>
      <c r="Y6" s="604"/>
      <c r="Z6" s="604"/>
      <c r="AA6" s="604"/>
      <c r="AB6" s="604"/>
      <c r="AC6" s="604"/>
      <c r="AD6" s="604"/>
      <c r="AE6" s="604"/>
      <c r="AF6" s="605"/>
      <c r="AG6" s="606"/>
      <c r="AH6" s="607"/>
      <c r="AI6" s="608"/>
      <c r="AJ6" s="601"/>
    </row>
  </sheetData>
  <sheetProtection algorithmName="SHA-512" hashValue="teFYNGWHgf1o+fPHFQtddfEsTBPiVLM7PaaLWLZYAGoR07YVXFBHtK5Sk672IPK0Si/F1sHQ7NiUGCk4EG+M3g==" saltValue="hsI58L/KDdetidZtbyN2Ow==" spinCount="100000" sheet="1" objects="1" scenarios="1" selectLockedCells="1"/>
  <conditionalFormatting sqref="B2:AJ2 F4:AI4 B6:AJ6">
    <cfRule type="cellIs" dxfId="512" priority="407" operator="equal">
      <formula>""</formula>
    </cfRule>
    <cfRule type="cellIs" dxfId="511" priority="408" operator="equal">
      <formula>0</formula>
    </cfRule>
  </conditionalFormatting>
  <conditionalFormatting sqref="AJ4">
    <cfRule type="cellIs" dxfId="510" priority="147" operator="equal">
      <formula>""</formula>
    </cfRule>
    <cfRule type="cellIs" dxfId="509" priority="148" operator="equal">
      <formula>0</formula>
    </cfRule>
  </conditionalFormatting>
  <conditionalFormatting sqref="B5:AJ5">
    <cfRule type="cellIs" dxfId="508" priority="1" operator="equal">
      <formula>""</formula>
    </cfRule>
    <cfRule type="cellIs" dxfId="507" priority="2" operator="equal">
      <formula>0</formula>
    </cfRule>
  </conditionalFormatting>
  <dataValidations count="2">
    <dataValidation allowBlank="1" showInputMessage="1" showErrorMessage="1" errorTitle="Error" error="Debes introducir un número válido. _x000a_Rellena primero las respuestas._x000a__x000a_Pulsa ESC para continuar." sqref="B4"/>
    <dataValidation type="whole" allowBlank="1" showInputMessage="1" showErrorMessage="1" errorTitle="Error" error="Debes introducir un número válido. _x000a_Rellena primero las respuestas._x000a__x000a_Pulsa ESC para continuar." sqref="C6">
      <formula1>1</formula1>
      <formula2>IF(C_SIMPLE="true",1,MIN(5,COUNTA(H6:M6)))</formula2>
    </dataValidation>
  </dataValidations>
  <pageMargins left="0.70866141732283472" right="0.70866141732283472" top="0.74803149606299213" bottom="0.74803149606299213" header="0.31496062992125984" footer="0.31496062992125984"/>
  <pageSetup paperSize="9" scale="44" fitToHeight="47" orientation="landscape" r:id="rId1"/>
  <drawing r:id="rId2"/>
  <tableParts count="1">
    <tablePart r:id="rId3"/>
  </tableParts>
  <extLst>
    <ext xmlns:x14="http://schemas.microsoft.com/office/spreadsheetml/2009/9/main" uri="{CCE6A557-97BC-4b89-ADB6-D9C93CAAB3DF}">
      <x14:dataValidations xmlns:xm="http://schemas.microsoft.com/office/excel/2006/main" count="1">
        <x14:dataValidation type="list" allowBlank="1" showInputMessage="1" showErrorMessage="1">
          <x14:formula1>
            <xm:f>'Formulario VF'!$I$38:$J$38</xm:f>
          </x14:formula1>
          <xm:sqref>H6</xm:sqref>
        </x14:dataValidation>
      </x14:dataValidations>
    </ext>
  </extLst>
</worksheet>
</file>

<file path=xl/worksheets/sheet1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Hoja_14">
    <tabColor rgb="FF005877"/>
    <pageSetUpPr fitToPage="1"/>
  </sheetPr>
  <dimension ref="A1:AZ130"/>
  <sheetViews>
    <sheetView showGridLines="0" showRowColHeaders="0" zoomScale="140" zoomScaleNormal="140" workbookViewId="0">
      <pane xSplit="38" ySplit="73" topLeftCell="AM74" activePane="bottomRight" state="frozen"/>
      <selection activeCell="K7" sqref="K7:O7"/>
      <selection pane="topRight" activeCell="K7" sqref="K7:O7"/>
      <selection pane="bottomLeft" activeCell="K7" sqref="K7:O7"/>
      <selection pane="bottomRight" activeCell="Q7" sqref="Q7:W7"/>
    </sheetView>
  </sheetViews>
  <sheetFormatPr baseColWidth="10" defaultColWidth="0" defaultRowHeight="15" zeroHeight="1" x14ac:dyDescent="0.25"/>
  <cols>
    <col min="1" max="1" width="10.7109375" customWidth="1"/>
    <col min="2" max="2" width="2.7109375" style="4" customWidth="1"/>
    <col min="3" max="23" width="5.7109375" style="4" customWidth="1"/>
    <col min="24" max="24" width="2.7109375" style="4" customWidth="1"/>
    <col min="25" max="25" width="10.7109375" style="93" customWidth="1"/>
    <col min="26" max="26" width="2.7109375" style="4" customWidth="1"/>
    <col min="27" max="27" width="10.7109375" style="4" customWidth="1"/>
    <col min="28" max="28" width="2.7109375" style="4" customWidth="1"/>
    <col min="29" max="52" width="2.7109375" style="4" hidden="1" customWidth="1"/>
    <col min="53" max="16384" width="11.42578125" style="4" hidden="1"/>
  </cols>
  <sheetData>
    <row r="1" spans="1:51" ht="2.25" customHeight="1" thickTop="1" x14ac:dyDescent="0.25">
      <c r="A1" s="737" t="str">
        <f ca="1">'Formulario OM'!A1</f>
        <v>CÓDIGOS 
ESPECIALES</v>
      </c>
      <c r="B1" s="730" t="str">
        <f ca="1">APP&amp;" - "&amp;Tipo_4</f>
        <v>FastTest PlugIn - Emparejar</v>
      </c>
      <c r="C1" s="731"/>
      <c r="D1" s="731"/>
      <c r="E1" s="731"/>
      <c r="F1" s="731"/>
      <c r="G1" s="731"/>
      <c r="H1" s="731"/>
      <c r="I1" s="731"/>
      <c r="J1" s="731"/>
      <c r="K1" s="731"/>
      <c r="L1" s="172"/>
      <c r="M1" s="172"/>
      <c r="N1" s="172"/>
      <c r="O1" s="172"/>
      <c r="P1" s="172"/>
      <c r="Q1" s="172"/>
      <c r="R1" s="172"/>
      <c r="S1" s="172"/>
      <c r="T1" s="172"/>
      <c r="U1" s="172"/>
      <c r="V1" s="172"/>
      <c r="W1" s="172"/>
      <c r="X1" s="173"/>
      <c r="Y1" s="713" t="str">
        <f ca="1">'DATOS GENERALES'!Y1</f>
        <v>NO USAR CORTAR
[Ctrl + X]</v>
      </c>
      <c r="AB1" s="4">
        <f>COUNTA(Q7,H9,H11,F19,J19,P19,T19,F21,J21,P21,T21,F23,J23,P23,T23,F25,J25,P25,T25,F27,J27,P27,T27,F29,J29,P29,T29,G33,M33,G35,M35)</f>
        <v>0</v>
      </c>
      <c r="AC1" s="590" t="str">
        <f>IFERROR(HLOOKUP(AC4,$AB$4:AB4,1,0),"OK")</f>
        <v>OK</v>
      </c>
      <c r="AD1" s="590"/>
      <c r="AE1" s="590"/>
      <c r="AY1" s="4" t="s">
        <v>18802</v>
      </c>
    </row>
    <row r="2" spans="1:51" ht="24.95" customHeight="1" x14ac:dyDescent="0.25">
      <c r="A2" s="738"/>
      <c r="B2" s="732"/>
      <c r="C2" s="733"/>
      <c r="D2" s="733"/>
      <c r="E2" s="733"/>
      <c r="F2" s="733"/>
      <c r="G2" s="733"/>
      <c r="H2" s="733"/>
      <c r="I2" s="733"/>
      <c r="J2" s="733"/>
      <c r="K2" s="733"/>
      <c r="L2" s="802" t="str">
        <f ca="1">'Formulario OM'!L2</f>
        <v>DATOS 
GENERALES</v>
      </c>
      <c r="M2" s="760">
        <f>'Formulario OM'!M2</f>
        <v>0</v>
      </c>
      <c r="N2" s="803" t="str">
        <f ca="1">'Formulario OM'!N2</f>
        <v>BANCO 
PREGUNTAS</v>
      </c>
      <c r="O2" s="804">
        <f>'Formulario OM'!O2</f>
        <v>0</v>
      </c>
      <c r="P2" s="805" t="str">
        <f ca="1">'Formulario OM'!P2</f>
        <v>LIMPIAR 
DATOS</v>
      </c>
      <c r="Q2" s="804">
        <f>'Formulario OM'!Q2</f>
        <v>0</v>
      </c>
      <c r="R2" s="805" t="str">
        <f ca="1">'Formulario OM'!R2</f>
        <v>GUARDAR 
PREGUNTAS</v>
      </c>
      <c r="S2" s="804">
        <f>'Formulario OM'!S2</f>
        <v>0</v>
      </c>
      <c r="T2" s="805" t="str">
        <f ca="1">'Formulario OM'!T2</f>
        <v>BORRAR 
PREGUNTAS</v>
      </c>
      <c r="U2" s="804">
        <f>'Formulario OM'!U2</f>
        <v>0</v>
      </c>
      <c r="V2" s="805" t="str">
        <f ca="1">'Formulario OM'!V2</f>
        <v>DAR 
FORMATO</v>
      </c>
      <c r="W2" s="806">
        <f>'Formulario OM'!W2</f>
        <v>0</v>
      </c>
      <c r="X2" s="211" t="s">
        <v>129</v>
      </c>
      <c r="Y2" s="714"/>
      <c r="Z2" s="300" t="s">
        <v>1310</v>
      </c>
      <c r="AA2" s="313" t="str">
        <f ca="1">'Formulario OM'!AA2</f>
        <v>BORRAR VARIABLES</v>
      </c>
      <c r="AB2" s="581">
        <f>COUNTA(Y5:Y35)+COUNTA(AA5:AA35)</f>
        <v>0</v>
      </c>
      <c r="AC2" s="590">
        <f>COUNTA(AC5:AC36)</f>
        <v>0</v>
      </c>
      <c r="AD2" s="590"/>
      <c r="AE2" s="590"/>
    </row>
    <row r="3" spans="1:51" ht="2.25" customHeight="1" thickBot="1" x14ac:dyDescent="0.3">
      <c r="A3" s="739"/>
      <c r="B3" s="732"/>
      <c r="C3" s="733"/>
      <c r="D3" s="733"/>
      <c r="E3" s="733"/>
      <c r="F3" s="733"/>
      <c r="G3" s="733"/>
      <c r="H3" s="733"/>
      <c r="I3" s="733"/>
      <c r="J3" s="733"/>
      <c r="K3" s="733"/>
      <c r="L3" s="187"/>
      <c r="M3" s="188"/>
      <c r="N3" s="189"/>
      <c r="O3" s="190"/>
      <c r="P3" s="189"/>
      <c r="Q3" s="190"/>
      <c r="R3" s="189"/>
      <c r="S3" s="190"/>
      <c r="T3" s="189"/>
      <c r="U3" s="190"/>
      <c r="V3" s="189"/>
      <c r="W3" s="190"/>
      <c r="X3" s="191"/>
      <c r="Y3" s="715"/>
      <c r="AB3" s="583" t="s">
        <v>18754</v>
      </c>
      <c r="AC3" s="590">
        <f>COUNTA(AC39:AC79)</f>
        <v>0</v>
      </c>
      <c r="AD3" s="590"/>
      <c r="AE3" s="590"/>
    </row>
    <row r="4" spans="1:51" ht="6" customHeight="1" thickBot="1" x14ac:dyDescent="0.3">
      <c r="A4" s="192"/>
      <c r="B4" s="75"/>
      <c r="C4" s="77"/>
      <c r="D4" s="77"/>
      <c r="E4" s="77"/>
      <c r="F4" s="77"/>
      <c r="G4" s="77"/>
      <c r="H4" s="78"/>
      <c r="I4" s="79"/>
      <c r="J4" s="79"/>
      <c r="K4" s="79"/>
      <c r="L4" s="79"/>
      <c r="M4" s="845"/>
      <c r="N4" s="79"/>
      <c r="O4" s="79"/>
      <c r="P4" s="79"/>
      <c r="Q4" s="79"/>
      <c r="R4" s="79"/>
      <c r="S4" s="79"/>
      <c r="T4" s="78"/>
      <c r="U4" s="78"/>
      <c r="V4" s="78"/>
      <c r="W4" s="78"/>
      <c r="X4" s="80"/>
      <c r="Y4" s="196"/>
      <c r="AB4" s="583" t="s">
        <v>18755</v>
      </c>
      <c r="AC4" s="590">
        <f>COLUMN()+COUNTA(AD4:XFD4)</f>
        <v>29</v>
      </c>
    </row>
    <row r="5" spans="1:51" x14ac:dyDescent="0.25">
      <c r="A5" s="194" t="str">
        <f ca="1">'Formulario OM'!A5</f>
        <v>FÓRMULA</v>
      </c>
      <c r="B5" s="781" t="str">
        <f ca="1">INDIRECT("Z_OM_01_"&amp;IDIOMA)</f>
        <v>Nº Inicial del Banco de Preguntas</v>
      </c>
      <c r="C5" s="782"/>
      <c r="D5" s="782"/>
      <c r="E5" s="782"/>
      <c r="F5" s="782"/>
      <c r="G5" s="782"/>
      <c r="H5" s="335">
        <f>'Datos EM'!A4</f>
        <v>401</v>
      </c>
      <c r="I5" s="750" t="str">
        <f ca="1">'Formulario OM'!I5</f>
        <v>Pregunta Nº</v>
      </c>
      <c r="J5" s="750"/>
      <c r="K5" s="750"/>
      <c r="L5" s="39">
        <f>G37</f>
        <v>401</v>
      </c>
      <c r="M5" s="845"/>
      <c r="N5" s="757" t="str">
        <f ca="1">INDIRECT("Z_TX_88_"&amp;IDIOMA)&amp;" ("&amp;AC4-COLUMN(AC2)&amp;")"</f>
        <v>ALMACENAR FORMULAS (0)</v>
      </c>
      <c r="O5" s="758"/>
      <c r="P5" s="758"/>
      <c r="Q5" s="759"/>
      <c r="R5" s="825" t="str">
        <f ca="1">INDIRECT("Z_DG_15_"&amp;IDIOMA)&amp;": "&amp;P_min_EM&amp;IF(P_max_EM=0,""," - "&amp;P_max_EM)</f>
        <v>Rango de preguntas almacenadas: 0</v>
      </c>
      <c r="S5" s="746"/>
      <c r="T5" s="746"/>
      <c r="U5" s="746"/>
      <c r="V5" s="746"/>
      <c r="W5" s="746"/>
      <c r="X5" s="68"/>
      <c r="Y5" s="198"/>
      <c r="Z5" s="300">
        <v>1</v>
      </c>
      <c r="AA5" s="314"/>
      <c r="AB5" s="300">
        <f>Z35+1</f>
        <v>17</v>
      </c>
    </row>
    <row r="6" spans="1:51" ht="6" customHeight="1" thickBot="1" x14ac:dyDescent="0.3">
      <c r="A6" s="19"/>
      <c r="B6" s="60"/>
      <c r="C6" s="61"/>
      <c r="D6" s="61"/>
      <c r="E6" s="61"/>
      <c r="F6" s="61"/>
      <c r="G6" s="61"/>
      <c r="H6" s="84"/>
      <c r="I6" s="85"/>
      <c r="J6" s="85"/>
      <c r="K6" s="85"/>
      <c r="L6" s="85"/>
      <c r="M6" s="845"/>
      <c r="N6" s="85"/>
      <c r="O6" s="84"/>
      <c r="P6" s="85"/>
      <c r="Q6" s="85"/>
      <c r="R6" s="85"/>
      <c r="S6" s="86"/>
      <c r="T6" s="86"/>
      <c r="U6" s="86"/>
      <c r="V6" s="84"/>
      <c r="W6" s="84"/>
      <c r="X6" s="64"/>
      <c r="Y6" s="197"/>
    </row>
    <row r="7" spans="1:51" ht="15" customHeight="1" thickTop="1" thickBot="1" x14ac:dyDescent="0.3">
      <c r="A7" s="194" t="str">
        <f ca="1">'Formulario OM'!A7</f>
        <v>SUPERÍNDICE</v>
      </c>
      <c r="B7" s="781" t="str">
        <f ca="1">INDIRECT("Z_OM_04_"&amp;IDIOMA)</f>
        <v>Nombre de la pregunta</v>
      </c>
      <c r="C7" s="782"/>
      <c r="D7" s="782"/>
      <c r="E7" s="782"/>
      <c r="F7" s="782"/>
      <c r="G7" s="782"/>
      <c r="H7" s="772" t="str">
        <f ca="1">IFERROR(INDIRECT("'Datos EM'!a"&amp;(L5-H5+N_I_Tabla)),"")</f>
        <v/>
      </c>
      <c r="I7" s="772"/>
      <c r="J7" s="772"/>
      <c r="K7" s="772"/>
      <c r="L7" s="772"/>
      <c r="M7" s="772"/>
      <c r="N7" s="750" t="str">
        <f ca="1">'Formulario OM'!N7</f>
        <v>Imagen</v>
      </c>
      <c r="O7" s="750"/>
      <c r="P7" s="750"/>
      <c r="Q7" s="768"/>
      <c r="R7" s="769"/>
      <c r="S7" s="769"/>
      <c r="T7" s="769"/>
      <c r="U7" s="769"/>
      <c r="V7" s="769"/>
      <c r="W7" s="770"/>
      <c r="X7" s="68"/>
      <c r="Y7" s="198"/>
      <c r="Z7" s="300">
        <f>Z5+1</f>
        <v>2</v>
      </c>
      <c r="AA7" s="314"/>
      <c r="AB7" s="300">
        <f>AB5+1</f>
        <v>18</v>
      </c>
    </row>
    <row r="8" spans="1:51" ht="6" customHeight="1" thickTop="1" x14ac:dyDescent="0.25">
      <c r="A8" s="20"/>
      <c r="B8" s="60"/>
      <c r="C8" s="61"/>
      <c r="D8" s="61"/>
      <c r="E8" s="61"/>
      <c r="F8" s="61"/>
      <c r="G8" s="63"/>
      <c r="H8" s="85"/>
      <c r="I8" s="84"/>
      <c r="J8" s="84"/>
      <c r="K8" s="84"/>
      <c r="L8" s="84"/>
      <c r="M8" s="85"/>
      <c r="N8" s="85"/>
      <c r="O8" s="86"/>
      <c r="P8" s="86"/>
      <c r="Q8" s="85"/>
      <c r="R8" s="86"/>
      <c r="S8" s="86"/>
      <c r="T8" s="86"/>
      <c r="U8" s="86"/>
      <c r="V8" s="82"/>
      <c r="W8" s="82"/>
      <c r="X8" s="64"/>
      <c r="Y8" s="94"/>
    </row>
    <row r="9" spans="1:51" x14ac:dyDescent="0.25">
      <c r="A9" s="194" t="str">
        <f ca="1">'Formulario OM'!A9</f>
        <v>SUBÍNDICE</v>
      </c>
      <c r="B9" s="702" t="str">
        <f ca="1">INDIRECT("Z_OM_05_"&amp;IDIOMA)</f>
        <v>Descripción</v>
      </c>
      <c r="C9" s="700"/>
      <c r="D9" s="700"/>
      <c r="E9" s="700"/>
      <c r="F9" s="700"/>
      <c r="G9" s="700"/>
      <c r="H9" s="771"/>
      <c r="I9" s="771"/>
      <c r="J9" s="771"/>
      <c r="K9" s="771"/>
      <c r="L9" s="771"/>
      <c r="M9" s="771"/>
      <c r="N9" s="86"/>
      <c r="O9" s="87"/>
      <c r="P9" s="85"/>
      <c r="Q9" s="81"/>
      <c r="R9" s="86"/>
      <c r="S9" s="86"/>
      <c r="T9" s="86"/>
      <c r="U9" s="86"/>
      <c r="V9" s="82"/>
      <c r="W9" s="82"/>
      <c r="X9" s="68"/>
      <c r="Y9" s="198"/>
      <c r="Z9" s="300">
        <f>Z7+1</f>
        <v>3</v>
      </c>
      <c r="AA9" s="314"/>
      <c r="AB9" s="300">
        <f>AB7+1</f>
        <v>19</v>
      </c>
    </row>
    <row r="10" spans="1:51" ht="6" customHeight="1" thickBot="1" x14ac:dyDescent="0.3">
      <c r="A10" s="19"/>
      <c r="B10" s="60"/>
      <c r="C10" s="61"/>
      <c r="D10" s="61"/>
      <c r="E10" s="61"/>
      <c r="F10" s="61"/>
      <c r="G10" s="62"/>
      <c r="H10" s="84"/>
      <c r="I10" s="85"/>
      <c r="J10" s="85"/>
      <c r="K10" s="85"/>
      <c r="L10" s="85"/>
      <c r="M10" s="85"/>
      <c r="N10" s="85"/>
      <c r="O10" s="85"/>
      <c r="P10" s="85"/>
      <c r="Q10" s="85"/>
      <c r="R10" s="85"/>
      <c r="S10" s="85"/>
      <c r="T10" s="84"/>
      <c r="U10" s="84"/>
      <c r="V10" s="82"/>
      <c r="W10" s="82"/>
      <c r="X10" s="64"/>
      <c r="Y10" s="94"/>
    </row>
    <row r="11" spans="1:51" ht="15.75" thickTop="1" x14ac:dyDescent="0.25">
      <c r="A11" s="194" t="str">
        <f ca="1">'Formulario OM'!A11</f>
        <v>SALTO LÍNEA</v>
      </c>
      <c r="B11" s="702" t="str">
        <f ca="1">INDIRECT("Z_OM_07_"&amp;IDIOMA)</f>
        <v>Enunciado de la pregunta</v>
      </c>
      <c r="C11" s="700"/>
      <c r="D11" s="700"/>
      <c r="E11" s="700"/>
      <c r="F11" s="700"/>
      <c r="G11" s="701"/>
      <c r="H11" s="786"/>
      <c r="I11" s="787"/>
      <c r="J11" s="787"/>
      <c r="K11" s="787"/>
      <c r="L11" s="787"/>
      <c r="M11" s="787"/>
      <c r="N11" s="787"/>
      <c r="O11" s="787"/>
      <c r="P11" s="787"/>
      <c r="Q11" s="787"/>
      <c r="R11" s="787"/>
      <c r="S11" s="787"/>
      <c r="T11" s="787"/>
      <c r="U11" s="787"/>
      <c r="V11" s="787"/>
      <c r="W11" s="788"/>
      <c r="X11" s="68"/>
      <c r="Y11" s="198"/>
      <c r="Z11" s="300">
        <f>Z9+1</f>
        <v>4</v>
      </c>
      <c r="AA11" s="314"/>
      <c r="AB11" s="300">
        <f>AB9+1</f>
        <v>20</v>
      </c>
    </row>
    <row r="12" spans="1:51" ht="6" customHeight="1" thickBot="1" x14ac:dyDescent="0.3">
      <c r="A12" s="2"/>
      <c r="B12" s="753"/>
      <c r="C12" s="754"/>
      <c r="D12" s="61"/>
      <c r="E12" s="77"/>
      <c r="F12" s="77"/>
      <c r="G12" s="330"/>
      <c r="H12" s="789"/>
      <c r="I12" s="790"/>
      <c r="J12" s="790"/>
      <c r="K12" s="790"/>
      <c r="L12" s="790"/>
      <c r="M12" s="790"/>
      <c r="N12" s="790"/>
      <c r="O12" s="790"/>
      <c r="P12" s="790"/>
      <c r="Q12" s="790"/>
      <c r="R12" s="790"/>
      <c r="S12" s="790"/>
      <c r="T12" s="790"/>
      <c r="U12" s="790"/>
      <c r="V12" s="790"/>
      <c r="W12" s="791"/>
      <c r="X12" s="64"/>
      <c r="Y12" s="94"/>
    </row>
    <row r="13" spans="1:51" x14ac:dyDescent="0.25">
      <c r="A13" s="194" t="str">
        <f ca="1">'Formulario OM'!A13</f>
        <v>CONCATENAR</v>
      </c>
      <c r="B13" s="753"/>
      <c r="C13" s="754"/>
      <c r="D13" s="838" t="str">
        <f>'DATOS GENERALES'!C11</f>
        <v>Moodle
 Editor.
(HTML)</v>
      </c>
      <c r="E13" s="838"/>
      <c r="F13" s="838"/>
      <c r="G13" s="838"/>
      <c r="H13" s="789"/>
      <c r="I13" s="790"/>
      <c r="J13" s="790"/>
      <c r="K13" s="790"/>
      <c r="L13" s="790"/>
      <c r="M13" s="790"/>
      <c r="N13" s="790"/>
      <c r="O13" s="790"/>
      <c r="P13" s="790"/>
      <c r="Q13" s="790"/>
      <c r="R13" s="790"/>
      <c r="S13" s="790"/>
      <c r="T13" s="790"/>
      <c r="U13" s="790"/>
      <c r="V13" s="790"/>
      <c r="W13" s="791"/>
      <c r="X13" s="68"/>
      <c r="Y13" s="198"/>
      <c r="Z13" s="300">
        <f>Z11+1</f>
        <v>5</v>
      </c>
      <c r="AA13" s="314"/>
      <c r="AB13" s="300">
        <f>AB11+1</f>
        <v>21</v>
      </c>
    </row>
    <row r="14" spans="1:51" ht="6" customHeight="1" x14ac:dyDescent="0.25">
      <c r="B14" s="753"/>
      <c r="C14" s="754"/>
      <c r="D14" s="61"/>
      <c r="E14" s="77"/>
      <c r="F14" s="77"/>
      <c r="G14" s="752"/>
      <c r="H14" s="789"/>
      <c r="I14" s="790"/>
      <c r="J14" s="790"/>
      <c r="K14" s="790"/>
      <c r="L14" s="790"/>
      <c r="M14" s="790"/>
      <c r="N14" s="790"/>
      <c r="O14" s="790"/>
      <c r="P14" s="790"/>
      <c r="Q14" s="790"/>
      <c r="R14" s="790"/>
      <c r="S14" s="790"/>
      <c r="T14" s="790"/>
      <c r="U14" s="790"/>
      <c r="V14" s="790"/>
      <c r="W14" s="791"/>
      <c r="X14" s="80"/>
      <c r="Y14" s="94"/>
    </row>
    <row r="15" spans="1:51" ht="15.75" thickBot="1" x14ac:dyDescent="0.3">
      <c r="A15" s="194" t="str">
        <f ca="1">'Formulario OM'!A15</f>
        <v>NEGRITA</v>
      </c>
      <c r="B15" s="749"/>
      <c r="C15" s="750"/>
      <c r="D15" s="750"/>
      <c r="E15" s="750"/>
      <c r="F15" s="750"/>
      <c r="G15" s="752"/>
      <c r="H15" s="792"/>
      <c r="I15" s="793"/>
      <c r="J15" s="793"/>
      <c r="K15" s="793"/>
      <c r="L15" s="793"/>
      <c r="M15" s="793"/>
      <c r="N15" s="793"/>
      <c r="O15" s="793"/>
      <c r="P15" s="793"/>
      <c r="Q15" s="793"/>
      <c r="R15" s="793"/>
      <c r="S15" s="793"/>
      <c r="T15" s="793"/>
      <c r="U15" s="793"/>
      <c r="V15" s="793"/>
      <c r="W15" s="794"/>
      <c r="X15" s="68"/>
      <c r="Y15" s="198"/>
      <c r="Z15" s="300">
        <f>Z13+1</f>
        <v>6</v>
      </c>
      <c r="AA15" s="314"/>
      <c r="AB15" s="300">
        <f>AB13+1</f>
        <v>22</v>
      </c>
    </row>
    <row r="16" spans="1:51" ht="6" customHeight="1" thickTop="1" x14ac:dyDescent="0.25">
      <c r="B16" s="75"/>
      <c r="C16" s="61"/>
      <c r="D16" s="61"/>
      <c r="E16" s="61"/>
      <c r="F16" s="83"/>
      <c r="G16" s="752"/>
      <c r="H16" s="84"/>
      <c r="I16" s="85"/>
      <c r="J16" s="85"/>
      <c r="K16" s="85"/>
      <c r="L16" s="85"/>
      <c r="M16" s="85"/>
      <c r="N16" s="85"/>
      <c r="O16" s="85"/>
      <c r="P16" s="85"/>
      <c r="Q16" s="85"/>
      <c r="R16" s="85"/>
      <c r="S16" s="85"/>
      <c r="T16" s="84"/>
      <c r="U16" s="84"/>
      <c r="V16" s="84"/>
      <c r="W16" s="84"/>
      <c r="X16" s="80"/>
      <c r="Y16" s="94"/>
    </row>
    <row r="17" spans="1:28" ht="15" customHeight="1" x14ac:dyDescent="0.25">
      <c r="A17" s="194" t="str">
        <f ca="1">'Formulario OM'!A17</f>
        <v>ESPACIOS (+1)</v>
      </c>
      <c r="B17" s="65"/>
      <c r="C17" s="66"/>
      <c r="D17" s="66"/>
      <c r="E17" s="77" t="str">
        <f ca="1">INDIRECT("Z_EM_01_"&amp;IDIOMA)</f>
        <v xml:space="preserve">Grupo </v>
      </c>
      <c r="F17" s="855" t="str">
        <f ca="1">UPPER($E$17)&amp;" 1"</f>
        <v>GRUPO  1</v>
      </c>
      <c r="G17" s="855"/>
      <c r="H17" s="855"/>
      <c r="I17" s="855"/>
      <c r="J17" s="854" t="str">
        <f ca="1">UPPER($E$17)&amp;" 2"</f>
        <v>GRUPO  2</v>
      </c>
      <c r="K17" s="854"/>
      <c r="L17" s="854"/>
      <c r="M17" s="854"/>
      <c r="N17" s="88"/>
      <c r="O17" s="88"/>
      <c r="P17" s="855" t="str">
        <f ca="1">F17</f>
        <v>GRUPO  1</v>
      </c>
      <c r="Q17" s="855"/>
      <c r="R17" s="855"/>
      <c r="S17" s="855"/>
      <c r="T17" s="854" t="str">
        <f ca="1">J17</f>
        <v>GRUPO  2</v>
      </c>
      <c r="U17" s="854"/>
      <c r="V17" s="854"/>
      <c r="W17" s="854"/>
      <c r="X17" s="68"/>
      <c r="Y17" s="198"/>
      <c r="Z17" s="300">
        <f>Z15+1</f>
        <v>7</v>
      </c>
      <c r="AA17" s="314"/>
      <c r="AB17" s="300">
        <f>AB15+1</f>
        <v>23</v>
      </c>
    </row>
    <row r="18" spans="1:28" ht="6" customHeight="1" thickBot="1" x14ac:dyDescent="0.3">
      <c r="B18" s="75"/>
      <c r="C18" s="76"/>
      <c r="D18" s="76"/>
      <c r="E18" s="77" t="str">
        <f ca="1">INDIRECT("Z_EM_02_"&amp;IDIOMA)</f>
        <v xml:space="preserve">Pareja </v>
      </c>
      <c r="F18" s="76"/>
      <c r="G18" s="77"/>
      <c r="H18" s="78"/>
      <c r="I18" s="79"/>
      <c r="J18" s="79"/>
      <c r="K18" s="79"/>
      <c r="L18" s="79"/>
      <c r="M18" s="79"/>
      <c r="N18" s="79"/>
      <c r="O18" s="79"/>
      <c r="P18" s="79"/>
      <c r="Q18" s="79"/>
      <c r="R18" s="79"/>
      <c r="S18" s="79"/>
      <c r="T18" s="79"/>
      <c r="U18" s="79"/>
      <c r="V18" s="79"/>
      <c r="W18" s="79"/>
      <c r="X18" s="80"/>
      <c r="Y18" s="94"/>
    </row>
    <row r="19" spans="1:28" ht="15.75" customHeight="1" thickTop="1" thickBot="1" x14ac:dyDescent="0.3">
      <c r="A19" s="194" t="str">
        <f ca="1">'Formulario OM'!A19</f>
        <v>TEXTO ROJO</v>
      </c>
      <c r="B19" s="65"/>
      <c r="C19" s="750" t="str">
        <f ca="1">$E$18&amp;"01"</f>
        <v>Pareja 01</v>
      </c>
      <c r="D19" s="750"/>
      <c r="E19" s="841"/>
      <c r="F19" s="849"/>
      <c r="G19" s="850"/>
      <c r="H19" s="850"/>
      <c r="I19" s="851"/>
      <c r="J19" s="852"/>
      <c r="K19" s="826"/>
      <c r="L19" s="826"/>
      <c r="M19" s="826"/>
      <c r="N19" s="750" t="str">
        <f ca="1">$E$18&amp;"02"</f>
        <v>Pareja 02</v>
      </c>
      <c r="O19" s="853"/>
      <c r="P19" s="849"/>
      <c r="Q19" s="850"/>
      <c r="R19" s="850"/>
      <c r="S19" s="851"/>
      <c r="T19" s="852"/>
      <c r="U19" s="826"/>
      <c r="V19" s="826"/>
      <c r="W19" s="826"/>
      <c r="X19" s="68"/>
      <c r="Y19" s="198"/>
      <c r="Z19" s="300">
        <f>Z17+1</f>
        <v>8</v>
      </c>
      <c r="AA19" s="314"/>
      <c r="AB19" s="300">
        <f>AB17+1</f>
        <v>24</v>
      </c>
    </row>
    <row r="20" spans="1:28" ht="6" customHeight="1" thickTop="1" thickBot="1" x14ac:dyDescent="0.3">
      <c r="A20" s="195"/>
      <c r="B20" s="75"/>
      <c r="C20" s="76"/>
      <c r="D20" s="76"/>
      <c r="E20" s="76"/>
      <c r="F20" s="235"/>
      <c r="G20" s="235"/>
      <c r="H20" s="236"/>
      <c r="I20" s="236"/>
      <c r="J20" s="236"/>
      <c r="K20" s="236"/>
      <c r="L20" s="236"/>
      <c r="M20" s="236"/>
      <c r="N20" s="79"/>
      <c r="O20" s="79"/>
      <c r="P20" s="236"/>
      <c r="Q20" s="236"/>
      <c r="R20" s="236"/>
      <c r="S20" s="236"/>
      <c r="T20" s="236"/>
      <c r="U20" s="236"/>
      <c r="V20" s="236"/>
      <c r="W20" s="236"/>
      <c r="X20" s="80"/>
      <c r="Y20" s="94"/>
    </row>
    <row r="21" spans="1:28" ht="16.5" thickTop="1" thickBot="1" x14ac:dyDescent="0.3">
      <c r="A21" s="194" t="str">
        <f ca="1">'Formulario OM'!A21</f>
        <v>TEXTO AZUL</v>
      </c>
      <c r="B21" s="65"/>
      <c r="C21" s="750" t="str">
        <f ca="1">$E$18&amp;"03"</f>
        <v>Pareja 03</v>
      </c>
      <c r="D21" s="844"/>
      <c r="E21" s="853"/>
      <c r="F21" s="849"/>
      <c r="G21" s="850"/>
      <c r="H21" s="850"/>
      <c r="I21" s="851"/>
      <c r="J21" s="852"/>
      <c r="K21" s="826"/>
      <c r="L21" s="826"/>
      <c r="M21" s="826"/>
      <c r="N21" s="750" t="str">
        <f ca="1">$E$18&amp;"04"</f>
        <v>Pareja 04</v>
      </c>
      <c r="O21" s="853"/>
      <c r="P21" s="762"/>
      <c r="Q21" s="763"/>
      <c r="R21" s="763"/>
      <c r="S21" s="764"/>
      <c r="T21" s="848"/>
      <c r="U21" s="771"/>
      <c r="V21" s="771"/>
      <c r="W21" s="771"/>
      <c r="X21" s="68"/>
      <c r="Y21" s="198"/>
      <c r="Z21" s="300">
        <f>Z19+1</f>
        <v>9</v>
      </c>
      <c r="AA21" s="314"/>
      <c r="AB21" s="300">
        <f>AB19+1</f>
        <v>25</v>
      </c>
    </row>
    <row r="22" spans="1:28" ht="6" customHeight="1" thickTop="1" thickBot="1" x14ac:dyDescent="0.3">
      <c r="B22" s="75"/>
      <c r="C22" s="76"/>
      <c r="D22" s="76"/>
      <c r="E22" s="76"/>
      <c r="F22" s="235"/>
      <c r="G22" s="235"/>
      <c r="H22" s="236"/>
      <c r="I22" s="236"/>
      <c r="J22" s="236"/>
      <c r="K22" s="236"/>
      <c r="L22" s="236"/>
      <c r="M22" s="236"/>
      <c r="N22" s="79"/>
      <c r="O22" s="76"/>
      <c r="P22" s="236"/>
      <c r="Q22" s="236"/>
      <c r="R22" s="236"/>
      <c r="S22" s="236"/>
      <c r="T22" s="236"/>
      <c r="U22" s="236"/>
      <c r="V22" s="236"/>
      <c r="W22" s="236"/>
      <c r="X22" s="80"/>
      <c r="Y22" s="94"/>
      <c r="Z22" s="17"/>
    </row>
    <row r="23" spans="1:28" ht="16.5" thickTop="1" thickBot="1" x14ac:dyDescent="0.3">
      <c r="A23" s="194" t="str">
        <f ca="1">'Formulario OM'!A23</f>
        <v>OTRO COLOR</v>
      </c>
      <c r="B23" s="65"/>
      <c r="C23" s="750" t="str">
        <f ca="1">$E$18&amp;"05"</f>
        <v>Pareja 05</v>
      </c>
      <c r="D23" s="844"/>
      <c r="E23" s="853"/>
      <c r="F23" s="762"/>
      <c r="G23" s="763"/>
      <c r="H23" s="763"/>
      <c r="I23" s="764"/>
      <c r="J23" s="848"/>
      <c r="K23" s="771"/>
      <c r="L23" s="771"/>
      <c r="M23" s="771"/>
      <c r="N23" s="750" t="str">
        <f ca="1">$E$18&amp;"06"</f>
        <v>Pareja 06</v>
      </c>
      <c r="O23" s="853"/>
      <c r="P23" s="762"/>
      <c r="Q23" s="763"/>
      <c r="R23" s="763"/>
      <c r="S23" s="764"/>
      <c r="T23" s="848"/>
      <c r="U23" s="771"/>
      <c r="V23" s="771"/>
      <c r="W23" s="771"/>
      <c r="X23" s="68"/>
      <c r="Y23" s="198"/>
      <c r="Z23" s="300">
        <f>Z21+1</f>
        <v>10</v>
      </c>
      <c r="AA23" s="314"/>
      <c r="AB23" s="300">
        <f>AB21+1</f>
        <v>26</v>
      </c>
    </row>
    <row r="24" spans="1:28" ht="6" customHeight="1" thickTop="1" thickBot="1" x14ac:dyDescent="0.3">
      <c r="B24" s="75"/>
      <c r="C24" s="76"/>
      <c r="D24" s="76"/>
      <c r="E24" s="76"/>
      <c r="F24" s="235"/>
      <c r="G24" s="235"/>
      <c r="H24" s="236"/>
      <c r="I24" s="236"/>
      <c r="J24" s="236"/>
      <c r="K24" s="236"/>
      <c r="L24" s="236"/>
      <c r="M24" s="236"/>
      <c r="N24" s="79"/>
      <c r="O24" s="76"/>
      <c r="P24" s="236"/>
      <c r="Q24" s="236"/>
      <c r="R24" s="236"/>
      <c r="S24" s="236"/>
      <c r="T24" s="236"/>
      <c r="U24" s="236"/>
      <c r="V24" s="236"/>
      <c r="W24" s="236"/>
      <c r="X24" s="80"/>
      <c r="Y24" s="4"/>
      <c r="Z24" s="17"/>
    </row>
    <row r="25" spans="1:28" ht="15" customHeight="1" thickTop="1" thickBot="1" x14ac:dyDescent="0.3">
      <c r="A25" s="737" t="str">
        <f ca="1">'Formulario OM'!A25</f>
        <v>INSERTAR
IMÁGENES</v>
      </c>
      <c r="B25" s="65"/>
      <c r="C25" s="750" t="str">
        <f ca="1">$E$18&amp;"07"</f>
        <v>Pareja 07</v>
      </c>
      <c r="D25" s="844"/>
      <c r="E25" s="853"/>
      <c r="F25" s="762"/>
      <c r="G25" s="763"/>
      <c r="H25" s="763"/>
      <c r="I25" s="764"/>
      <c r="J25" s="848"/>
      <c r="K25" s="771"/>
      <c r="L25" s="771"/>
      <c r="M25" s="771"/>
      <c r="N25" s="750" t="str">
        <f ca="1">$E$18&amp;"08"</f>
        <v>Pareja 08</v>
      </c>
      <c r="O25" s="853"/>
      <c r="P25" s="762"/>
      <c r="Q25" s="763"/>
      <c r="R25" s="763"/>
      <c r="S25" s="764"/>
      <c r="T25" s="848"/>
      <c r="U25" s="771"/>
      <c r="V25" s="771"/>
      <c r="W25" s="771"/>
      <c r="X25" s="68"/>
      <c r="Y25" s="198"/>
      <c r="Z25" s="300">
        <f>Z23+1</f>
        <v>11</v>
      </c>
      <c r="AA25" s="314"/>
      <c r="AB25" s="300">
        <f>AB23+1</f>
        <v>27</v>
      </c>
    </row>
    <row r="26" spans="1:28" ht="6" customHeight="1" thickTop="1" thickBot="1" x14ac:dyDescent="0.3">
      <c r="A26" s="738"/>
      <c r="B26" s="75"/>
      <c r="C26" s="76"/>
      <c r="D26" s="76"/>
      <c r="E26" s="76"/>
      <c r="F26" s="235"/>
      <c r="G26" s="235"/>
      <c r="H26" s="236"/>
      <c r="I26" s="236"/>
      <c r="J26" s="236"/>
      <c r="K26" s="236"/>
      <c r="L26" s="236"/>
      <c r="M26" s="236"/>
      <c r="N26" s="79"/>
      <c r="O26" s="76"/>
      <c r="P26" s="236"/>
      <c r="Q26" s="236"/>
      <c r="R26" s="236"/>
      <c r="S26" s="236"/>
      <c r="T26" s="236"/>
      <c r="U26" s="236"/>
      <c r="V26" s="236"/>
      <c r="W26" s="236"/>
      <c r="X26" s="80"/>
      <c r="Y26" s="94"/>
      <c r="Z26" s="17"/>
    </row>
    <row r="27" spans="1:28" ht="15" customHeight="1" thickTop="1" thickBot="1" x14ac:dyDescent="0.3">
      <c r="A27" s="739"/>
      <c r="B27" s="75"/>
      <c r="C27" s="750" t="str">
        <f ca="1">$E$18&amp;"09"</f>
        <v>Pareja 09</v>
      </c>
      <c r="D27" s="844"/>
      <c r="E27" s="853"/>
      <c r="F27" s="762"/>
      <c r="G27" s="763"/>
      <c r="H27" s="763"/>
      <c r="I27" s="764"/>
      <c r="J27" s="848"/>
      <c r="K27" s="771"/>
      <c r="L27" s="771"/>
      <c r="M27" s="771"/>
      <c r="N27" s="750" t="str">
        <f ca="1">$E$18&amp;"10"</f>
        <v>Pareja 10</v>
      </c>
      <c r="O27" s="853"/>
      <c r="P27" s="762"/>
      <c r="Q27" s="763"/>
      <c r="R27" s="763"/>
      <c r="S27" s="764"/>
      <c r="T27" s="848"/>
      <c r="U27" s="771"/>
      <c r="V27" s="771"/>
      <c r="W27" s="771"/>
      <c r="X27" s="80"/>
      <c r="Y27" s="198"/>
      <c r="Z27" s="300">
        <f>Z25+1</f>
        <v>12</v>
      </c>
      <c r="AA27" s="314"/>
      <c r="AB27" s="300">
        <f>AB25+1</f>
        <v>28</v>
      </c>
    </row>
    <row r="28" spans="1:28" ht="6" customHeight="1" thickBot="1" x14ac:dyDescent="0.3">
      <c r="B28" s="75"/>
      <c r="C28" s="76"/>
      <c r="D28" s="76"/>
      <c r="E28" s="76"/>
      <c r="F28" s="235"/>
      <c r="G28" s="235"/>
      <c r="H28" s="236"/>
      <c r="I28" s="236"/>
      <c r="J28" s="236"/>
      <c r="K28" s="236"/>
      <c r="L28" s="236"/>
      <c r="M28" s="236"/>
      <c r="N28" s="79"/>
      <c r="O28" s="76"/>
      <c r="P28" s="236"/>
      <c r="Q28" s="236"/>
      <c r="R28" s="236"/>
      <c r="S28" s="236"/>
      <c r="T28" s="236"/>
      <c r="U28" s="236"/>
      <c r="V28" s="236"/>
      <c r="W28" s="236"/>
      <c r="X28" s="80"/>
      <c r="Y28" s="94"/>
      <c r="Z28" s="17"/>
    </row>
    <row r="29" spans="1:28" ht="15" customHeight="1" thickTop="1" thickBot="1" x14ac:dyDescent="0.3">
      <c r="A29" s="737" t="str">
        <f ca="1">'Formulario OM'!A29</f>
        <v>USAR DATOS VARIABLES</v>
      </c>
      <c r="B29" s="65"/>
      <c r="C29" s="750" t="str">
        <f ca="1">$E$18&amp;"11"</f>
        <v>Pareja 11</v>
      </c>
      <c r="D29" s="844"/>
      <c r="E29" s="853"/>
      <c r="F29" s="762"/>
      <c r="G29" s="763"/>
      <c r="H29" s="763"/>
      <c r="I29" s="764"/>
      <c r="J29" s="848"/>
      <c r="K29" s="771"/>
      <c r="L29" s="771"/>
      <c r="M29" s="771"/>
      <c r="N29" s="750" t="str">
        <f ca="1">$E$18&amp;"12"</f>
        <v>Pareja 12</v>
      </c>
      <c r="O29" s="853"/>
      <c r="P29" s="762"/>
      <c r="Q29" s="763"/>
      <c r="R29" s="763"/>
      <c r="S29" s="764"/>
      <c r="T29" s="848"/>
      <c r="U29" s="771"/>
      <c r="V29" s="771"/>
      <c r="W29" s="771"/>
      <c r="X29" s="180"/>
      <c r="Y29" s="198"/>
      <c r="Z29" s="300">
        <f>Z27+1</f>
        <v>13</v>
      </c>
      <c r="AA29" s="314"/>
      <c r="AB29" s="300">
        <f>AB27+1</f>
        <v>29</v>
      </c>
    </row>
    <row r="30" spans="1:28" ht="6" customHeight="1" thickTop="1" x14ac:dyDescent="0.25">
      <c r="A30" s="738"/>
      <c r="B30" s="65"/>
      <c r="C30" s="69"/>
      <c r="D30" s="69"/>
      <c r="E30" s="69"/>
      <c r="F30" s="77"/>
      <c r="G30" s="66"/>
      <c r="H30" s="76"/>
      <c r="I30" s="76"/>
      <c r="J30" s="70"/>
      <c r="K30" s="70"/>
      <c r="L30" s="70"/>
      <c r="M30" s="70"/>
      <c r="N30" s="70"/>
      <c r="O30" s="70"/>
      <c r="P30" s="70"/>
      <c r="Q30" s="70"/>
      <c r="R30" s="179"/>
      <c r="S30" s="179"/>
      <c r="T30" s="179"/>
      <c r="U30" s="179"/>
      <c r="V30" s="179"/>
      <c r="W30" s="179"/>
      <c r="X30" s="180"/>
      <c r="Y30" s="94"/>
      <c r="Z30" s="17"/>
    </row>
    <row r="31" spans="1:28" ht="15.75" thickBot="1" x14ac:dyDescent="0.3">
      <c r="A31" s="739"/>
      <c r="B31" s="65"/>
      <c r="C31" s="66"/>
      <c r="D31" s="66"/>
      <c r="E31" s="69"/>
      <c r="F31" s="77">
        <v>1</v>
      </c>
      <c r="G31" s="856" t="str">
        <f ca="1">INDIRECT("Z_OM_11_"&amp;IDIOMA)</f>
        <v>PISTA</v>
      </c>
      <c r="H31" s="856"/>
      <c r="I31" s="856"/>
      <c r="J31" s="856"/>
      <c r="K31" s="856"/>
      <c r="L31" s="856"/>
      <c r="M31" s="856"/>
      <c r="N31" s="856"/>
      <c r="O31" s="856"/>
      <c r="P31" s="856"/>
      <c r="Q31" s="856"/>
      <c r="R31" s="179"/>
      <c r="S31" s="697"/>
      <c r="T31" s="697"/>
      <c r="U31" s="697"/>
      <c r="V31" s="697"/>
      <c r="W31" s="697"/>
      <c r="X31" s="783"/>
      <c r="Y31" s="198"/>
      <c r="Z31" s="300">
        <f>Z29+1</f>
        <v>14</v>
      </c>
      <c r="AA31" s="314"/>
      <c r="AB31" s="300">
        <f>AB29+1</f>
        <v>30</v>
      </c>
    </row>
    <row r="32" spans="1:28" ht="6" customHeight="1" thickBot="1" x14ac:dyDescent="0.3">
      <c r="A32" s="195"/>
      <c r="B32" s="65"/>
      <c r="C32" s="747" t="s">
        <v>138</v>
      </c>
      <c r="D32" s="747"/>
      <c r="E32" s="69"/>
      <c r="F32" s="77"/>
      <c r="G32" s="76"/>
      <c r="H32" s="76"/>
      <c r="I32" s="76"/>
      <c r="J32" s="70"/>
      <c r="K32" s="70"/>
      <c r="L32" s="70"/>
      <c r="M32" s="76"/>
      <c r="N32" s="70"/>
      <c r="O32" s="70"/>
      <c r="P32" s="70"/>
      <c r="Q32" s="70"/>
      <c r="R32" s="179"/>
      <c r="S32" s="697"/>
      <c r="T32" s="697"/>
      <c r="U32" s="697"/>
      <c r="V32" s="697"/>
      <c r="W32" s="697"/>
      <c r="X32" s="783"/>
      <c r="Y32" s="94"/>
    </row>
    <row r="33" spans="1:28" ht="15.75" customHeight="1" thickTop="1" thickBot="1" x14ac:dyDescent="0.3">
      <c r="A33" s="194" t="str">
        <f ca="1">'Formulario OM'!A33</f>
        <v>ACTIVAR</v>
      </c>
      <c r="B33" s="65"/>
      <c r="C33" s="747"/>
      <c r="D33" s="747"/>
      <c r="E33" s="69"/>
      <c r="F33" s="215" t="s">
        <v>858</v>
      </c>
      <c r="G33" s="796"/>
      <c r="H33" s="797"/>
      <c r="I33" s="797"/>
      <c r="J33" s="797"/>
      <c r="K33" s="798"/>
      <c r="L33" s="215" t="s">
        <v>856</v>
      </c>
      <c r="M33" s="796"/>
      <c r="N33" s="797"/>
      <c r="O33" s="797"/>
      <c r="P33" s="797"/>
      <c r="Q33" s="798"/>
      <c r="R33" s="179"/>
      <c r="S33" s="697"/>
      <c r="T33" s="697"/>
      <c r="U33" s="697"/>
      <c r="V33" s="697"/>
      <c r="W33" s="697"/>
      <c r="X33" s="783"/>
      <c r="Y33" s="198"/>
      <c r="Z33" s="300">
        <f>Z31+1</f>
        <v>15</v>
      </c>
      <c r="AA33" s="314"/>
      <c r="AB33" s="300">
        <f>AB31+1</f>
        <v>31</v>
      </c>
    </row>
    <row r="34" spans="1:28" ht="6" customHeight="1" thickTop="1" thickBot="1" x14ac:dyDescent="0.3">
      <c r="A34" s="2"/>
      <c r="B34" s="65"/>
      <c r="C34" s="747"/>
      <c r="D34" s="747"/>
      <c r="E34" s="69"/>
      <c r="F34" s="77"/>
      <c r="G34" s="76"/>
      <c r="H34" s="76"/>
      <c r="I34" s="76"/>
      <c r="J34" s="70"/>
      <c r="K34" s="70"/>
      <c r="L34" s="70"/>
      <c r="M34" s="76"/>
      <c r="N34" s="71"/>
      <c r="O34" s="71"/>
      <c r="P34" s="71"/>
      <c r="Q34" s="71"/>
      <c r="R34" s="179"/>
      <c r="S34" s="697"/>
      <c r="T34" s="697"/>
      <c r="U34" s="697"/>
      <c r="V34" s="697"/>
      <c r="W34" s="697"/>
      <c r="X34" s="783"/>
      <c r="Y34" s="94"/>
    </row>
    <row r="35" spans="1:28" ht="15.75" customHeight="1" thickTop="1" thickBot="1" x14ac:dyDescent="0.3">
      <c r="A35" s="194" t="str">
        <f ca="1">'Formulario OM'!A35</f>
        <v>DESACTIVAR</v>
      </c>
      <c r="B35" s="65"/>
      <c r="C35" s="747"/>
      <c r="D35" s="747"/>
      <c r="E35" s="69"/>
      <c r="F35" s="215" t="s">
        <v>859</v>
      </c>
      <c r="G35" s="796"/>
      <c r="H35" s="797"/>
      <c r="I35" s="797"/>
      <c r="J35" s="797"/>
      <c r="K35" s="798"/>
      <c r="L35" s="215" t="s">
        <v>857</v>
      </c>
      <c r="M35" s="796"/>
      <c r="N35" s="797"/>
      <c r="O35" s="797"/>
      <c r="P35" s="797"/>
      <c r="Q35" s="798"/>
      <c r="R35" s="179"/>
      <c r="S35" s="697"/>
      <c r="T35" s="697"/>
      <c r="U35" s="697"/>
      <c r="V35" s="697"/>
      <c r="W35" s="697"/>
      <c r="X35" s="783"/>
      <c r="Y35" s="198"/>
      <c r="Z35" s="300">
        <f>Z33+1</f>
        <v>16</v>
      </c>
      <c r="AA35" s="314"/>
      <c r="AB35" s="300">
        <f>AB33+1</f>
        <v>32</v>
      </c>
    </row>
    <row r="36" spans="1:28" ht="9.9499999999999993" customHeight="1" thickTop="1" thickBot="1" x14ac:dyDescent="0.3">
      <c r="A36" s="653" t="str">
        <f>IF(AB2&gt;0,AB2,"")</f>
        <v/>
      </c>
      <c r="B36" s="315"/>
      <c r="C36" s="336" t="str">
        <f>Version</f>
        <v xml:space="preserve">   V - 5.0 </v>
      </c>
      <c r="D36" s="72"/>
      <c r="E36" s="72"/>
      <c r="F36" s="233">
        <v>4</v>
      </c>
      <c r="G36" s="72"/>
      <c r="H36" s="72"/>
      <c r="I36" s="72"/>
      <c r="J36" s="72"/>
      <c r="K36" s="72"/>
      <c r="L36" s="72"/>
      <c r="M36" s="72"/>
      <c r="N36" s="72"/>
      <c r="O36" s="72"/>
      <c r="P36" s="72"/>
      <c r="Q36" s="72"/>
      <c r="R36" s="181"/>
      <c r="S36" s="784"/>
      <c r="T36" s="784"/>
      <c r="U36" s="784"/>
      <c r="V36" s="784"/>
      <c r="W36" s="784"/>
      <c r="X36" s="785"/>
      <c r="Y36" s="94"/>
    </row>
    <row r="37" spans="1:28" s="3" customFormat="1" ht="15.75" hidden="1" customHeight="1" thickTop="1" x14ac:dyDescent="0.25">
      <c r="G37" s="48">
        <v>401</v>
      </c>
      <c r="M37" s="303" t="b">
        <v>1</v>
      </c>
      <c r="N37" s="48" t="b">
        <f>Centrar_Tabla</f>
        <v>1</v>
      </c>
      <c r="Y37" s="6"/>
    </row>
    <row r="38" spans="1:28" s="3" customFormat="1" ht="5.0999999999999996" customHeight="1" thickTop="1" x14ac:dyDescent="0.25">
      <c r="A38" s="6"/>
      <c r="B38" s="18"/>
      <c r="C38" s="18"/>
      <c r="D38" s="18"/>
      <c r="E38" s="18"/>
      <c r="F38" s="18"/>
      <c r="G38" s="18"/>
      <c r="Y38" s="6"/>
    </row>
    <row r="39" spans="1:28" s="3" customFormat="1" x14ac:dyDescent="0.25">
      <c r="A39" s="6"/>
      <c r="Y39" s="6"/>
    </row>
    <row r="40" spans="1:28" s="3" customFormat="1" hidden="1" x14ac:dyDescent="0.25">
      <c r="A40" s="6"/>
      <c r="Y40" s="6"/>
    </row>
    <row r="41" spans="1:28" s="3" customFormat="1" ht="15.75" hidden="1" x14ac:dyDescent="0.25">
      <c r="A41" s="199"/>
      <c r="Y41" s="6"/>
    </row>
    <row r="42" spans="1:28" s="3" customFormat="1" hidden="1" x14ac:dyDescent="0.25">
      <c r="A42" s="6"/>
      <c r="Y42" s="6"/>
    </row>
    <row r="43" spans="1:28" s="3" customFormat="1" hidden="1" x14ac:dyDescent="0.25">
      <c r="A43" s="6"/>
      <c r="Y43" s="6"/>
    </row>
    <row r="44" spans="1:28" s="3" customFormat="1" hidden="1" x14ac:dyDescent="0.25">
      <c r="A44" s="6"/>
      <c r="Y44" s="6"/>
    </row>
    <row r="45" spans="1:28" s="3" customFormat="1" hidden="1" x14ac:dyDescent="0.25">
      <c r="A45" s="6"/>
      <c r="Y45" s="6"/>
    </row>
    <row r="46" spans="1:28" s="3" customFormat="1" hidden="1" x14ac:dyDescent="0.25">
      <c r="Y46" s="6"/>
    </row>
    <row r="47" spans="1:28" s="3" customFormat="1" hidden="1" x14ac:dyDescent="0.25">
      <c r="A47"/>
      <c r="Y47" s="6"/>
    </row>
    <row r="48" spans="1:28" s="3" customFormat="1" hidden="1" x14ac:dyDescent="0.25">
      <c r="A48"/>
      <c r="Y48" s="6"/>
    </row>
    <row r="49" spans="1:25" s="3" customFormat="1" hidden="1" x14ac:dyDescent="0.25">
      <c r="A49"/>
      <c r="Y49" s="6"/>
    </row>
    <row r="50" spans="1:25" s="3" customFormat="1" hidden="1" x14ac:dyDescent="0.25">
      <c r="A50"/>
      <c r="Y50" s="6"/>
    </row>
    <row r="51" spans="1:25" s="3" customFormat="1" hidden="1" x14ac:dyDescent="0.25">
      <c r="A51"/>
      <c r="Y51" s="6"/>
    </row>
    <row r="52" spans="1:25" s="3" customFormat="1" hidden="1" x14ac:dyDescent="0.25">
      <c r="A52"/>
      <c r="Y52" s="6"/>
    </row>
    <row r="53" spans="1:25" s="3" customFormat="1" hidden="1" x14ac:dyDescent="0.25">
      <c r="A53"/>
      <c r="Y53" s="6"/>
    </row>
    <row r="54" spans="1:25" s="3" customFormat="1" hidden="1" x14ac:dyDescent="0.25">
      <c r="A54"/>
      <c r="Y54" s="6"/>
    </row>
    <row r="55" spans="1:25" s="3" customFormat="1" hidden="1" x14ac:dyDescent="0.25">
      <c r="A55"/>
      <c r="Y55" s="6"/>
    </row>
    <row r="56" spans="1:25" s="3" customFormat="1" hidden="1" x14ac:dyDescent="0.25">
      <c r="A56"/>
      <c r="Y56" s="6"/>
    </row>
    <row r="57" spans="1:25" s="3" customFormat="1" hidden="1" x14ac:dyDescent="0.25">
      <c r="A57"/>
      <c r="Y57" s="6"/>
    </row>
    <row r="58" spans="1:25" s="3" customFormat="1" hidden="1" x14ac:dyDescent="0.25">
      <c r="A58"/>
      <c r="Y58" s="6"/>
    </row>
    <row r="59" spans="1:25" s="3" customFormat="1" hidden="1" x14ac:dyDescent="0.25">
      <c r="A59"/>
      <c r="Y59" s="6"/>
    </row>
    <row r="60" spans="1:25" s="3" customFormat="1" hidden="1" x14ac:dyDescent="0.25">
      <c r="A60"/>
      <c r="Y60" s="6"/>
    </row>
    <row r="61" spans="1:25" s="3" customFormat="1" hidden="1" x14ac:dyDescent="0.25">
      <c r="A61"/>
      <c r="Y61" s="6"/>
    </row>
    <row r="62" spans="1:25" s="3" customFormat="1" hidden="1" x14ac:dyDescent="0.25">
      <c r="A62"/>
      <c r="Y62" s="6"/>
    </row>
    <row r="63" spans="1:25" s="3" customFormat="1" hidden="1" x14ac:dyDescent="0.25">
      <c r="A63"/>
      <c r="Y63" s="6"/>
    </row>
    <row r="64" spans="1:25" s="3" customFormat="1" hidden="1" x14ac:dyDescent="0.25">
      <c r="A64"/>
      <c r="Y64" s="6"/>
    </row>
    <row r="65" spans="1:25" s="3" customFormat="1" hidden="1" x14ac:dyDescent="0.25">
      <c r="A65"/>
      <c r="Y65" s="6"/>
    </row>
    <row r="66" spans="1:25" s="3" customFormat="1" hidden="1" x14ac:dyDescent="0.25">
      <c r="A66"/>
      <c r="Y66" s="6"/>
    </row>
    <row r="67" spans="1:25" s="3" customFormat="1" hidden="1" x14ac:dyDescent="0.25">
      <c r="A67"/>
      <c r="Y67" s="6"/>
    </row>
    <row r="68" spans="1:25" s="3" customFormat="1" hidden="1" x14ac:dyDescent="0.25">
      <c r="A68"/>
      <c r="Y68" s="6"/>
    </row>
    <row r="69" spans="1:25" s="3" customFormat="1" hidden="1" x14ac:dyDescent="0.25">
      <c r="A69"/>
      <c r="Y69" s="6"/>
    </row>
    <row r="70" spans="1:25" s="3" customFormat="1" hidden="1" x14ac:dyDescent="0.25">
      <c r="A70"/>
      <c r="Y70" s="6"/>
    </row>
    <row r="71" spans="1:25" s="3" customFormat="1" hidden="1" x14ac:dyDescent="0.25">
      <c r="A71"/>
      <c r="Y71" s="6"/>
    </row>
    <row r="72" spans="1:25" s="3" customFormat="1" hidden="1" x14ac:dyDescent="0.25">
      <c r="A72"/>
      <c r="Y72" s="6"/>
    </row>
    <row r="73" spans="1:25" hidden="1" x14ac:dyDescent="0.25"/>
    <row r="74" spans="1:25" hidden="1" x14ac:dyDescent="0.25"/>
    <row r="75" spans="1:25" hidden="1" x14ac:dyDescent="0.25"/>
    <row r="76" spans="1:25" hidden="1" x14ac:dyDescent="0.25"/>
    <row r="77" spans="1:25" hidden="1" x14ac:dyDescent="0.25"/>
    <row r="78" spans="1:25" hidden="1" x14ac:dyDescent="0.25"/>
    <row r="79" spans="1:25" hidden="1" x14ac:dyDescent="0.25"/>
    <row r="80" spans="1:25" hidden="1" x14ac:dyDescent="0.25"/>
    <row r="81" hidden="1" x14ac:dyDescent="0.25"/>
    <row r="82" hidden="1" x14ac:dyDescent="0.25"/>
    <row r="83" hidden="1" x14ac:dyDescent="0.25"/>
    <row r="84" hidden="1" x14ac:dyDescent="0.25"/>
    <row r="85" hidden="1" x14ac:dyDescent="0.25"/>
    <row r="86" hidden="1" x14ac:dyDescent="0.25"/>
    <row r="87" hidden="1" x14ac:dyDescent="0.25"/>
    <row r="88" hidden="1" x14ac:dyDescent="0.25"/>
    <row r="89" hidden="1" x14ac:dyDescent="0.25"/>
    <row r="90" hidden="1" x14ac:dyDescent="0.25"/>
    <row r="91" hidden="1" x14ac:dyDescent="0.25"/>
    <row r="92" hidden="1" x14ac:dyDescent="0.25"/>
    <row r="93" hidden="1" x14ac:dyDescent="0.25"/>
    <row r="94" hidden="1" x14ac:dyDescent="0.25"/>
    <row r="95" hidden="1" x14ac:dyDescent="0.25"/>
    <row r="96" hidden="1" x14ac:dyDescent="0.25"/>
    <row r="97" hidden="1" x14ac:dyDescent="0.25"/>
    <row r="98" hidden="1" x14ac:dyDescent="0.25"/>
    <row r="99" hidden="1" x14ac:dyDescent="0.25"/>
    <row r="100" hidden="1" x14ac:dyDescent="0.25"/>
    <row r="101" hidden="1" x14ac:dyDescent="0.25"/>
    <row r="102" hidden="1" x14ac:dyDescent="0.25"/>
    <row r="103" hidden="1" x14ac:dyDescent="0.25"/>
    <row r="104" hidden="1" x14ac:dyDescent="0.25"/>
    <row r="105" hidden="1" x14ac:dyDescent="0.25"/>
    <row r="106" hidden="1" x14ac:dyDescent="0.25"/>
    <row r="107" hidden="1" x14ac:dyDescent="0.25"/>
    <row r="108" hidden="1" x14ac:dyDescent="0.25"/>
    <row r="109" hidden="1" x14ac:dyDescent="0.25"/>
    <row r="110" hidden="1" x14ac:dyDescent="0.25"/>
    <row r="111" hidden="1" x14ac:dyDescent="0.25"/>
    <row r="112" hidden="1" x14ac:dyDescent="0.25"/>
    <row r="113" hidden="1" x14ac:dyDescent="0.25"/>
    <row r="114" hidden="1" x14ac:dyDescent="0.25"/>
    <row r="115" hidden="1" x14ac:dyDescent="0.25"/>
    <row r="116" hidden="1" x14ac:dyDescent="0.25"/>
    <row r="117" hidden="1" x14ac:dyDescent="0.25"/>
    <row r="118" hidden="1" x14ac:dyDescent="0.25"/>
    <row r="119" hidden="1" x14ac:dyDescent="0.25"/>
    <row r="120" hidden="1" x14ac:dyDescent="0.25"/>
    <row r="121" hidden="1" x14ac:dyDescent="0.25"/>
    <row r="122" hidden="1" x14ac:dyDescent="0.25"/>
    <row r="123" hidden="1" x14ac:dyDescent="0.25"/>
    <row r="124" hidden="1" x14ac:dyDescent="0.25"/>
    <row r="125" hidden="1" x14ac:dyDescent="0.25"/>
    <row r="126" hidden="1" x14ac:dyDescent="0.25"/>
    <row r="127" hidden="1" x14ac:dyDescent="0.25"/>
    <row r="128" hidden="1" x14ac:dyDescent="0.25"/>
    <row r="129" hidden="1" x14ac:dyDescent="0.25"/>
    <row r="130" hidden="1" x14ac:dyDescent="0.25"/>
  </sheetData>
  <sheetProtection algorithmName="SHA-512" hashValue="x2Vbeh1cmtz/tUSleotiytlXICTd0ociSxH12dTEwIfeeGCZqxpX3K9zlTnXDukpQwOuY4PuGDX75TUJ4LEEww==" saltValue="GaVLv2lcEZsJewdCXPkTcQ==" spinCount="100000" sheet="1" objects="1" scenarios="1" selectLockedCells="1"/>
  <mergeCells count="75">
    <mergeCell ref="N21:O21"/>
    <mergeCell ref="N23:O23"/>
    <mergeCell ref="N25:O25"/>
    <mergeCell ref="N27:O27"/>
    <mergeCell ref="N29:O29"/>
    <mergeCell ref="I5:K5"/>
    <mergeCell ref="C19:E19"/>
    <mergeCell ref="C21:E21"/>
    <mergeCell ref="C23:E23"/>
    <mergeCell ref="C25:E25"/>
    <mergeCell ref="B5:G5"/>
    <mergeCell ref="B7:G7"/>
    <mergeCell ref="B9:G9"/>
    <mergeCell ref="B11:G11"/>
    <mergeCell ref="B12:C14"/>
    <mergeCell ref="F27:I27"/>
    <mergeCell ref="F29:I29"/>
    <mergeCell ref="J27:M27"/>
    <mergeCell ref="J29:M29"/>
    <mergeCell ref="D13:G13"/>
    <mergeCell ref="F21:I21"/>
    <mergeCell ref="F25:I25"/>
    <mergeCell ref="J25:M25"/>
    <mergeCell ref="J19:M19"/>
    <mergeCell ref="J21:M21"/>
    <mergeCell ref="J23:M23"/>
    <mergeCell ref="B15:F15"/>
    <mergeCell ref="G14:G16"/>
    <mergeCell ref="C27:E27"/>
    <mergeCell ref="C29:E29"/>
    <mergeCell ref="G31:Q31"/>
    <mergeCell ref="G33:K33"/>
    <mergeCell ref="M33:Q33"/>
    <mergeCell ref="G35:K35"/>
    <mergeCell ref="M35:Q35"/>
    <mergeCell ref="C32:D35"/>
    <mergeCell ref="A29:A31"/>
    <mergeCell ref="A25:A27"/>
    <mergeCell ref="A1:A3"/>
    <mergeCell ref="R5:W5"/>
    <mergeCell ref="H9:M9"/>
    <mergeCell ref="B1:K3"/>
    <mergeCell ref="H7:M7"/>
    <mergeCell ref="H11:W15"/>
    <mergeCell ref="T17:W17"/>
    <mergeCell ref="F17:I17"/>
    <mergeCell ref="J17:M17"/>
    <mergeCell ref="P17:S17"/>
    <mergeCell ref="F19:I19"/>
    <mergeCell ref="F23:I23"/>
    <mergeCell ref="S31:X36"/>
    <mergeCell ref="N19:O19"/>
    <mergeCell ref="Y1:Y3"/>
    <mergeCell ref="L2:M2"/>
    <mergeCell ref="V2:W2"/>
    <mergeCell ref="T2:U2"/>
    <mergeCell ref="R2:S2"/>
    <mergeCell ref="P2:Q2"/>
    <mergeCell ref="N2:O2"/>
    <mergeCell ref="N5:Q5"/>
    <mergeCell ref="M4:M6"/>
    <mergeCell ref="Q7:W7"/>
    <mergeCell ref="N7:P7"/>
    <mergeCell ref="T29:W29"/>
    <mergeCell ref="P19:S19"/>
    <mergeCell ref="P21:S21"/>
    <mergeCell ref="P23:S23"/>
    <mergeCell ref="P25:S25"/>
    <mergeCell ref="P27:S27"/>
    <mergeCell ref="T19:W19"/>
    <mergeCell ref="T21:W21"/>
    <mergeCell ref="T23:W23"/>
    <mergeCell ref="T25:W25"/>
    <mergeCell ref="T27:W27"/>
    <mergeCell ref="P29:S29"/>
  </mergeCells>
  <conditionalFormatting sqref="AA2">
    <cfRule type="expression" dxfId="470" priority="1">
      <formula>$Z$2="OK"</formula>
    </cfRule>
  </conditionalFormatting>
  <dataValidations xWindow="111" yWindow="662" count="7">
    <dataValidation allowBlank="1" showErrorMessage="1" promptTitle="Nº Pregunta" prompt="Número de la PREGUNTA que se está consultando. Si quires que el primer número de este banco de preguntas sea mayor (11, 21, 31...) incrementa el rango en la casilla Nº INICIAL del BANCO de PREGUNTAS." sqref="L5"/>
    <dataValidation type="whole" allowBlank="1" showInputMessage="1" showErrorMessage="1" sqref="H5">
      <formula1>1</formula1>
      <formula2>1000</formula2>
    </dataValidation>
    <dataValidation allowBlank="1" showErrorMessage="1" promptTitle="Pista 1" prompt="Comentario que aparecerá si configuras MOODLE para que pueda dar pistas cuando se dejen más de un intento." sqref="G33 G35 M33 M35"/>
    <dataValidation allowBlank="1" showErrorMessage="1" sqref="P21 F19 F23:I23 F21 P29 F27 F29 P27 P19 P23 P25 F25"/>
    <dataValidation allowBlank="1" showErrorMessage="1" promptTitle="Descripción" prompt="Escirbe lo que quieras que aparezca en el NOMBRE de la pregunta. Éste se formará con el PREFIJO puesto en Datos Generales + el número de la pregunta + la Descripción." sqref="H9"/>
    <dataValidation allowBlank="1" showErrorMessage="1" promptTitle="Enunciado de la pregunta" prompt="Escribe el enunciado de la pregunta. Si quieres poner CÓDIGOS ESPECIALES, pincha F2 o haz &quot;clic&quot; dos veces con el ratón." sqref="H11"/>
    <dataValidation allowBlank="1" showErrorMessage="1" promptTitle="G2 - Pareja" prompt="Segundo elemento de la pareja" sqref="J23 T27 J21 T21 T25 J27 J29 J19 T19 T23 T29 J25"/>
  </dataValidations>
  <hyperlinks>
    <hyperlink ref="B1:K3" r:id="rId1" display="https://youtu.be/m2onfU04kJ4"/>
  </hyperlinks>
  <printOptions horizontalCentered="1" verticalCentered="1"/>
  <pageMargins left="0.59055118110236227" right="0.59055118110236227" top="0.78740157480314965" bottom="0.78740157480314965" header="0.78740157480314965" footer="0.78740157480314965"/>
  <pageSetup paperSize="9" scale="84" orientation="landscape" horizontalDpi="1200" verticalDpi="1200" r:id="rId2"/>
  <headerFooter>
    <oddHeader>&amp;L&amp;G&amp;C&amp;"-,Negrita"&amp;12Elaborado por
MILAGROS HUERTA GÓMEZ DE MERODIO
(Universidad de Cádiz)&amp;R&amp;A</oddHeader>
    <oddFooter>&amp;C&amp;F&amp;RPg. &amp;P/&amp;N</oddFooter>
  </headerFooter>
  <drawing r:id="rId3"/>
  <legacyDrawing r:id="rId4"/>
  <legacyDrawingHF r:id="rId5"/>
  <mc:AlternateContent xmlns:mc="http://schemas.openxmlformats.org/markup-compatibility/2006">
    <mc:Choice Requires="x14">
      <controls>
        <mc:AlternateContent xmlns:mc="http://schemas.openxmlformats.org/markup-compatibility/2006">
          <mc:Choice Requires="x14">
            <control shapeId="12289" r:id="rId6" name="Contador 10">
              <controlPr defaultSize="0" autoPict="0" macro="[0]!Cambiar_N_I_Banco_Preguntas" altText="Para consultar los datos de cada pregunta.">
                <anchor moveWithCells="1" sizeWithCells="1">
                  <from>
                    <xdr:col>7</xdr:col>
                    <xdr:colOff>361950</xdr:colOff>
                    <xdr:row>4</xdr:row>
                    <xdr:rowOff>0</xdr:rowOff>
                  </from>
                  <to>
                    <xdr:col>8</xdr:col>
                    <xdr:colOff>66675</xdr:colOff>
                    <xdr:row>5</xdr:row>
                    <xdr:rowOff>19050</xdr:rowOff>
                  </to>
                </anchor>
              </controlPr>
            </control>
          </mc:Choice>
        </mc:AlternateContent>
        <mc:AlternateContent xmlns:mc="http://schemas.openxmlformats.org/markup-compatibility/2006">
          <mc:Choice Requires="x14">
            <control shapeId="12290" r:id="rId7" name="Contador 100">
              <controlPr defaultSize="0" autoPict="0" macro="[0]!Cambiar_N_I_Banco_Preguntas" altText="Para consultar los datos de cada pregunta.">
                <anchor moveWithCells="1" sizeWithCells="1">
                  <from>
                    <xdr:col>8</xdr:col>
                    <xdr:colOff>66675</xdr:colOff>
                    <xdr:row>4</xdr:row>
                    <xdr:rowOff>0</xdr:rowOff>
                  </from>
                  <to>
                    <xdr:col>8</xdr:col>
                    <xdr:colOff>152400</xdr:colOff>
                    <xdr:row>5</xdr:row>
                    <xdr:rowOff>19050</xdr:rowOff>
                  </to>
                </anchor>
              </controlPr>
            </control>
          </mc:Choice>
        </mc:AlternateContent>
        <mc:AlternateContent xmlns:mc="http://schemas.openxmlformats.org/markup-compatibility/2006">
          <mc:Choice Requires="x14">
            <control shapeId="12291" r:id="rId8" name="Contador 1">
              <controlPr defaultSize="0" autoPict="0" macro="[0]!Ver_Datos_Preguntas" altText="Para consultar los datos de cada pregunta.">
                <anchor moveWithCells="1" sizeWithCells="1">
                  <from>
                    <xdr:col>11</xdr:col>
                    <xdr:colOff>361950</xdr:colOff>
                    <xdr:row>3</xdr:row>
                    <xdr:rowOff>66675</xdr:rowOff>
                  </from>
                  <to>
                    <xdr:col>12</xdr:col>
                    <xdr:colOff>66675</xdr:colOff>
                    <xdr:row>5</xdr:row>
                    <xdr:rowOff>9525</xdr:rowOff>
                  </to>
                </anchor>
              </controlPr>
            </control>
          </mc:Choice>
        </mc:AlternateContent>
        <mc:AlternateContent xmlns:mc="http://schemas.openxmlformats.org/markup-compatibility/2006">
          <mc:Choice Requires="x14">
            <control shapeId="12292" r:id="rId9" name="Box PREGUNTAS">
              <controlPr defaultSize="0" autoFill="0" autoLine="0" autoPict="0">
                <anchor moveWithCells="1">
                  <from>
                    <xdr:col>12</xdr:col>
                    <xdr:colOff>85725</xdr:colOff>
                    <xdr:row>4</xdr:row>
                    <xdr:rowOff>0</xdr:rowOff>
                  </from>
                  <to>
                    <xdr:col>12</xdr:col>
                    <xdr:colOff>323850</xdr:colOff>
                    <xdr:row>5</xdr:row>
                    <xdr:rowOff>0</xdr:rowOff>
                  </to>
                </anchor>
              </controlPr>
            </control>
          </mc:Choice>
        </mc:AlternateContent>
      </controls>
    </mc:Choice>
  </mc:AlternateContent>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Hoja_24">
    <tabColor rgb="FFE87B00"/>
    <pageSetUpPr autoPageBreaks="0" fitToPage="1"/>
  </sheetPr>
  <dimension ref="A1:AK6"/>
  <sheetViews>
    <sheetView showGridLines="0" showRowColHeaders="0" zoomScale="140" zoomScaleNormal="140" workbookViewId="0">
      <pane xSplit="7" ySplit="4" topLeftCell="AD6" activePane="bottomRight" state="frozen"/>
      <selection activeCell="I7" sqref="I7"/>
      <selection pane="topRight" activeCell="I7" sqref="I7"/>
      <selection pane="bottomLeft" activeCell="I7" sqref="I7"/>
      <selection pane="bottomRight" activeCell="G6" sqref="G6"/>
    </sheetView>
  </sheetViews>
  <sheetFormatPr baseColWidth="10" defaultColWidth="0" defaultRowHeight="15" x14ac:dyDescent="0.25"/>
  <cols>
    <col min="1" max="1" width="9.7109375" style="14" customWidth="1"/>
    <col min="2" max="2" width="4.7109375" style="11" customWidth="1"/>
    <col min="3" max="3" width="4.140625" style="11" hidden="1" customWidth="1"/>
    <col min="4" max="5" width="4.140625" style="15" hidden="1" customWidth="1"/>
    <col min="6" max="6" width="10.5703125" style="15" customWidth="1"/>
    <col min="7" max="7" width="59.5703125" style="11" customWidth="1"/>
    <col min="8" max="13" width="12.5703125" style="11" customWidth="1"/>
    <col min="14" max="28" width="14.28515625" style="11" customWidth="1"/>
    <col min="29" max="31" width="12.28515625" style="11" customWidth="1"/>
    <col min="32" max="34" width="11.42578125" style="11" customWidth="1"/>
    <col min="35" max="35" width="11.42578125" style="11" hidden="1" customWidth="1"/>
    <col min="36" max="36" width="11.42578125" style="11" customWidth="1"/>
    <col min="37" max="37" width="0" style="11" hidden="1" customWidth="1"/>
    <col min="38" max="16384" width="11.42578125" style="11" hidden="1"/>
  </cols>
  <sheetData>
    <row r="1" spans="1:36" s="12" customFormat="1" ht="39.950000000000003" customHeight="1" x14ac:dyDescent="0.25">
      <c r="A1" s="317" t="str">
        <f>Version</f>
        <v xml:space="preserve">   V - 5.0 </v>
      </c>
      <c r="B1" s="207"/>
      <c r="C1" s="208"/>
      <c r="D1" s="316"/>
      <c r="E1" s="316"/>
      <c r="F1" s="319" t="str">
        <f ca="1">'Datos OM'!F1</f>
        <v>DATOS 
GENERALES
FORMULARIO</v>
      </c>
      <c r="G1" s="579" t="str">
        <f ca="1">'Datos OM'!G1</f>
        <v>INSERTAR PREGUNTA
BORRAR PREGUNTA</v>
      </c>
      <c r="H1" s="609">
        <f>COUNTA('Datos EM'!$G$6:$G$6)</f>
        <v>0</v>
      </c>
      <c r="I1" s="320" t="str">
        <f ca="1">INDIRECT("Z_BP_01_"&amp;IDIOMA)</f>
        <v>Preguntas Almacenadas</v>
      </c>
    </row>
    <row r="2" spans="1:36" s="13" customFormat="1" ht="36.75" thickBot="1" x14ac:dyDescent="0.3">
      <c r="A2" s="347" t="str">
        <f ca="1">'Datos OM'!A2</f>
        <v>Nombre de la pregunta</v>
      </c>
      <c r="B2" s="346" t="str">
        <f ca="1">INDIRECT("Z_EM_02_"&amp;IDIOMA)</f>
        <v xml:space="preserve">Pareja </v>
      </c>
      <c r="C2" s="348"/>
      <c r="D2" s="349"/>
      <c r="E2" s="349"/>
      <c r="F2" s="368" t="str">
        <f ca="1">'Datos OM'!F2</f>
        <v>Descripción</v>
      </c>
      <c r="G2" s="358" t="str">
        <f ca="1">'Formulario EM'!B1&amp;"
"&amp;'Formulario OM'!B11</f>
        <v>FastTest PlugIn - Emparejar
Enunciado de la pregunta</v>
      </c>
      <c r="H2" s="480" t="str">
        <f ca="1">'Formulario EM'!$C$19&amp;".1"</f>
        <v>Pareja 01.1</v>
      </c>
      <c r="I2" s="480" t="str">
        <f ca="1">'Formulario EM'!$C$19&amp;".2"</f>
        <v>Pareja 01.2</v>
      </c>
      <c r="J2" s="481" t="str">
        <f ca="1">'Formulario EM'!$N$19&amp;".1"</f>
        <v>Pareja 02.1</v>
      </c>
      <c r="K2" s="481" t="str">
        <f ca="1">'Formulario EM'!$N$19&amp;".2"</f>
        <v>Pareja 02.2</v>
      </c>
      <c r="L2" s="482" t="str">
        <f ca="1">'Formulario EM'!$C$21&amp;".1"</f>
        <v>Pareja 03.1</v>
      </c>
      <c r="M2" s="482" t="str">
        <f ca="1">'Formulario EM'!$C$21&amp;".2"</f>
        <v>Pareja 03.2</v>
      </c>
      <c r="N2" s="483" t="str">
        <f ca="1">'Formulario EM'!$N$21&amp;".1"</f>
        <v>Pareja 04.1</v>
      </c>
      <c r="O2" s="483" t="str">
        <f ca="1">'Formulario EM'!$N$21&amp;".2"</f>
        <v>Pareja 04.2</v>
      </c>
      <c r="P2" s="484" t="str">
        <f ca="1">'Formulario EM'!$C$23&amp;".1"</f>
        <v>Pareja 05.1</v>
      </c>
      <c r="Q2" s="484" t="str">
        <f ca="1">'Formulario EM'!$C$23&amp;".2"</f>
        <v>Pareja 05.2</v>
      </c>
      <c r="R2" s="485" t="str">
        <f ca="1">'Formulario EM'!$N$23&amp;".1"</f>
        <v>Pareja 06.1</v>
      </c>
      <c r="S2" s="485" t="str">
        <f ca="1">'Formulario EM'!$N$23&amp;".2"</f>
        <v>Pareja 06.2</v>
      </c>
      <c r="T2" s="480" t="str">
        <f ca="1">'Formulario EM'!$C$25&amp;".1"</f>
        <v>Pareja 07.1</v>
      </c>
      <c r="U2" s="480" t="str">
        <f ca="1">'Formulario EM'!$C$25&amp;".2"</f>
        <v>Pareja 07.2</v>
      </c>
      <c r="V2" s="481" t="str">
        <f ca="1">'Formulario EM'!$N$25&amp;".1"</f>
        <v>Pareja 08.1</v>
      </c>
      <c r="W2" s="481" t="str">
        <f ca="1">'Formulario EM'!$N$25&amp;".2"</f>
        <v>Pareja 08.2</v>
      </c>
      <c r="X2" s="482" t="str">
        <f ca="1">'Formulario EM'!$C$27&amp;".1"</f>
        <v>Pareja 09.1</v>
      </c>
      <c r="Y2" s="482" t="str">
        <f ca="1">'Formulario EM'!$C$27&amp;".2"</f>
        <v>Pareja 09.2</v>
      </c>
      <c r="Z2" s="483" t="str">
        <f ca="1">'Formulario EM'!$N$27&amp;".1"</f>
        <v>Pareja 10.1</v>
      </c>
      <c r="AA2" s="483" t="str">
        <f ca="1">'Formulario EM'!$N$27&amp;".2"</f>
        <v>Pareja 10.2</v>
      </c>
      <c r="AB2" s="484" t="str">
        <f ca="1">'Formulario EM'!$C$29&amp;".1"</f>
        <v>Pareja 11.1</v>
      </c>
      <c r="AC2" s="484" t="str">
        <f ca="1">'Formulario EM'!$C$29&amp;".2"</f>
        <v>Pareja 11.2</v>
      </c>
      <c r="AD2" s="485" t="str">
        <f ca="1">'Formulario EM'!$N$29&amp;".1"</f>
        <v>Pareja 12.1</v>
      </c>
      <c r="AE2" s="485" t="str">
        <f ca="1">'Formulario EM'!$N$29&amp;".2"</f>
        <v>Pareja 12.2</v>
      </c>
      <c r="AF2" s="369" t="str">
        <f ca="1">'Datos OM'!AF2</f>
        <v>PISTA: 1</v>
      </c>
      <c r="AG2" s="370" t="str">
        <f ca="1">'Datos OM'!AG2</f>
        <v>PISTA: 2</v>
      </c>
      <c r="AH2" s="371" t="str">
        <f ca="1">'Datos OM'!AH2</f>
        <v>PISTA: 3</v>
      </c>
      <c r="AI2" s="372" t="str">
        <f ca="1">'Datos OM'!AI2</f>
        <v>PISTA: 4</v>
      </c>
      <c r="AJ2" s="373" t="s">
        <v>1314</v>
      </c>
    </row>
    <row r="3" spans="1:36" s="473" customFormat="1" ht="12.75" hidden="1" thickTop="1" x14ac:dyDescent="0.25">
      <c r="A3" s="459" t="str">
        <f t="shared" ref="A3:G3" ca="1" si="0">IFERROR(IF(INDIRECT("F"&amp;PREGUNTA_ACTUAL-(N_I_EM)+N_I_Tabla&amp;"C"&amp;COLUMN(),FALSE)="","",INDIRECT("F"&amp;PREGUNTA_ACTUAL-(N_I_EM)+N_I_Tabla&amp;"C"&amp;COLUMN(),FALSE)),"")</f>
        <v/>
      </c>
      <c r="B3" s="459" t="str">
        <f t="shared" ca="1" si="0"/>
        <v/>
      </c>
      <c r="C3" s="459" t="str">
        <f t="shared" ca="1" si="0"/>
        <v/>
      </c>
      <c r="D3" s="459" t="str">
        <f t="shared" ca="1" si="0"/>
        <v/>
      </c>
      <c r="E3" s="459" t="str">
        <f t="shared" ca="1" si="0"/>
        <v/>
      </c>
      <c r="F3" s="459" t="str">
        <f t="shared" ca="1" si="0"/>
        <v/>
      </c>
      <c r="G3" s="459" t="str">
        <f t="shared" ca="1" si="0"/>
        <v/>
      </c>
      <c r="H3" s="459" t="str">
        <f t="shared" ref="H3:AJ3" ca="1" si="1">IFERROR(IF(INDIRECT("F"&amp;PREGUNTA_ACTUAL-(N_I_EM)+N_I_Tabla&amp;"C"&amp;COLUMN(),FALSE)="","",INDIRECT("F"&amp;PREGUNTA_ACTUAL-(N_I_EM)+N_I_Tabla&amp;"C"&amp;COLUMN(),FALSE)),"")</f>
        <v/>
      </c>
      <c r="I3" s="459" t="str">
        <f t="shared" ca="1" si="1"/>
        <v/>
      </c>
      <c r="J3" s="459" t="str">
        <f t="shared" ca="1" si="1"/>
        <v/>
      </c>
      <c r="K3" s="459" t="str">
        <f t="shared" ca="1" si="1"/>
        <v/>
      </c>
      <c r="L3" s="459" t="str">
        <f t="shared" ca="1" si="1"/>
        <v/>
      </c>
      <c r="M3" s="459" t="str">
        <f t="shared" ca="1" si="1"/>
        <v/>
      </c>
      <c r="N3" s="459" t="str">
        <f t="shared" ca="1" si="1"/>
        <v/>
      </c>
      <c r="O3" s="459" t="str">
        <f t="shared" ca="1" si="1"/>
        <v/>
      </c>
      <c r="P3" s="459" t="str">
        <f t="shared" ca="1" si="1"/>
        <v/>
      </c>
      <c r="Q3" s="459" t="str">
        <f t="shared" ca="1" si="1"/>
        <v/>
      </c>
      <c r="R3" s="459" t="str">
        <f t="shared" ca="1" si="1"/>
        <v/>
      </c>
      <c r="S3" s="459" t="str">
        <f t="shared" ca="1" si="1"/>
        <v/>
      </c>
      <c r="T3" s="459" t="str">
        <f t="shared" ca="1" si="1"/>
        <v/>
      </c>
      <c r="U3" s="459" t="str">
        <f t="shared" ca="1" si="1"/>
        <v/>
      </c>
      <c r="V3" s="459" t="str">
        <f t="shared" ca="1" si="1"/>
        <v/>
      </c>
      <c r="W3" s="459" t="str">
        <f t="shared" ca="1" si="1"/>
        <v/>
      </c>
      <c r="X3" s="459" t="str">
        <f t="shared" ca="1" si="1"/>
        <v/>
      </c>
      <c r="Y3" s="459" t="str">
        <f t="shared" ca="1" si="1"/>
        <v/>
      </c>
      <c r="Z3" s="459" t="str">
        <f t="shared" ca="1" si="1"/>
        <v/>
      </c>
      <c r="AA3" s="459" t="str">
        <f t="shared" ca="1" si="1"/>
        <v/>
      </c>
      <c r="AB3" s="459" t="str">
        <f t="shared" ca="1" si="1"/>
        <v/>
      </c>
      <c r="AC3" s="459" t="str">
        <f t="shared" ca="1" si="1"/>
        <v/>
      </c>
      <c r="AD3" s="459" t="str">
        <f t="shared" ca="1" si="1"/>
        <v/>
      </c>
      <c r="AE3" s="459" t="str">
        <f t="shared" ca="1" si="1"/>
        <v/>
      </c>
      <c r="AF3" s="459" t="str">
        <f t="shared" ca="1" si="1"/>
        <v/>
      </c>
      <c r="AG3" s="459" t="str">
        <f t="shared" ca="1" si="1"/>
        <v/>
      </c>
      <c r="AH3" s="459" t="str">
        <f t="shared" ca="1" si="1"/>
        <v/>
      </c>
      <c r="AI3" s="459" t="str">
        <f t="shared" ca="1" si="1"/>
        <v/>
      </c>
      <c r="AJ3" s="459" t="str">
        <f t="shared" ca="1" si="1"/>
        <v/>
      </c>
    </row>
    <row r="4" spans="1:36" s="472" customFormat="1" ht="12" hidden="1" x14ac:dyDescent="0.25">
      <c r="A4" s="142">
        <v>401</v>
      </c>
      <c r="B4" s="471">
        <f>N_I_Tabla</f>
        <v>6</v>
      </c>
      <c r="C4" s="470"/>
      <c r="D4" s="469"/>
      <c r="E4" s="469"/>
      <c r="F4" s="148" t="str">
        <f>IF('Formulario EM'!H9="","",'Formulario EM'!H9)</f>
        <v/>
      </c>
      <c r="G4" s="422" t="str">
        <f>IF('Formulario EM'!H11="","",'Formulario EM'!H11)</f>
        <v/>
      </c>
      <c r="H4" s="160" t="str">
        <f>IF('Formulario EM'!$F19="","",'Formulario EM'!$F19)</f>
        <v/>
      </c>
      <c r="I4" s="160" t="str">
        <f>IF('Formulario EM'!$J19="","",'Formulario EM'!$J19)</f>
        <v/>
      </c>
      <c r="J4" s="161" t="str">
        <f>IF('Formulario EM'!$P19="","",'Formulario EM'!$P19)</f>
        <v/>
      </c>
      <c r="K4" s="161" t="str">
        <f>IF('Formulario EM'!$T19="","",'Formulario EM'!$T19)</f>
        <v/>
      </c>
      <c r="L4" s="162" t="str">
        <f>IF('Formulario EM'!$F21="","",'Formulario EM'!$F21)</f>
        <v/>
      </c>
      <c r="M4" s="162" t="str">
        <f>IF('Formulario EM'!$J21="","",'Formulario EM'!$J21)</f>
        <v/>
      </c>
      <c r="N4" s="163" t="str">
        <f>IF('Formulario EM'!$P21="","",'Formulario EM'!$P21)</f>
        <v/>
      </c>
      <c r="O4" s="163" t="str">
        <f>IF('Formulario EM'!$T21="","",'Formulario EM'!$T21)</f>
        <v/>
      </c>
      <c r="P4" s="164" t="str">
        <f>IF('Formulario EM'!$F23="","",'Formulario EM'!$F23)</f>
        <v/>
      </c>
      <c r="Q4" s="164" t="str">
        <f>IF('Formulario EM'!$J23="","",'Formulario EM'!$J23)</f>
        <v/>
      </c>
      <c r="R4" s="165" t="str">
        <f>IF('Formulario EM'!$P23="","",'Formulario EM'!$P23)</f>
        <v/>
      </c>
      <c r="S4" s="165" t="str">
        <f>IF('Formulario EM'!$T23="","",'Formulario EM'!$T23)</f>
        <v/>
      </c>
      <c r="T4" s="160" t="str">
        <f>IF('Formulario EM'!$F25="","",'Formulario EM'!$F25)</f>
        <v/>
      </c>
      <c r="U4" s="160" t="str">
        <f>IF('Formulario EM'!$J25="","",'Formulario EM'!$J25)</f>
        <v/>
      </c>
      <c r="V4" s="161" t="str">
        <f>IF('Formulario EM'!$P25="","",'Formulario EM'!$P25)</f>
        <v/>
      </c>
      <c r="W4" s="161" t="str">
        <f>IF('Formulario EM'!$T25="","",'Formulario EM'!$T25)</f>
        <v/>
      </c>
      <c r="X4" s="162" t="str">
        <f>IF('Formulario EM'!$F27="","",'Formulario EM'!$F27)</f>
        <v/>
      </c>
      <c r="Y4" s="162" t="str">
        <f>IF('Formulario EM'!$J27="","",'Formulario EM'!$J27)</f>
        <v/>
      </c>
      <c r="Z4" s="163" t="str">
        <f>IF('Formulario EM'!$P27="","",'Formulario EM'!$P27)</f>
        <v/>
      </c>
      <c r="AA4" s="163" t="str">
        <f>IF('Formulario EM'!$T27="","",'Formulario EM'!$T27)</f>
        <v/>
      </c>
      <c r="AB4" s="164" t="str">
        <f>IF('Formulario EM'!$F29="","",'Formulario EM'!$F29)</f>
        <v/>
      </c>
      <c r="AC4" s="164" t="str">
        <f>IF('Formulario EM'!$J29="","",'Formulario EM'!$J29)</f>
        <v/>
      </c>
      <c r="AD4" s="165" t="str">
        <f>IF('Formulario EM'!$P29="","",'Formulario EM'!$P29)</f>
        <v/>
      </c>
      <c r="AE4" s="165" t="str">
        <f>IF('Formulario EM'!$T29="","",'Formulario EM'!$T29)</f>
        <v/>
      </c>
      <c r="AF4" s="156" t="str">
        <f>IF('Formulario EM'!G33="","",'Formulario EM'!G33)</f>
        <v/>
      </c>
      <c r="AG4" s="157" t="str">
        <f>IF('Formulario EM'!M33="","",'Formulario EM'!M33)</f>
        <v/>
      </c>
      <c r="AH4" s="158" t="str">
        <f>IF('Formulario EM'!G35="","",'Formulario EM'!G35)</f>
        <v/>
      </c>
      <c r="AI4" s="159" t="str">
        <f>IF('Formulario EM'!M35="","",'Formulario EM'!M35)</f>
        <v/>
      </c>
      <c r="AJ4" s="152" t="str">
        <f>IF('Formulario EM'!Q7="","",'Formulario EM'!Q7)</f>
        <v/>
      </c>
    </row>
    <row r="5" spans="1:36" s="12" customFormat="1" hidden="1" x14ac:dyDescent="0.25">
      <c r="A5" s="345" t="s">
        <v>1702</v>
      </c>
      <c r="B5" s="416" t="s">
        <v>1757</v>
      </c>
      <c r="C5" s="450" t="s">
        <v>18166</v>
      </c>
      <c r="D5" s="450" t="s">
        <v>18167</v>
      </c>
      <c r="E5" s="450" t="s">
        <v>18168</v>
      </c>
      <c r="F5" s="426" t="s">
        <v>1856</v>
      </c>
      <c r="G5" s="427" t="s">
        <v>24</v>
      </c>
      <c r="H5" s="428" t="s">
        <v>1733</v>
      </c>
      <c r="I5" s="428" t="s">
        <v>1734</v>
      </c>
      <c r="J5" s="429" t="s">
        <v>1735</v>
      </c>
      <c r="K5" s="429" t="s">
        <v>1736</v>
      </c>
      <c r="L5" s="430" t="s">
        <v>1737</v>
      </c>
      <c r="M5" s="430" t="s">
        <v>1738</v>
      </c>
      <c r="N5" s="431" t="s">
        <v>1739</v>
      </c>
      <c r="O5" s="431" t="s">
        <v>1740</v>
      </c>
      <c r="P5" s="432" t="s">
        <v>1741</v>
      </c>
      <c r="Q5" s="432" t="s">
        <v>1742</v>
      </c>
      <c r="R5" s="433" t="s">
        <v>1743</v>
      </c>
      <c r="S5" s="433" t="s">
        <v>1744</v>
      </c>
      <c r="T5" s="428" t="s">
        <v>1745</v>
      </c>
      <c r="U5" s="428" t="s">
        <v>1746</v>
      </c>
      <c r="V5" s="429" t="s">
        <v>1747</v>
      </c>
      <c r="W5" s="429" t="s">
        <v>1748</v>
      </c>
      <c r="X5" s="430" t="s">
        <v>1749</v>
      </c>
      <c r="Y5" s="430" t="s">
        <v>1750</v>
      </c>
      <c r="Z5" s="431" t="s">
        <v>1751</v>
      </c>
      <c r="AA5" s="431" t="s">
        <v>1752</v>
      </c>
      <c r="AB5" s="432" t="s">
        <v>1753</v>
      </c>
      <c r="AC5" s="432" t="s">
        <v>1754</v>
      </c>
      <c r="AD5" s="433" t="s">
        <v>1755</v>
      </c>
      <c r="AE5" s="433" t="s">
        <v>1756</v>
      </c>
      <c r="AF5" s="446" t="s">
        <v>1606</v>
      </c>
      <c r="AG5" s="447" t="s">
        <v>1607</v>
      </c>
      <c r="AH5" s="448" t="s">
        <v>1608</v>
      </c>
      <c r="AI5" s="449" t="s">
        <v>1609</v>
      </c>
      <c r="AJ5" s="436" t="s">
        <v>1314</v>
      </c>
    </row>
    <row r="6" spans="1:36" ht="15.75" thickTop="1" x14ac:dyDescent="0.25">
      <c r="A6" s="595" t="str">
        <f>IFERROR(IF(Tabla_EM[[#This Row],[Enunciado]]="","",PREF_PREGUNTA&amp;IF(PREF_PREGUNTA="",""," - ")&amp;
IF(n_preg_ON_EM=TRUE,IF((N_I_EM+ROW()-N_I_Tabla)&gt;99,
IF((N_I_EM+ROW()-N_I_Tabla)&lt;100,"0",""),"")&amp;
IF((N_I_EM+ROW()-N_I_Tabla)&lt;10,"0","")&amp;(N_I_EM+ROW()-N_I_Tabla),""))&amp;
IF(Tabla_EM[[#This Row],[Descripcion]]&lt;&gt;""," "&amp;Tabla_EM[[#This Row],[Descripcion]],""),"")</f>
        <v/>
      </c>
      <c r="B6" s="596" t="str">
        <f>IFERROR(IF(COUNTA(Tabla_EM[[#This Row],[Pareja 01.1]:[Pareja 12.2]])=0,"",COUNTA(Tabla_EM[[#This Row],[Pareja 01.1]:[Pareja 12.2]])/2),"")</f>
        <v/>
      </c>
      <c r="C6" s="620"/>
      <c r="D6" s="621"/>
      <c r="E6" s="621"/>
      <c r="F6" s="622"/>
      <c r="G6" s="623"/>
      <c r="H6" s="610"/>
      <c r="I6" s="610"/>
      <c r="J6" s="611"/>
      <c r="K6" s="611"/>
      <c r="L6" s="612"/>
      <c r="M6" s="612"/>
      <c r="N6" s="613"/>
      <c r="O6" s="613"/>
      <c r="P6" s="614"/>
      <c r="Q6" s="614"/>
      <c r="R6" s="615"/>
      <c r="S6" s="615"/>
      <c r="T6" s="610"/>
      <c r="U6" s="610"/>
      <c r="V6" s="611"/>
      <c r="W6" s="611"/>
      <c r="X6" s="612"/>
      <c r="Y6" s="612"/>
      <c r="Z6" s="613"/>
      <c r="AA6" s="613"/>
      <c r="AB6" s="614"/>
      <c r="AC6" s="614"/>
      <c r="AD6" s="615"/>
      <c r="AE6" s="615"/>
      <c r="AF6" s="605"/>
      <c r="AG6" s="606"/>
      <c r="AH6" s="607"/>
      <c r="AI6" s="608"/>
      <c r="AJ6" s="601"/>
    </row>
  </sheetData>
  <sheetProtection algorithmName="SHA-512" hashValue="ykxGpZHpCWO1QSaqZ3BrchhPswjvRGsiwm2Xnn6yPr7sLD+Xne8dhlXI8PSvt/iZ9/UxzDwQYwRGo2iaV1vKOg==" saltValue="ofH3mCY7tMuC5GEJXxnBkQ==" spinCount="100000" sheet="1" objects="1" scenarios="1" selectLockedCells="1"/>
  <conditionalFormatting sqref="AF2:AJ2 C2:G2 F4:G4 C6:G6 AF6:AJ6">
    <cfRule type="cellIs" dxfId="469" priority="1564" operator="equal">
      <formula>""</formula>
    </cfRule>
    <cfRule type="cellIs" dxfId="468" priority="1565" operator="equal">
      <formula>0</formula>
    </cfRule>
  </conditionalFormatting>
  <conditionalFormatting sqref="H2:Q2 H4:Q4 H6:Q6">
    <cfRule type="cellIs" dxfId="467" priority="1551" stopIfTrue="1" operator="equal">
      <formula>0</formula>
    </cfRule>
  </conditionalFormatting>
  <conditionalFormatting sqref="R4:S4 R2:AE2 R6:AE6">
    <cfRule type="cellIs" dxfId="466" priority="1555" operator="equal">
      <formula>0</formula>
    </cfRule>
  </conditionalFormatting>
  <conditionalFormatting sqref="Y4:AC4 T4:W4">
    <cfRule type="cellIs" dxfId="465" priority="1554" operator="equal">
      <formula>0</formula>
    </cfRule>
  </conditionalFormatting>
  <conditionalFormatting sqref="X4">
    <cfRule type="cellIs" dxfId="464" priority="1553" operator="equal">
      <formula>0</formula>
    </cfRule>
  </conditionalFormatting>
  <conditionalFormatting sqref="AD4:AE4">
    <cfRule type="cellIs" dxfId="463" priority="1552" operator="equal">
      <formula>0</formula>
    </cfRule>
  </conditionalFormatting>
  <conditionalFormatting sqref="AF4:AI4">
    <cfRule type="cellIs" dxfId="462" priority="642" operator="equal">
      <formula>""</formula>
    </cfRule>
    <cfRule type="cellIs" dxfId="461" priority="643" operator="equal">
      <formula>0</formula>
    </cfRule>
  </conditionalFormatting>
  <conditionalFormatting sqref="AJ4">
    <cfRule type="cellIs" dxfId="460" priority="310" operator="equal">
      <formula>""</formula>
    </cfRule>
    <cfRule type="cellIs" dxfId="459" priority="311" operator="equal">
      <formula>0</formula>
    </cfRule>
  </conditionalFormatting>
  <conditionalFormatting sqref="AF5:AJ5 C5:G5">
    <cfRule type="cellIs" dxfId="458" priority="21" operator="equal">
      <formula>""</formula>
    </cfRule>
    <cfRule type="cellIs" dxfId="457" priority="22" operator="equal">
      <formula>0</formula>
    </cfRule>
  </conditionalFormatting>
  <conditionalFormatting sqref="H5:Q5">
    <cfRule type="cellIs" dxfId="456" priority="19" stopIfTrue="1" operator="equal">
      <formula>0</formula>
    </cfRule>
  </conditionalFormatting>
  <conditionalFormatting sqref="R5:AE5">
    <cfRule type="cellIs" dxfId="455" priority="20" operator="equal">
      <formula>0</formula>
    </cfRule>
  </conditionalFormatting>
  <dataValidations count="1">
    <dataValidation type="whole" allowBlank="1" showInputMessage="1" showErrorMessage="1" errorTitle="Error" error="Debes introducir un número válido. _x000a_Rellena primero las respuestas._x000a__x000a_Pulsa ESC para continuar." sqref="D4:E4 C6">
      <formula1>1</formula1>
      <formula2>IF(C_SIMPLE="true",1,MIN(5,COUNTA(H4:M4)))</formula2>
    </dataValidation>
  </dataValidations>
  <pageMargins left="0.70866141732283472" right="0.70866141732283472" top="0.74803149606299213" bottom="0.74803149606299213" header="0.31496062992125984" footer="0.31496062992125984"/>
  <pageSetup paperSize="9" scale="44" fitToHeight="47" orientation="landscape" r:id="rId1"/>
  <drawing r:id="rId2"/>
  <tableParts count="1">
    <tablePart r:id="rId3"/>
  </tableParts>
</worksheet>
</file>

<file path=xl/worksheets/sheet1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Hoja_16">
    <tabColor rgb="FF005877"/>
    <pageSetUpPr fitToPage="1"/>
  </sheetPr>
  <dimension ref="A1:AZ72"/>
  <sheetViews>
    <sheetView showGridLines="0" showRowColHeaders="0" zoomScale="140" zoomScaleNormal="140" workbookViewId="0">
      <pane xSplit="38" ySplit="73" topLeftCell="AM74" activePane="bottomRight" state="frozen"/>
      <selection activeCell="K7" sqref="K7:O7"/>
      <selection pane="topRight" activeCell="K7" sqref="K7:O7"/>
      <selection pane="bottomLeft" activeCell="K7" sqref="K7:O7"/>
      <selection pane="bottomRight" activeCell="Q7" sqref="Q7:W7"/>
    </sheetView>
  </sheetViews>
  <sheetFormatPr baseColWidth="10" defaultColWidth="0" defaultRowHeight="15" zeroHeight="1" x14ac:dyDescent="0.25"/>
  <cols>
    <col min="1" max="1" width="10.7109375" customWidth="1"/>
    <col min="2" max="2" width="2.7109375" style="4" customWidth="1"/>
    <col min="3" max="23" width="5.7109375" style="4" customWidth="1"/>
    <col min="24" max="24" width="2.7109375" style="4" customWidth="1"/>
    <col min="25" max="25" width="10.7109375" style="93" customWidth="1"/>
    <col min="26" max="26" width="2.7109375" style="4" customWidth="1"/>
    <col min="27" max="27" width="10.7109375" style="4" customWidth="1"/>
    <col min="28" max="28" width="2.7109375" style="4" customWidth="1"/>
    <col min="29" max="29" width="5.7109375" style="4" hidden="1" customWidth="1"/>
    <col min="30" max="52" width="2.7109375" style="4" hidden="1" customWidth="1"/>
    <col min="53" max="16384" width="11.42578125" style="4" hidden="1"/>
  </cols>
  <sheetData>
    <row r="1" spans="1:31" ht="2.25" customHeight="1" thickTop="1" x14ac:dyDescent="0.25">
      <c r="A1" s="737" t="str">
        <f ca="1">'Formulario OM'!A1</f>
        <v>CÓDIGOS 
ESPECIALES</v>
      </c>
      <c r="B1" s="730" t="str">
        <f ca="1">APP&amp;" - "&amp;Tipo_5</f>
        <v>FastTest PlugIn - Respuesta Corta</v>
      </c>
      <c r="C1" s="731"/>
      <c r="D1" s="731"/>
      <c r="E1" s="731"/>
      <c r="F1" s="731"/>
      <c r="G1" s="731"/>
      <c r="H1" s="731"/>
      <c r="I1" s="731"/>
      <c r="J1" s="731"/>
      <c r="K1" s="731"/>
      <c r="L1" s="172"/>
      <c r="M1" s="172"/>
      <c r="N1" s="172"/>
      <c r="O1" s="172"/>
      <c r="P1" s="172"/>
      <c r="Q1" s="172"/>
      <c r="R1" s="172"/>
      <c r="S1" s="172"/>
      <c r="T1" s="172"/>
      <c r="U1" s="172"/>
      <c r="V1" s="172"/>
      <c r="W1" s="172"/>
      <c r="X1" s="173"/>
      <c r="Y1" s="713" t="str">
        <f ca="1">'DATOS GENERALES'!Y1</f>
        <v>NO USAR CORTAR
[Ctrl + X]</v>
      </c>
      <c r="AB1" s="4">
        <f>COUNTA(Q7,H9,H11,F15,Q15,T15,F17,Q17,T17,F19,Q19,T19,F21,Q21,T21,F23,Q23,T23,F25,Q25,T25,F27,Q27,T27,F29,Q29,T29,G33,M33,G35,M35,W9)</f>
        <v>0</v>
      </c>
      <c r="AC1" s="590" t="str">
        <f>IFERROR(HLOOKUP(AC4,$AB$4:AB4,1,0),"OK")</f>
        <v>OK</v>
      </c>
    </row>
    <row r="2" spans="1:31" ht="24.95" customHeight="1" x14ac:dyDescent="0.25">
      <c r="A2" s="738"/>
      <c r="B2" s="732"/>
      <c r="C2" s="733"/>
      <c r="D2" s="733"/>
      <c r="E2" s="733"/>
      <c r="F2" s="733"/>
      <c r="G2" s="733"/>
      <c r="H2" s="733"/>
      <c r="I2" s="733"/>
      <c r="J2" s="733"/>
      <c r="K2" s="733"/>
      <c r="L2" s="802" t="str">
        <f ca="1">'Formulario OM'!L2</f>
        <v>DATOS 
GENERALES</v>
      </c>
      <c r="M2" s="760">
        <f>'Formulario OM'!M2</f>
        <v>0</v>
      </c>
      <c r="N2" s="803" t="str">
        <f ca="1">'Formulario OM'!N2</f>
        <v>BANCO 
PREGUNTAS</v>
      </c>
      <c r="O2" s="804">
        <f>'Formulario OM'!O2</f>
        <v>0</v>
      </c>
      <c r="P2" s="805" t="str">
        <f ca="1">'Formulario OM'!P2</f>
        <v>LIMPIAR 
DATOS</v>
      </c>
      <c r="Q2" s="804">
        <f>'Formulario OM'!Q2</f>
        <v>0</v>
      </c>
      <c r="R2" s="805" t="str">
        <f ca="1">'Formulario OM'!R2</f>
        <v>GUARDAR 
PREGUNTAS</v>
      </c>
      <c r="S2" s="804">
        <f>'Formulario OM'!S2</f>
        <v>0</v>
      </c>
      <c r="T2" s="805" t="str">
        <f ca="1">'Formulario OM'!T2</f>
        <v>BORRAR 
PREGUNTAS</v>
      </c>
      <c r="U2" s="804">
        <f>'Formulario OM'!U2</f>
        <v>0</v>
      </c>
      <c r="V2" s="805" t="str">
        <f ca="1">'Formulario OM'!V2</f>
        <v>DAR 
FORMATO</v>
      </c>
      <c r="W2" s="806">
        <f>'Formulario OM'!W2</f>
        <v>0</v>
      </c>
      <c r="X2" s="211" t="s">
        <v>129</v>
      </c>
      <c r="Y2" s="714"/>
      <c r="Z2" s="300" t="s">
        <v>1310</v>
      </c>
      <c r="AA2" s="313" t="str">
        <f ca="1">'Formulario OM'!AA2</f>
        <v>BORRAR VARIABLES</v>
      </c>
      <c r="AB2" s="581">
        <f>COUNTA(Y5:Y35)+COUNTA(AA5:AA35)</f>
        <v>0</v>
      </c>
      <c r="AC2" s="590">
        <f>COUNTA(AC5:AC36)</f>
        <v>0</v>
      </c>
      <c r="AD2" s="580"/>
      <c r="AE2" s="580"/>
    </row>
    <row r="3" spans="1:31" ht="2.25" customHeight="1" thickBot="1" x14ac:dyDescent="0.3">
      <c r="A3" s="739"/>
      <c r="B3" s="732"/>
      <c r="C3" s="733"/>
      <c r="D3" s="733"/>
      <c r="E3" s="733"/>
      <c r="F3" s="733"/>
      <c r="G3" s="733"/>
      <c r="H3" s="733"/>
      <c r="I3" s="733"/>
      <c r="J3" s="733"/>
      <c r="K3" s="733"/>
      <c r="L3" s="187"/>
      <c r="M3" s="188"/>
      <c r="N3" s="189"/>
      <c r="O3" s="190"/>
      <c r="P3" s="189"/>
      <c r="Q3" s="190"/>
      <c r="R3" s="189"/>
      <c r="S3" s="190"/>
      <c r="T3" s="189"/>
      <c r="U3" s="190"/>
      <c r="V3" s="189"/>
      <c r="W3" s="190"/>
      <c r="X3" s="191"/>
      <c r="Y3" s="715"/>
      <c r="AB3" s="583" t="s">
        <v>18754</v>
      </c>
      <c r="AC3" s="590">
        <f>COUNTA(AC39:AC79)</f>
        <v>0</v>
      </c>
    </row>
    <row r="4" spans="1:31" ht="6" customHeight="1" thickBot="1" x14ac:dyDescent="0.3">
      <c r="A4" s="192"/>
      <c r="B4" s="75"/>
      <c r="C4" s="77"/>
      <c r="D4" s="77"/>
      <c r="E4" s="77"/>
      <c r="F4" s="77"/>
      <c r="G4" s="77"/>
      <c r="H4" s="78"/>
      <c r="I4" s="79"/>
      <c r="J4" s="79"/>
      <c r="K4" s="79"/>
      <c r="L4" s="79"/>
      <c r="M4" s="845"/>
      <c r="N4" s="79"/>
      <c r="O4" s="79"/>
      <c r="P4" s="79"/>
      <c r="Q4" s="79"/>
      <c r="R4" s="79"/>
      <c r="S4" s="79"/>
      <c r="T4" s="78"/>
      <c r="U4" s="78"/>
      <c r="V4" s="78"/>
      <c r="W4" s="78"/>
      <c r="X4" s="80"/>
      <c r="Y4" s="196"/>
      <c r="AB4" s="583" t="s">
        <v>18755</v>
      </c>
      <c r="AC4" s="590">
        <f>COLUMN()+COUNTA(AD4:XFD4)</f>
        <v>29</v>
      </c>
    </row>
    <row r="5" spans="1:31" x14ac:dyDescent="0.25">
      <c r="A5" s="194" t="str">
        <f ca="1">'Formulario OM'!A5</f>
        <v>FÓRMULA</v>
      </c>
      <c r="B5" s="781" t="str">
        <f ca="1">INDIRECT("Z_OM_01_"&amp;IDIOMA)</f>
        <v>Nº Inicial del Banco de Preguntas</v>
      </c>
      <c r="C5" s="782"/>
      <c r="D5" s="782"/>
      <c r="E5" s="782"/>
      <c r="F5" s="782"/>
      <c r="G5" s="782"/>
      <c r="H5" s="335">
        <f>'Datos RC'!A4</f>
        <v>501</v>
      </c>
      <c r="I5" s="700" t="str">
        <f ca="1">'Formulario OM'!I5</f>
        <v>Pregunta Nº</v>
      </c>
      <c r="J5" s="700"/>
      <c r="K5" s="700"/>
      <c r="L5" s="39">
        <f>G37</f>
        <v>501</v>
      </c>
      <c r="M5" s="846"/>
      <c r="N5" s="757" t="str">
        <f ca="1">INDIRECT("Z_TX_88_"&amp;IDIOMA)&amp;" ("&amp;AC4-COLUMN(AC2)&amp;")"</f>
        <v>ALMACENAR FORMULAS (0)</v>
      </c>
      <c r="O5" s="758"/>
      <c r="P5" s="758"/>
      <c r="Q5" s="759"/>
      <c r="R5" s="825" t="str">
        <f ca="1">INDIRECT("Z_DG_15_"&amp;IDIOMA)&amp;": "&amp;P_min_RC&amp;IF(P_max_RC=0,""," - "&amp;P_max_RC)</f>
        <v>Rango de preguntas almacenadas: 0</v>
      </c>
      <c r="S5" s="746"/>
      <c r="T5" s="746"/>
      <c r="U5" s="746"/>
      <c r="V5" s="746"/>
      <c r="W5" s="746"/>
      <c r="X5" s="68"/>
      <c r="Y5" s="198"/>
      <c r="Z5" s="300">
        <v>1</v>
      </c>
      <c r="AA5" s="314"/>
      <c r="AB5" s="300">
        <f>Z35+1</f>
        <v>17</v>
      </c>
    </row>
    <row r="6" spans="1:31" ht="6" customHeight="1" thickBot="1" x14ac:dyDescent="0.3">
      <c r="A6" s="19"/>
      <c r="B6" s="60"/>
      <c r="C6" s="61"/>
      <c r="D6" s="61"/>
      <c r="E6" s="61"/>
      <c r="F6" s="61"/>
      <c r="G6" s="61"/>
      <c r="H6" s="84"/>
      <c r="I6" s="85"/>
      <c r="J6" s="85"/>
      <c r="K6" s="85"/>
      <c r="L6" s="85"/>
      <c r="M6" s="846"/>
      <c r="N6" s="85"/>
      <c r="O6" s="84"/>
      <c r="P6" s="85"/>
      <c r="Q6" s="85"/>
      <c r="R6" s="85"/>
      <c r="S6" s="56"/>
      <c r="T6" s="56"/>
      <c r="U6" s="56"/>
      <c r="V6" s="84"/>
      <c r="W6" s="84"/>
      <c r="X6" s="64"/>
      <c r="Y6" s="197"/>
    </row>
    <row r="7" spans="1:31" ht="15" customHeight="1" thickTop="1" thickBot="1" x14ac:dyDescent="0.3">
      <c r="A7" s="194" t="str">
        <f ca="1">'Formulario OM'!A7</f>
        <v>SUPERÍNDICE</v>
      </c>
      <c r="B7" s="781" t="str">
        <f ca="1">INDIRECT("Z_OM_04_"&amp;IDIOMA)</f>
        <v>Nombre de la pregunta</v>
      </c>
      <c r="C7" s="782"/>
      <c r="D7" s="782"/>
      <c r="E7" s="782"/>
      <c r="F7" s="782"/>
      <c r="G7" s="782"/>
      <c r="H7" s="772" t="str">
        <f ca="1">IFERROR(INDIRECT("'Datos RC'!a"&amp;(L5-H5+N_I_Tabla)),"")</f>
        <v/>
      </c>
      <c r="I7" s="772"/>
      <c r="J7" s="772"/>
      <c r="K7" s="772"/>
      <c r="L7" s="772"/>
      <c r="M7" s="772"/>
      <c r="N7" s="700" t="str">
        <f ca="1">'Formulario OM'!N7</f>
        <v>Imagen</v>
      </c>
      <c r="O7" s="700"/>
      <c r="P7" s="700"/>
      <c r="Q7" s="768"/>
      <c r="R7" s="769"/>
      <c r="S7" s="769"/>
      <c r="T7" s="769"/>
      <c r="U7" s="769"/>
      <c r="V7" s="769"/>
      <c r="W7" s="770"/>
      <c r="X7" s="68"/>
      <c r="Y7" s="198"/>
      <c r="Z7" s="300">
        <f>Z5+1</f>
        <v>2</v>
      </c>
      <c r="AA7" s="314"/>
      <c r="AB7" s="300">
        <f>AB5+1</f>
        <v>18</v>
      </c>
    </row>
    <row r="8" spans="1:31" ht="6" customHeight="1" thickTop="1" x14ac:dyDescent="0.25">
      <c r="A8" s="20"/>
      <c r="B8" s="60"/>
      <c r="C8" s="61"/>
      <c r="D8" s="61"/>
      <c r="E8" s="61"/>
      <c r="F8" s="61"/>
      <c r="G8" s="63"/>
      <c r="H8" s="85"/>
      <c r="I8" s="84"/>
      <c r="J8" s="84"/>
      <c r="K8" s="84"/>
      <c r="L8" s="84"/>
      <c r="M8" s="85"/>
      <c r="N8" s="85"/>
      <c r="O8" s="56"/>
      <c r="P8" s="56"/>
      <c r="Q8" s="85"/>
      <c r="R8" s="56"/>
      <c r="S8" s="56"/>
      <c r="T8" s="56"/>
      <c r="U8" s="56"/>
      <c r="V8" s="56"/>
      <c r="W8" s="84"/>
      <c r="X8" s="64"/>
      <c r="Y8" s="94"/>
    </row>
    <row r="9" spans="1:31" x14ac:dyDescent="0.25">
      <c r="A9" s="194" t="str">
        <f ca="1">'Formulario OM'!A9</f>
        <v>SUBÍNDICE</v>
      </c>
      <c r="B9" s="702" t="str">
        <f ca="1">INDIRECT("Z_OM_05_"&amp;IDIOMA)</f>
        <v>Descripción</v>
      </c>
      <c r="C9" s="700"/>
      <c r="D9" s="700"/>
      <c r="E9" s="700"/>
      <c r="F9" s="700"/>
      <c r="G9" s="700"/>
      <c r="H9" s="771"/>
      <c r="I9" s="771"/>
      <c r="J9" s="771"/>
      <c r="K9" s="771"/>
      <c r="L9" s="771"/>
      <c r="M9" s="771"/>
      <c r="N9" s="700" t="str">
        <f ca="1">INDIRECT("Z_RC_02_"&amp;IDIOMA)</f>
        <v>Diferencia entre Mayúsculas y Minúsculas (SI=1)</v>
      </c>
      <c r="O9" s="700"/>
      <c r="P9" s="700"/>
      <c r="Q9" s="700"/>
      <c r="R9" s="700"/>
      <c r="S9" s="700"/>
      <c r="T9" s="700"/>
      <c r="U9" s="700"/>
      <c r="V9" s="700"/>
      <c r="W9" s="567"/>
      <c r="X9" s="68"/>
      <c r="Y9" s="198"/>
      <c r="Z9" s="300">
        <f>Z7+1</f>
        <v>3</v>
      </c>
      <c r="AA9" s="314"/>
      <c r="AB9" s="300">
        <f>AB7+1</f>
        <v>19</v>
      </c>
    </row>
    <row r="10" spans="1:31" ht="6" customHeight="1" thickBot="1" x14ac:dyDescent="0.3">
      <c r="A10" s="19"/>
      <c r="B10" s="60"/>
      <c r="C10" s="61"/>
      <c r="D10" s="61"/>
      <c r="E10" s="61"/>
      <c r="F10" s="61"/>
      <c r="G10" s="62"/>
      <c r="H10" s="84"/>
      <c r="I10" s="85"/>
      <c r="J10" s="85"/>
      <c r="K10" s="85"/>
      <c r="L10" s="85"/>
      <c r="M10" s="85"/>
      <c r="N10" s="85"/>
      <c r="O10" s="85"/>
      <c r="P10" s="85"/>
      <c r="Q10" s="85"/>
      <c r="R10" s="85"/>
      <c r="S10" s="85"/>
      <c r="T10" s="84"/>
      <c r="U10" s="84"/>
      <c r="V10" s="84"/>
      <c r="W10" s="84"/>
      <c r="X10" s="64"/>
      <c r="Y10" s="94"/>
    </row>
    <row r="11" spans="1:31" ht="15.75" thickTop="1" x14ac:dyDescent="0.25">
      <c r="A11" s="194" t="str">
        <f ca="1">'Formulario OM'!A11</f>
        <v>SALTO LÍNEA</v>
      </c>
      <c r="B11" s="702" t="str">
        <f ca="1">INDIRECT("Z_OM_07_"&amp;IDIOMA)</f>
        <v>Enunciado de la pregunta</v>
      </c>
      <c r="C11" s="700"/>
      <c r="D11" s="700"/>
      <c r="E11" s="700"/>
      <c r="F11" s="700"/>
      <c r="G11" s="701"/>
      <c r="H11" s="786"/>
      <c r="I11" s="787"/>
      <c r="J11" s="787"/>
      <c r="K11" s="787"/>
      <c r="L11" s="787"/>
      <c r="M11" s="787"/>
      <c r="N11" s="787"/>
      <c r="O11" s="787"/>
      <c r="P11" s="787"/>
      <c r="Q11" s="787"/>
      <c r="R11" s="787"/>
      <c r="S11" s="787"/>
      <c r="T11" s="787"/>
      <c r="U11" s="787"/>
      <c r="V11" s="787"/>
      <c r="W11" s="788"/>
      <c r="X11" s="68"/>
      <c r="Y11" s="198"/>
      <c r="Z11" s="300">
        <f>Z9+1</f>
        <v>4</v>
      </c>
      <c r="AA11" s="314"/>
      <c r="AB11" s="300">
        <f>AB9+1</f>
        <v>20</v>
      </c>
    </row>
    <row r="12" spans="1:31" ht="6" customHeight="1" thickBot="1" x14ac:dyDescent="0.3">
      <c r="A12" s="2"/>
      <c r="B12" s="753"/>
      <c r="C12" s="754"/>
      <c r="D12" s="61"/>
      <c r="E12" s="77"/>
      <c r="F12" s="77"/>
      <c r="G12" s="330"/>
      <c r="H12" s="789"/>
      <c r="I12" s="790"/>
      <c r="J12" s="790"/>
      <c r="K12" s="790"/>
      <c r="L12" s="790"/>
      <c r="M12" s="790"/>
      <c r="N12" s="790"/>
      <c r="O12" s="790"/>
      <c r="P12" s="790"/>
      <c r="Q12" s="790"/>
      <c r="R12" s="790"/>
      <c r="S12" s="790"/>
      <c r="T12" s="790"/>
      <c r="U12" s="790"/>
      <c r="V12" s="790"/>
      <c r="W12" s="791"/>
      <c r="X12" s="64"/>
      <c r="Y12" s="94"/>
    </row>
    <row r="13" spans="1:31" ht="15.75" thickBot="1" x14ac:dyDescent="0.3">
      <c r="A13" s="194" t="str">
        <f ca="1">'Formulario OM'!A13</f>
        <v>CONCATENAR</v>
      </c>
      <c r="B13" s="753"/>
      <c r="C13" s="754"/>
      <c r="D13" s="838" t="str">
        <f>'DATOS GENERALES'!C11</f>
        <v>Moodle
 Editor.
(HTML)</v>
      </c>
      <c r="E13" s="838"/>
      <c r="F13" s="838"/>
      <c r="G13" s="838"/>
      <c r="H13" s="792"/>
      <c r="I13" s="793"/>
      <c r="J13" s="793"/>
      <c r="K13" s="793"/>
      <c r="L13" s="793"/>
      <c r="M13" s="793"/>
      <c r="N13" s="793"/>
      <c r="O13" s="793"/>
      <c r="P13" s="793"/>
      <c r="Q13" s="793"/>
      <c r="R13" s="793"/>
      <c r="S13" s="793"/>
      <c r="T13" s="793"/>
      <c r="U13" s="793"/>
      <c r="V13" s="793"/>
      <c r="W13" s="794"/>
      <c r="X13" s="68"/>
      <c r="Y13" s="198"/>
      <c r="Z13" s="300">
        <f>Z11+1</f>
        <v>5</v>
      </c>
      <c r="AA13" s="314"/>
      <c r="AB13" s="300">
        <f>AB11+1</f>
        <v>21</v>
      </c>
    </row>
    <row r="14" spans="1:31" ht="6" customHeight="1" thickTop="1" thickBot="1" x14ac:dyDescent="0.3">
      <c r="B14" s="753"/>
      <c r="C14" s="754"/>
      <c r="D14" s="61"/>
      <c r="E14" s="77" t="str">
        <f ca="1">INDIRECT("Z_RC_01_"&amp;IDIOMA)</f>
        <v>Respuesta</v>
      </c>
      <c r="F14" s="77"/>
      <c r="G14" s="330"/>
      <c r="H14" s="85"/>
      <c r="I14" s="85"/>
      <c r="J14" s="85"/>
      <c r="K14" s="85"/>
      <c r="L14" s="85"/>
      <c r="M14" s="85"/>
      <c r="N14" s="85"/>
      <c r="O14" s="85"/>
      <c r="P14" s="85"/>
      <c r="Q14" s="85"/>
      <c r="R14" s="85"/>
      <c r="S14" s="85"/>
      <c r="T14" s="85"/>
      <c r="U14" s="85"/>
      <c r="V14" s="84"/>
      <c r="W14" s="84"/>
      <c r="X14" s="64"/>
      <c r="Y14" s="94"/>
    </row>
    <row r="15" spans="1:31" ht="16.5" thickTop="1" thickBot="1" x14ac:dyDescent="0.3">
      <c r="A15" s="194" t="str">
        <f ca="1">'Formulario OM'!A15</f>
        <v>NEGRITA</v>
      </c>
      <c r="B15" s="702" t="str">
        <f ca="1">$E$14&amp;E16</f>
        <v>Respuesta 01</v>
      </c>
      <c r="C15" s="700"/>
      <c r="D15" s="700"/>
      <c r="E15" s="700"/>
      <c r="F15" s="826"/>
      <c r="G15" s="826"/>
      <c r="H15" s="826"/>
      <c r="I15" s="826"/>
      <c r="J15" s="826"/>
      <c r="K15" s="826"/>
      <c r="L15" s="826"/>
      <c r="M15" s="826"/>
      <c r="N15" s="826"/>
      <c r="O15" s="700" t="str">
        <f ca="1">'DATOS GENERALES'!$P$11&amp;P16</f>
        <v>Puntos 01</v>
      </c>
      <c r="P15" s="700"/>
      <c r="Q15" s="565"/>
      <c r="R15" s="700" t="str">
        <f ca="1">'Formulario OM'!R17</f>
        <v>Retroalim.</v>
      </c>
      <c r="S15" s="701"/>
      <c r="T15" s="857"/>
      <c r="U15" s="858"/>
      <c r="V15" s="858"/>
      <c r="W15" s="859"/>
      <c r="X15" s="68"/>
      <c r="Y15" s="198"/>
      <c r="Z15" s="300">
        <f>Z13+1</f>
        <v>6</v>
      </c>
      <c r="AA15" s="314"/>
      <c r="AB15" s="300">
        <f>AB13+1</f>
        <v>22</v>
      </c>
    </row>
    <row r="16" spans="1:31" ht="6" customHeight="1" thickTop="1" thickBot="1" x14ac:dyDescent="0.3">
      <c r="B16" s="60"/>
      <c r="C16" s="61"/>
      <c r="D16" s="61"/>
      <c r="E16" s="225" t="s">
        <v>495</v>
      </c>
      <c r="F16" s="84"/>
      <c r="G16" s="84"/>
      <c r="H16" s="84"/>
      <c r="I16" s="84"/>
      <c r="J16" s="85"/>
      <c r="K16" s="85"/>
      <c r="L16" s="85"/>
      <c r="M16" s="85"/>
      <c r="N16" s="85"/>
      <c r="O16" s="85"/>
      <c r="P16" s="225" t="s">
        <v>495</v>
      </c>
      <c r="Q16" s="84"/>
      <c r="R16" s="85"/>
      <c r="S16" s="85"/>
      <c r="T16" s="89"/>
      <c r="U16" s="89"/>
      <c r="V16" s="89"/>
      <c r="W16" s="89"/>
      <c r="X16" s="64"/>
      <c r="Y16" s="94"/>
    </row>
    <row r="17" spans="1:28" ht="15" customHeight="1" thickTop="1" thickBot="1" x14ac:dyDescent="0.3">
      <c r="A17" s="194" t="str">
        <f ca="1">'Formulario OM'!A17</f>
        <v>ESPACIOS (+1)</v>
      </c>
      <c r="B17" s="702" t="str">
        <f ca="1">$E$14&amp;E18</f>
        <v>Respuesta 02</v>
      </c>
      <c r="C17" s="755"/>
      <c r="D17" s="755"/>
      <c r="E17" s="755"/>
      <c r="F17" s="771"/>
      <c r="G17" s="771"/>
      <c r="H17" s="771"/>
      <c r="I17" s="771"/>
      <c r="J17" s="771"/>
      <c r="K17" s="771"/>
      <c r="L17" s="771"/>
      <c r="M17" s="771"/>
      <c r="N17" s="771"/>
      <c r="O17" s="700" t="str">
        <f ca="1">'DATOS GENERALES'!$P$11&amp;P18</f>
        <v>Puntos 02</v>
      </c>
      <c r="P17" s="700"/>
      <c r="Q17" s="566"/>
      <c r="R17" s="700" t="str">
        <f ca="1">R15</f>
        <v>Retroalim.</v>
      </c>
      <c r="S17" s="701"/>
      <c r="T17" s="857"/>
      <c r="U17" s="858"/>
      <c r="V17" s="858"/>
      <c r="W17" s="859"/>
      <c r="X17" s="68"/>
      <c r="Y17" s="198"/>
      <c r="Z17" s="300">
        <f>Z15+1</f>
        <v>7</v>
      </c>
      <c r="AA17" s="314"/>
      <c r="AB17" s="300">
        <f>AB15+1</f>
        <v>23</v>
      </c>
    </row>
    <row r="18" spans="1:28" ht="6" customHeight="1" thickTop="1" thickBot="1" x14ac:dyDescent="0.3">
      <c r="B18" s="60"/>
      <c r="C18" s="61"/>
      <c r="D18" s="61"/>
      <c r="E18" s="225" t="s">
        <v>496</v>
      </c>
      <c r="F18" s="89"/>
      <c r="G18" s="89"/>
      <c r="H18" s="89"/>
      <c r="I18" s="89"/>
      <c r="J18" s="85"/>
      <c r="K18" s="85"/>
      <c r="L18" s="85"/>
      <c r="M18" s="85"/>
      <c r="N18" s="85"/>
      <c r="O18" s="85"/>
      <c r="P18" s="225" t="s">
        <v>496</v>
      </c>
      <c r="Q18" s="91"/>
      <c r="R18" s="85"/>
      <c r="S18" s="85"/>
      <c r="T18" s="89"/>
      <c r="U18" s="89"/>
      <c r="V18" s="89"/>
      <c r="W18" s="89"/>
      <c r="X18" s="64"/>
      <c r="Y18" s="94"/>
    </row>
    <row r="19" spans="1:28" ht="15.75" customHeight="1" thickTop="1" thickBot="1" x14ac:dyDescent="0.3">
      <c r="A19" s="194" t="str">
        <f ca="1">'Formulario OM'!A19</f>
        <v>TEXTO ROJO</v>
      </c>
      <c r="B19" s="702" t="str">
        <f ca="1">$E$14&amp;E20</f>
        <v>Respuesta 03</v>
      </c>
      <c r="C19" s="755"/>
      <c r="D19" s="755"/>
      <c r="E19" s="755"/>
      <c r="F19" s="771"/>
      <c r="G19" s="771"/>
      <c r="H19" s="771"/>
      <c r="I19" s="771"/>
      <c r="J19" s="771"/>
      <c r="K19" s="771"/>
      <c r="L19" s="771"/>
      <c r="M19" s="771"/>
      <c r="N19" s="771"/>
      <c r="O19" s="700" t="str">
        <f ca="1">'DATOS GENERALES'!$P$11&amp;P20</f>
        <v>Puntos 03</v>
      </c>
      <c r="P19" s="700"/>
      <c r="Q19" s="566"/>
      <c r="R19" s="700" t="str">
        <f ca="1">R17</f>
        <v>Retroalim.</v>
      </c>
      <c r="S19" s="701"/>
      <c r="T19" s="857"/>
      <c r="U19" s="858"/>
      <c r="V19" s="858"/>
      <c r="W19" s="859"/>
      <c r="X19" s="68"/>
      <c r="Y19" s="198"/>
      <c r="Z19" s="300">
        <f>Z17+1</f>
        <v>8</v>
      </c>
      <c r="AA19" s="314"/>
      <c r="AB19" s="300">
        <f>AB17+1</f>
        <v>24</v>
      </c>
    </row>
    <row r="20" spans="1:28" ht="6" customHeight="1" thickTop="1" thickBot="1" x14ac:dyDescent="0.3">
      <c r="A20" s="195"/>
      <c r="B20" s="60"/>
      <c r="C20" s="61"/>
      <c r="D20" s="61"/>
      <c r="E20" s="225" t="s">
        <v>497</v>
      </c>
      <c r="F20" s="89"/>
      <c r="G20" s="89"/>
      <c r="H20" s="89"/>
      <c r="I20" s="89"/>
      <c r="J20" s="85"/>
      <c r="K20" s="85"/>
      <c r="L20" s="85"/>
      <c r="M20" s="85"/>
      <c r="N20" s="85"/>
      <c r="O20" s="85"/>
      <c r="P20" s="225" t="s">
        <v>497</v>
      </c>
      <c r="Q20" s="91"/>
      <c r="R20" s="85"/>
      <c r="S20" s="85"/>
      <c r="T20" s="89"/>
      <c r="U20" s="89"/>
      <c r="V20" s="89"/>
      <c r="W20" s="89"/>
      <c r="X20" s="64"/>
      <c r="Y20" s="94"/>
    </row>
    <row r="21" spans="1:28" ht="16.5" thickTop="1" thickBot="1" x14ac:dyDescent="0.3">
      <c r="A21" s="194" t="str">
        <f ca="1">'Formulario OM'!A21</f>
        <v>TEXTO AZUL</v>
      </c>
      <c r="B21" s="702" t="str">
        <f ca="1">$E$14&amp;E22</f>
        <v>Respuesta 04</v>
      </c>
      <c r="C21" s="755"/>
      <c r="D21" s="755"/>
      <c r="E21" s="755"/>
      <c r="F21" s="771"/>
      <c r="G21" s="771"/>
      <c r="H21" s="771"/>
      <c r="I21" s="771"/>
      <c r="J21" s="771"/>
      <c r="K21" s="771"/>
      <c r="L21" s="771"/>
      <c r="M21" s="771"/>
      <c r="N21" s="771"/>
      <c r="O21" s="700" t="str">
        <f ca="1">'DATOS GENERALES'!$P$11&amp;P22</f>
        <v>Puntos 04</v>
      </c>
      <c r="P21" s="700"/>
      <c r="Q21" s="566"/>
      <c r="R21" s="700" t="str">
        <f ca="1">R19</f>
        <v>Retroalim.</v>
      </c>
      <c r="S21" s="701"/>
      <c r="T21" s="857"/>
      <c r="U21" s="858"/>
      <c r="V21" s="858"/>
      <c r="W21" s="859"/>
      <c r="X21" s="68"/>
      <c r="Y21" s="198"/>
      <c r="Z21" s="300">
        <f>Z19+1</f>
        <v>9</v>
      </c>
      <c r="AA21" s="314"/>
      <c r="AB21" s="300">
        <f>AB19+1</f>
        <v>25</v>
      </c>
    </row>
    <row r="22" spans="1:28" ht="6" customHeight="1" thickTop="1" thickBot="1" x14ac:dyDescent="0.3">
      <c r="B22" s="60"/>
      <c r="C22" s="61"/>
      <c r="D22" s="61"/>
      <c r="E22" s="225" t="s">
        <v>498</v>
      </c>
      <c r="F22" s="89"/>
      <c r="G22" s="89"/>
      <c r="H22" s="89"/>
      <c r="I22" s="89"/>
      <c r="J22" s="85"/>
      <c r="K22" s="85"/>
      <c r="L22" s="85"/>
      <c r="M22" s="85"/>
      <c r="N22" s="85"/>
      <c r="O22" s="85"/>
      <c r="P22" s="225" t="s">
        <v>498</v>
      </c>
      <c r="Q22" s="91"/>
      <c r="R22" s="85"/>
      <c r="S22" s="85"/>
      <c r="T22" s="89"/>
      <c r="U22" s="89"/>
      <c r="V22" s="89"/>
      <c r="W22" s="89"/>
      <c r="X22" s="64"/>
      <c r="Y22" s="94"/>
      <c r="Z22" s="17"/>
    </row>
    <row r="23" spans="1:28" ht="16.5" thickTop="1" thickBot="1" x14ac:dyDescent="0.3">
      <c r="A23" s="194" t="str">
        <f ca="1">'Formulario OM'!A23</f>
        <v>OTRO COLOR</v>
      </c>
      <c r="B23" s="702" t="str">
        <f ca="1">$E$14&amp;E24</f>
        <v>Respuesta 05</v>
      </c>
      <c r="C23" s="755"/>
      <c r="D23" s="755"/>
      <c r="E23" s="755"/>
      <c r="F23" s="771"/>
      <c r="G23" s="771"/>
      <c r="H23" s="771"/>
      <c r="I23" s="771"/>
      <c r="J23" s="771"/>
      <c r="K23" s="771"/>
      <c r="L23" s="771"/>
      <c r="M23" s="771"/>
      <c r="N23" s="771"/>
      <c r="O23" s="700" t="str">
        <f ca="1">'DATOS GENERALES'!$P$11&amp;P24</f>
        <v>Puntos 05</v>
      </c>
      <c r="P23" s="700"/>
      <c r="Q23" s="566"/>
      <c r="R23" s="700" t="str">
        <f ca="1">R21</f>
        <v>Retroalim.</v>
      </c>
      <c r="S23" s="701"/>
      <c r="T23" s="857"/>
      <c r="U23" s="858"/>
      <c r="V23" s="858"/>
      <c r="W23" s="859"/>
      <c r="X23" s="68"/>
      <c r="Y23" s="198"/>
      <c r="Z23" s="300">
        <f>Z21+1</f>
        <v>10</v>
      </c>
      <c r="AA23" s="314"/>
      <c r="AB23" s="300">
        <f>AB21+1</f>
        <v>26</v>
      </c>
    </row>
    <row r="24" spans="1:28" ht="6" customHeight="1" thickTop="1" thickBot="1" x14ac:dyDescent="0.3">
      <c r="B24" s="65"/>
      <c r="C24" s="61"/>
      <c r="D24" s="61"/>
      <c r="E24" s="225" t="s">
        <v>499</v>
      </c>
      <c r="F24" s="89"/>
      <c r="G24" s="89"/>
      <c r="H24" s="89"/>
      <c r="I24" s="89"/>
      <c r="J24" s="85"/>
      <c r="K24" s="85"/>
      <c r="L24" s="85"/>
      <c r="M24" s="85"/>
      <c r="N24" s="85"/>
      <c r="O24" s="85"/>
      <c r="P24" s="225" t="s">
        <v>499</v>
      </c>
      <c r="Q24" s="91"/>
      <c r="R24" s="85"/>
      <c r="S24" s="85"/>
      <c r="T24" s="89"/>
      <c r="U24" s="89"/>
      <c r="V24" s="89"/>
      <c r="W24" s="89"/>
      <c r="X24" s="68"/>
      <c r="Y24" s="4"/>
      <c r="Z24" s="17"/>
    </row>
    <row r="25" spans="1:28" ht="15" customHeight="1" thickTop="1" thickBot="1" x14ac:dyDescent="0.3">
      <c r="A25" s="737" t="str">
        <f ca="1">'Formulario OM'!A25</f>
        <v>INSERTAR
IMÁGENES</v>
      </c>
      <c r="B25" s="702" t="str">
        <f ca="1">$E$14&amp;E26</f>
        <v>Respuesta 06</v>
      </c>
      <c r="C25" s="755"/>
      <c r="D25" s="755"/>
      <c r="E25" s="755"/>
      <c r="F25" s="771"/>
      <c r="G25" s="771"/>
      <c r="H25" s="771"/>
      <c r="I25" s="771"/>
      <c r="J25" s="771"/>
      <c r="K25" s="771"/>
      <c r="L25" s="771"/>
      <c r="M25" s="771"/>
      <c r="N25" s="771"/>
      <c r="O25" s="700" t="str">
        <f ca="1">'DATOS GENERALES'!$P$11&amp;P26</f>
        <v>Puntos 06</v>
      </c>
      <c r="P25" s="700"/>
      <c r="Q25" s="566"/>
      <c r="R25" s="700" t="str">
        <f ca="1">R23</f>
        <v>Retroalim.</v>
      </c>
      <c r="S25" s="701"/>
      <c r="T25" s="857"/>
      <c r="U25" s="858"/>
      <c r="V25" s="858"/>
      <c r="W25" s="859"/>
      <c r="X25" s="68"/>
      <c r="Y25" s="198"/>
      <c r="Z25" s="300">
        <f>Z23+1</f>
        <v>11</v>
      </c>
      <c r="AA25" s="314"/>
      <c r="AB25" s="300">
        <f>AB23+1</f>
        <v>27</v>
      </c>
    </row>
    <row r="26" spans="1:28" ht="6" customHeight="1" thickTop="1" thickBot="1" x14ac:dyDescent="0.3">
      <c r="A26" s="738"/>
      <c r="B26" s="65"/>
      <c r="C26" s="66"/>
      <c r="D26" s="66"/>
      <c r="E26" s="225" t="s">
        <v>500</v>
      </c>
      <c r="F26" s="89"/>
      <c r="G26" s="89"/>
      <c r="H26" s="89"/>
      <c r="I26" s="89"/>
      <c r="J26" s="85"/>
      <c r="K26" s="85"/>
      <c r="L26" s="85"/>
      <c r="M26" s="85"/>
      <c r="N26" s="85"/>
      <c r="O26" s="85"/>
      <c r="P26" s="225" t="s">
        <v>500</v>
      </c>
      <c r="Q26" s="91"/>
      <c r="R26" s="85"/>
      <c r="S26" s="85"/>
      <c r="T26" s="89"/>
      <c r="U26" s="89"/>
      <c r="V26" s="89"/>
      <c r="W26" s="89"/>
      <c r="X26" s="68"/>
      <c r="Y26" s="94"/>
      <c r="Z26" s="17"/>
    </row>
    <row r="27" spans="1:28" ht="15" customHeight="1" thickTop="1" thickBot="1" x14ac:dyDescent="0.3">
      <c r="A27" s="739"/>
      <c r="B27" s="702" t="str">
        <f ca="1">$E$14&amp;E28</f>
        <v>Respuesta 07</v>
      </c>
      <c r="C27" s="755"/>
      <c r="D27" s="755"/>
      <c r="E27" s="755"/>
      <c r="F27" s="771"/>
      <c r="G27" s="771"/>
      <c r="H27" s="771"/>
      <c r="I27" s="771"/>
      <c r="J27" s="771"/>
      <c r="K27" s="771"/>
      <c r="L27" s="771"/>
      <c r="M27" s="771"/>
      <c r="N27" s="771"/>
      <c r="O27" s="700" t="str">
        <f ca="1">'DATOS GENERALES'!$P$11&amp;P28</f>
        <v>Puntos 07</v>
      </c>
      <c r="P27" s="700"/>
      <c r="Q27" s="566"/>
      <c r="R27" s="700" t="str">
        <f ca="1">R25</f>
        <v>Retroalim.</v>
      </c>
      <c r="S27" s="701"/>
      <c r="T27" s="857"/>
      <c r="U27" s="858"/>
      <c r="V27" s="858"/>
      <c r="W27" s="859"/>
      <c r="X27" s="68"/>
      <c r="Y27" s="198"/>
      <c r="Z27" s="300">
        <f>Z25+1</f>
        <v>12</v>
      </c>
      <c r="AA27" s="314"/>
      <c r="AB27" s="300">
        <f>AB25+1</f>
        <v>28</v>
      </c>
    </row>
    <row r="28" spans="1:28" ht="6" customHeight="1" thickBot="1" x14ac:dyDescent="0.3">
      <c r="B28" s="75"/>
      <c r="C28" s="69"/>
      <c r="D28" s="69"/>
      <c r="E28" s="224" t="s">
        <v>501</v>
      </c>
      <c r="F28" s="89"/>
      <c r="G28" s="89"/>
      <c r="H28" s="89"/>
      <c r="I28" s="89"/>
      <c r="J28" s="85"/>
      <c r="K28" s="85"/>
      <c r="L28" s="85"/>
      <c r="M28" s="85"/>
      <c r="N28" s="85"/>
      <c r="O28" s="85"/>
      <c r="P28" s="224" t="s">
        <v>501</v>
      </c>
      <c r="Q28" s="91"/>
      <c r="R28" s="85"/>
      <c r="S28" s="85"/>
      <c r="T28" s="89"/>
      <c r="U28" s="89"/>
      <c r="V28" s="89"/>
      <c r="W28" s="89"/>
      <c r="X28" s="80"/>
      <c r="Y28" s="94"/>
      <c r="Z28" s="17"/>
    </row>
    <row r="29" spans="1:28" ht="16.5" thickTop="1" thickBot="1" x14ac:dyDescent="0.3">
      <c r="A29" s="737" t="str">
        <f ca="1">'Formulario OM'!A29</f>
        <v>USAR DATOS VARIABLES</v>
      </c>
      <c r="B29" s="702" t="str">
        <f ca="1">$E$14&amp;E30</f>
        <v>Respuesta 08</v>
      </c>
      <c r="C29" s="755"/>
      <c r="D29" s="755"/>
      <c r="E29" s="755"/>
      <c r="F29" s="771"/>
      <c r="G29" s="771"/>
      <c r="H29" s="771"/>
      <c r="I29" s="771"/>
      <c r="J29" s="771"/>
      <c r="K29" s="771"/>
      <c r="L29" s="771"/>
      <c r="M29" s="771"/>
      <c r="N29" s="771"/>
      <c r="O29" s="700" t="str">
        <f ca="1">'DATOS GENERALES'!$P$11&amp;P30</f>
        <v>Puntos 08</v>
      </c>
      <c r="P29" s="700"/>
      <c r="Q29" s="566"/>
      <c r="R29" s="700" t="str">
        <f ca="1">R27</f>
        <v>Retroalim.</v>
      </c>
      <c r="S29" s="701"/>
      <c r="T29" s="857"/>
      <c r="U29" s="858"/>
      <c r="V29" s="858"/>
      <c r="W29" s="859"/>
      <c r="X29" s="180"/>
      <c r="Y29" s="198"/>
      <c r="Z29" s="300">
        <f>Z27+1</f>
        <v>13</v>
      </c>
      <c r="AA29" s="314"/>
      <c r="AB29" s="300">
        <f>AB27+1</f>
        <v>29</v>
      </c>
    </row>
    <row r="30" spans="1:28" ht="6" customHeight="1" thickTop="1" x14ac:dyDescent="0.25">
      <c r="A30" s="738"/>
      <c r="B30" s="65"/>
      <c r="C30" s="76"/>
      <c r="D30" s="76"/>
      <c r="E30" s="224" t="s">
        <v>502</v>
      </c>
      <c r="F30" s="76"/>
      <c r="G30" s="77"/>
      <c r="H30" s="78"/>
      <c r="I30" s="79"/>
      <c r="J30" s="79"/>
      <c r="K30" s="79"/>
      <c r="L30" s="79"/>
      <c r="M30" s="79"/>
      <c r="N30" s="79"/>
      <c r="O30" s="79"/>
      <c r="P30" s="224" t="s">
        <v>502</v>
      </c>
      <c r="Q30" s="79"/>
      <c r="R30" s="79"/>
      <c r="S30" s="79"/>
      <c r="T30" s="79"/>
      <c r="U30" s="79"/>
      <c r="V30" s="79"/>
      <c r="W30" s="79"/>
      <c r="X30" s="180"/>
      <c r="Y30" s="94"/>
      <c r="Z30" s="17"/>
    </row>
    <row r="31" spans="1:28" ht="15.75" thickBot="1" x14ac:dyDescent="0.3">
      <c r="A31" s="739"/>
      <c r="B31" s="65"/>
      <c r="C31" s="66"/>
      <c r="D31" s="66"/>
      <c r="E31" s="69"/>
      <c r="F31" s="77"/>
      <c r="G31" s="795" t="str">
        <f ca="1">INDIRECT("Z_OM_11_"&amp;IDIOMA)</f>
        <v>PISTA</v>
      </c>
      <c r="H31" s="795"/>
      <c r="I31" s="795"/>
      <c r="J31" s="795"/>
      <c r="K31" s="795"/>
      <c r="L31" s="795"/>
      <c r="M31" s="795"/>
      <c r="N31" s="795"/>
      <c r="O31" s="795"/>
      <c r="P31" s="795"/>
      <c r="Q31" s="795"/>
      <c r="R31" s="179"/>
      <c r="S31" s="697"/>
      <c r="T31" s="697"/>
      <c r="U31" s="697"/>
      <c r="V31" s="697"/>
      <c r="W31" s="697"/>
      <c r="X31" s="783"/>
      <c r="Y31" s="198"/>
      <c r="Z31" s="300">
        <f>Z29+1</f>
        <v>14</v>
      </c>
      <c r="AA31" s="314"/>
      <c r="AB31" s="300">
        <f>AB29+1</f>
        <v>30</v>
      </c>
    </row>
    <row r="32" spans="1:28" ht="6" customHeight="1" thickBot="1" x14ac:dyDescent="0.3">
      <c r="A32" s="195"/>
      <c r="B32" s="65"/>
      <c r="C32" s="747" t="s">
        <v>138</v>
      </c>
      <c r="D32" s="747"/>
      <c r="E32" s="69"/>
      <c r="F32" s="77"/>
      <c r="G32" s="76"/>
      <c r="H32" s="76"/>
      <c r="I32" s="76"/>
      <c r="J32" s="70"/>
      <c r="K32" s="70"/>
      <c r="L32" s="70"/>
      <c r="M32" s="76"/>
      <c r="N32" s="70"/>
      <c r="O32" s="70"/>
      <c r="P32" s="70"/>
      <c r="Q32" s="70"/>
      <c r="R32" s="179"/>
      <c r="S32" s="697"/>
      <c r="T32" s="697"/>
      <c r="U32" s="697"/>
      <c r="V32" s="697"/>
      <c r="W32" s="697"/>
      <c r="X32" s="783"/>
      <c r="Y32" s="94"/>
    </row>
    <row r="33" spans="1:28" ht="15" customHeight="1" thickTop="1" thickBot="1" x14ac:dyDescent="0.3">
      <c r="A33" s="194" t="str">
        <f ca="1">'Formulario OM'!A33</f>
        <v>ACTIVAR</v>
      </c>
      <c r="B33" s="65"/>
      <c r="C33" s="747"/>
      <c r="D33" s="747"/>
      <c r="E33" s="69"/>
      <c r="F33" s="215" t="s">
        <v>858</v>
      </c>
      <c r="G33" s="796"/>
      <c r="H33" s="797"/>
      <c r="I33" s="797"/>
      <c r="J33" s="797"/>
      <c r="K33" s="798"/>
      <c r="L33" s="215" t="s">
        <v>856</v>
      </c>
      <c r="M33" s="796"/>
      <c r="N33" s="797"/>
      <c r="O33" s="797"/>
      <c r="P33" s="797"/>
      <c r="Q33" s="798"/>
      <c r="R33" s="179"/>
      <c r="S33" s="697"/>
      <c r="T33" s="697"/>
      <c r="U33" s="697"/>
      <c r="V33" s="697"/>
      <c r="W33" s="697"/>
      <c r="X33" s="783"/>
      <c r="Y33" s="198"/>
      <c r="Z33" s="300">
        <f>Z31+1</f>
        <v>15</v>
      </c>
      <c r="AA33" s="314"/>
      <c r="AB33" s="300">
        <f>AB31+1</f>
        <v>31</v>
      </c>
    </row>
    <row r="34" spans="1:28" ht="6" customHeight="1" thickTop="1" thickBot="1" x14ac:dyDescent="0.3">
      <c r="A34" s="2"/>
      <c r="B34" s="65"/>
      <c r="C34" s="747"/>
      <c r="D34" s="747"/>
      <c r="E34" s="69"/>
      <c r="F34" s="77"/>
      <c r="G34" s="76"/>
      <c r="H34" s="76"/>
      <c r="I34" s="76"/>
      <c r="J34" s="70"/>
      <c r="K34" s="70"/>
      <c r="L34" s="70"/>
      <c r="M34" s="76"/>
      <c r="N34" s="71"/>
      <c r="O34" s="71"/>
      <c r="P34" s="71"/>
      <c r="Q34" s="71"/>
      <c r="R34" s="179"/>
      <c r="S34" s="697"/>
      <c r="T34" s="697"/>
      <c r="U34" s="697"/>
      <c r="V34" s="697"/>
      <c r="W34" s="697"/>
      <c r="X34" s="783"/>
      <c r="Y34" s="94"/>
    </row>
    <row r="35" spans="1:28" ht="15" customHeight="1" thickTop="1" thickBot="1" x14ac:dyDescent="0.3">
      <c r="A35" s="194" t="str">
        <f ca="1">'Formulario OM'!A35</f>
        <v>DESACTIVAR</v>
      </c>
      <c r="B35" s="65"/>
      <c r="C35" s="747"/>
      <c r="D35" s="747"/>
      <c r="E35" s="69"/>
      <c r="F35" s="215" t="s">
        <v>859</v>
      </c>
      <c r="G35" s="796"/>
      <c r="H35" s="797"/>
      <c r="I35" s="797"/>
      <c r="J35" s="797"/>
      <c r="K35" s="798"/>
      <c r="L35" s="215" t="s">
        <v>857</v>
      </c>
      <c r="M35" s="796"/>
      <c r="N35" s="797"/>
      <c r="O35" s="797"/>
      <c r="P35" s="797"/>
      <c r="Q35" s="798"/>
      <c r="R35" s="179"/>
      <c r="S35" s="697"/>
      <c r="T35" s="697"/>
      <c r="U35" s="697"/>
      <c r="V35" s="697"/>
      <c r="W35" s="697"/>
      <c r="X35" s="783"/>
      <c r="Y35" s="198"/>
      <c r="Z35" s="300">
        <f>Z33+1</f>
        <v>16</v>
      </c>
      <c r="AA35" s="314"/>
      <c r="AB35" s="300">
        <f>AB33+1</f>
        <v>32</v>
      </c>
    </row>
    <row r="36" spans="1:28" ht="9.9499999999999993" customHeight="1" thickTop="1" thickBot="1" x14ac:dyDescent="0.3">
      <c r="A36" s="653" t="str">
        <f>IF(AB2&gt;0,AB2,"")</f>
        <v/>
      </c>
      <c r="B36" s="315"/>
      <c r="C36" s="336" t="str">
        <f>Version</f>
        <v xml:space="preserve">   V - 5.0 </v>
      </c>
      <c r="D36" s="72"/>
      <c r="E36" s="72"/>
      <c r="F36" s="233">
        <v>4</v>
      </c>
      <c r="G36" s="72"/>
      <c r="H36" s="72"/>
      <c r="I36" s="72"/>
      <c r="J36" s="72"/>
      <c r="K36" s="72"/>
      <c r="L36" s="72"/>
      <c r="M36" s="72"/>
      <c r="N36" s="72"/>
      <c r="O36" s="72"/>
      <c r="P36" s="72"/>
      <c r="Q36" s="72"/>
      <c r="R36" s="181"/>
      <c r="S36" s="784"/>
      <c r="T36" s="784"/>
      <c r="U36" s="784"/>
      <c r="V36" s="784"/>
      <c r="W36" s="784"/>
      <c r="X36" s="785"/>
      <c r="Y36" s="94"/>
    </row>
    <row r="37" spans="1:28" s="3" customFormat="1" ht="15.75" hidden="1" customHeight="1" thickTop="1" x14ac:dyDescent="0.25">
      <c r="G37" s="48">
        <v>501</v>
      </c>
      <c r="M37" s="302" t="b">
        <v>1</v>
      </c>
      <c r="N37" s="48" t="b">
        <f>Centrar_Tabla</f>
        <v>1</v>
      </c>
      <c r="Y37" s="6"/>
    </row>
    <row r="38" spans="1:28" s="3" customFormat="1" ht="5.0999999999999996" customHeight="1" thickTop="1" x14ac:dyDescent="0.25">
      <c r="A38" s="6"/>
      <c r="B38" s="18"/>
      <c r="C38" s="18"/>
      <c r="D38" s="18"/>
      <c r="E38" s="18"/>
      <c r="F38" s="18"/>
      <c r="G38" s="18"/>
      <c r="Y38" s="6"/>
    </row>
    <row r="39" spans="1:28" s="3" customFormat="1" x14ac:dyDescent="0.25">
      <c r="A39" s="6"/>
      <c r="Y39" s="6"/>
    </row>
    <row r="40" spans="1:28" s="3" customFormat="1" hidden="1" x14ac:dyDescent="0.25">
      <c r="A40" s="6"/>
      <c r="Y40" s="6"/>
    </row>
    <row r="41" spans="1:28" s="3" customFormat="1" ht="15.75" hidden="1" x14ac:dyDescent="0.25">
      <c r="A41" s="199"/>
      <c r="Y41" s="6"/>
    </row>
    <row r="42" spans="1:28" s="3" customFormat="1" hidden="1" x14ac:dyDescent="0.25">
      <c r="A42" s="6"/>
      <c r="Y42" s="6"/>
    </row>
    <row r="43" spans="1:28" s="3" customFormat="1" hidden="1" x14ac:dyDescent="0.25">
      <c r="A43" s="6"/>
      <c r="Y43" s="6"/>
    </row>
    <row r="44" spans="1:28" s="3" customFormat="1" hidden="1" x14ac:dyDescent="0.25">
      <c r="A44" s="6"/>
      <c r="Y44" s="6"/>
    </row>
    <row r="45" spans="1:28" s="3" customFormat="1" hidden="1" x14ac:dyDescent="0.25">
      <c r="A45" s="6"/>
      <c r="Y45" s="6"/>
    </row>
    <row r="46" spans="1:28" s="3" customFormat="1" hidden="1" x14ac:dyDescent="0.25">
      <c r="Y46" s="6"/>
    </row>
    <row r="47" spans="1:28" s="3" customFormat="1" hidden="1" x14ac:dyDescent="0.25">
      <c r="A47"/>
      <c r="Y47" s="6"/>
    </row>
    <row r="48" spans="1:28" s="3" customFormat="1" hidden="1" x14ac:dyDescent="0.25">
      <c r="A48"/>
      <c r="Y48" s="6"/>
    </row>
    <row r="49" spans="1:25" s="3" customFormat="1" hidden="1" x14ac:dyDescent="0.25">
      <c r="A49"/>
      <c r="Y49" s="6"/>
    </row>
    <row r="50" spans="1:25" s="3" customFormat="1" hidden="1" x14ac:dyDescent="0.25">
      <c r="A50"/>
      <c r="Y50" s="6"/>
    </row>
    <row r="51" spans="1:25" s="3" customFormat="1" hidden="1" x14ac:dyDescent="0.25">
      <c r="A51"/>
      <c r="Y51" s="6"/>
    </row>
    <row r="52" spans="1:25" s="3" customFormat="1" hidden="1" x14ac:dyDescent="0.25">
      <c r="A52"/>
      <c r="Y52" s="6"/>
    </row>
    <row r="53" spans="1:25" s="3" customFormat="1" hidden="1" x14ac:dyDescent="0.25">
      <c r="A53"/>
      <c r="Y53" s="6"/>
    </row>
    <row r="54" spans="1:25" s="3" customFormat="1" hidden="1" x14ac:dyDescent="0.25">
      <c r="A54"/>
      <c r="Y54" s="6"/>
    </row>
    <row r="55" spans="1:25" s="3" customFormat="1" hidden="1" x14ac:dyDescent="0.25">
      <c r="A55"/>
      <c r="Y55" s="6"/>
    </row>
    <row r="56" spans="1:25" s="3" customFormat="1" hidden="1" x14ac:dyDescent="0.25">
      <c r="A56"/>
      <c r="Y56" s="6"/>
    </row>
    <row r="57" spans="1:25" s="3" customFormat="1" hidden="1" x14ac:dyDescent="0.25">
      <c r="A57"/>
      <c r="Y57" s="6"/>
    </row>
    <row r="58" spans="1:25" s="3" customFormat="1" hidden="1" x14ac:dyDescent="0.25">
      <c r="A58"/>
      <c r="Y58" s="6"/>
    </row>
    <row r="59" spans="1:25" s="3" customFormat="1" hidden="1" x14ac:dyDescent="0.25">
      <c r="A59"/>
      <c r="Y59" s="6"/>
    </row>
    <row r="60" spans="1:25" s="3" customFormat="1" hidden="1" x14ac:dyDescent="0.25">
      <c r="A60"/>
      <c r="Y60" s="6"/>
    </row>
    <row r="61" spans="1:25" s="3" customFormat="1" hidden="1" x14ac:dyDescent="0.25">
      <c r="A61"/>
      <c r="Y61" s="6"/>
    </row>
    <row r="62" spans="1:25" s="3" customFormat="1" hidden="1" x14ac:dyDescent="0.25">
      <c r="A62"/>
      <c r="Y62" s="6"/>
    </row>
    <row r="63" spans="1:25" s="3" customFormat="1" hidden="1" x14ac:dyDescent="0.25">
      <c r="A63"/>
      <c r="Y63" s="6"/>
    </row>
    <row r="64" spans="1:25" s="3" customFormat="1" hidden="1" x14ac:dyDescent="0.25">
      <c r="A64"/>
      <c r="Y64" s="6"/>
    </row>
    <row r="65" spans="1:25" s="3" customFormat="1" hidden="1" x14ac:dyDescent="0.25">
      <c r="A65"/>
      <c r="Y65" s="6"/>
    </row>
    <row r="66" spans="1:25" s="3" customFormat="1" hidden="1" x14ac:dyDescent="0.25">
      <c r="A66"/>
      <c r="Y66" s="6"/>
    </row>
    <row r="67" spans="1:25" s="3" customFormat="1" hidden="1" x14ac:dyDescent="0.25">
      <c r="A67"/>
      <c r="Y67" s="6"/>
    </row>
    <row r="68" spans="1:25" s="3" customFormat="1" hidden="1" x14ac:dyDescent="0.25">
      <c r="A68"/>
      <c r="Y68" s="6"/>
    </row>
    <row r="69" spans="1:25" s="3" customFormat="1" hidden="1" x14ac:dyDescent="0.25">
      <c r="A69"/>
      <c r="Y69" s="6"/>
    </row>
    <row r="70" spans="1:25" s="3" customFormat="1" hidden="1" x14ac:dyDescent="0.25">
      <c r="A70"/>
      <c r="Y70" s="6"/>
    </row>
    <row r="71" spans="1:25" s="3" customFormat="1" hidden="1" x14ac:dyDescent="0.25">
      <c r="A71"/>
      <c r="Y71" s="6"/>
    </row>
    <row r="72" spans="1:25" s="3" customFormat="1" hidden="1" x14ac:dyDescent="0.25">
      <c r="A72"/>
      <c r="Y72" s="6"/>
    </row>
  </sheetData>
  <sheetProtection algorithmName="SHA-512" hashValue="IkR803f+kH9xLtj2PBsXEKIlyJce6DpvXv/+n0HzHXTrH5p20DTvtBjllwsNrrIrvLUpC2Ns4cAcA2Wkuajeuw==" saltValue="30f50rWj+5idXmaEA6jeIg==" spinCount="100000" sheet="1" objects="1" scenarios="1" selectLockedCells="1"/>
  <mergeCells count="74">
    <mergeCell ref="B23:E23"/>
    <mergeCell ref="B25:E25"/>
    <mergeCell ref="B27:E27"/>
    <mergeCell ref="B29:E29"/>
    <mergeCell ref="R21:S21"/>
    <mergeCell ref="B21:E21"/>
    <mergeCell ref="R19:S19"/>
    <mergeCell ref="R17:S17"/>
    <mergeCell ref="R15:S15"/>
    <mergeCell ref="B15:E15"/>
    <mergeCell ref="B17:E17"/>
    <mergeCell ref="B19:E19"/>
    <mergeCell ref="I5:K5"/>
    <mergeCell ref="N7:P7"/>
    <mergeCell ref="N9:V9"/>
    <mergeCell ref="O15:P15"/>
    <mergeCell ref="O17:P17"/>
    <mergeCell ref="N5:Q5"/>
    <mergeCell ref="S31:X36"/>
    <mergeCell ref="T29:W29"/>
    <mergeCell ref="F29:N29"/>
    <mergeCell ref="F17:N17"/>
    <mergeCell ref="T15:W15"/>
    <mergeCell ref="T25:W25"/>
    <mergeCell ref="F25:N25"/>
    <mergeCell ref="T27:W27"/>
    <mergeCell ref="F27:N27"/>
    <mergeCell ref="T23:W23"/>
    <mergeCell ref="O19:P19"/>
    <mergeCell ref="O21:P21"/>
    <mergeCell ref="R29:S29"/>
    <mergeCell ref="R27:S27"/>
    <mergeCell ref="R25:S25"/>
    <mergeCell ref="R23:S23"/>
    <mergeCell ref="A25:A27"/>
    <mergeCell ref="R5:W5"/>
    <mergeCell ref="H9:M9"/>
    <mergeCell ref="F21:N21"/>
    <mergeCell ref="F23:N23"/>
    <mergeCell ref="T21:W21"/>
    <mergeCell ref="T19:W19"/>
    <mergeCell ref="T17:W17"/>
    <mergeCell ref="F19:N19"/>
    <mergeCell ref="O23:P23"/>
    <mergeCell ref="O25:P25"/>
    <mergeCell ref="O27:P27"/>
    <mergeCell ref="B5:G5"/>
    <mergeCell ref="B7:G7"/>
    <mergeCell ref="B9:G9"/>
    <mergeCell ref="B11:G11"/>
    <mergeCell ref="A29:A31"/>
    <mergeCell ref="G31:Q31"/>
    <mergeCell ref="G33:K33"/>
    <mergeCell ref="M33:Q33"/>
    <mergeCell ref="G35:K35"/>
    <mergeCell ref="M35:Q35"/>
    <mergeCell ref="O29:P29"/>
    <mergeCell ref="C32:D35"/>
    <mergeCell ref="A1:A3"/>
    <mergeCell ref="Y1:Y3"/>
    <mergeCell ref="F15:N15"/>
    <mergeCell ref="L2:M2"/>
    <mergeCell ref="B1:K3"/>
    <mergeCell ref="V2:W2"/>
    <mergeCell ref="T2:U2"/>
    <mergeCell ref="R2:S2"/>
    <mergeCell ref="P2:Q2"/>
    <mergeCell ref="N2:O2"/>
    <mergeCell ref="H11:W13"/>
    <mergeCell ref="D13:G13"/>
    <mergeCell ref="Q7:W7"/>
    <mergeCell ref="H7:M7"/>
    <mergeCell ref="B12:C14"/>
    <mergeCell ref="M4:M6"/>
  </mergeCells>
  <conditionalFormatting sqref="W9">
    <cfRule type="cellIs" dxfId="417" priority="3" operator="equal">
      <formula>""</formula>
    </cfRule>
  </conditionalFormatting>
  <conditionalFormatting sqref="W9">
    <cfRule type="expression" dxfId="416" priority="4" stopIfTrue="1">
      <formula>$B$45&lt;&gt;$B$42</formula>
    </cfRule>
  </conditionalFormatting>
  <conditionalFormatting sqref="AA2">
    <cfRule type="expression" dxfId="415" priority="1">
      <formula>$Z$2="OK"</formula>
    </cfRule>
  </conditionalFormatting>
  <dataValidations xWindow="92" yWindow="661" count="9">
    <dataValidation allowBlank="1" showErrorMessage="1" promptTitle="Nº Pregunta" prompt="Número de la PREGUNTA que se está consultando. Si quires que el primer número de este banco de preguntas sea mayor (11, 21, 31...) incrementa el rango en la casilla Nº INICIAL del BANCO de PREGUNTAS." sqref="L5"/>
    <dataValidation type="whole" allowBlank="1" showInputMessage="1" showErrorMessage="1" sqref="H5">
      <formula1>1</formula1>
      <formula2>1000</formula2>
    </dataValidation>
    <dataValidation allowBlank="1" showErrorMessage="1" promptTitle="Respuesta" prompt="Posible respuesta corta" sqref="F29:N29 F27:N27 F19 F15 F21:N21 F23:N23 F25:N25 F17"/>
    <dataValidation allowBlank="1" showErrorMessage="1" promptTitle="Retroalimentación" prompt="Lo que responde si se pone esta respuesta." sqref="T29:W29 T27:W27 T17 T19:W19 T21:W21 T23:W23 T25:W25 T15"/>
    <dataValidation type="list" showErrorMessage="1" errorTitle="Error_cuestionario" error="Debes escribir 0 o 1._x000a__x000a_Pulsa ESC para salir." promptTitle="Coincidencia" prompt="Si quieres que tengan que coincidir las MAYÚSCULAS pon 1." sqref="W9">
      <formula1>"0,1"</formula1>
    </dataValidation>
    <dataValidation allowBlank="1" showErrorMessage="1" promptTitle="Pista 1" prompt="Comentario que aparecerá si configuras MOODLE para que pueda dar pistas cuando se dejen más de un intento." sqref="G33 G35 M33 M35"/>
    <dataValidation allowBlank="1" showErrorMessage="1" promptTitle="Descripción" prompt="Escirbe lo que quieras que aparezca en el NOMBRE de la pregunta. Éste se formará con el PREFIJO puesto en Datos Generales + el número de la pregunta + la Descripción." sqref="H9:M9"/>
    <dataValidation allowBlank="1" showErrorMessage="1" promptTitle="Enunciado de la pregunta" prompt="Escribe el enunciado de la pregunta. Si quieres poner CÓDIGOS ESPECIALES, pincha F2 o haz &quot;clic&quot; dos veces con el ratón." sqref="H11"/>
    <dataValidation type="list" allowBlank="1" showErrorMessage="1" sqref="Q15 Q17 Q19 Q23 Q21 Q25 Q29 Q27">
      <formula1>"100,90,83,33,80,75,70,66,67,60,50,40,33,33,30,25,20,16,67,14,29,12,5,11,11,10,5"</formula1>
    </dataValidation>
  </dataValidations>
  <hyperlinks>
    <hyperlink ref="B1:K3" r:id="rId1" display="https://youtu.be/Q3P3f5q4tdA"/>
  </hyperlinks>
  <printOptions horizontalCentered="1" verticalCentered="1"/>
  <pageMargins left="0.59055118110236227" right="0.59055118110236227" top="0.78740157480314965" bottom="0.78740157480314965" header="0.78740157480314965" footer="0.78740157480314965"/>
  <pageSetup paperSize="9" scale="84" orientation="landscape" horizontalDpi="1200" verticalDpi="1200" r:id="rId2"/>
  <headerFooter>
    <oddHeader>&amp;L&amp;G&amp;C&amp;"-,Negrita"&amp;12Elaborado por
MILAGROS HUERTA GÓMEZ DE MERODIO
(Universidad de Cádiz)&amp;R&amp;A</oddHeader>
    <oddFooter>&amp;C&amp;F&amp;RPg. &amp;P/&amp;N</oddFooter>
  </headerFooter>
  <drawing r:id="rId3"/>
  <legacyDrawing r:id="rId4"/>
  <legacyDrawingHF r:id="rId5"/>
  <mc:AlternateContent xmlns:mc="http://schemas.openxmlformats.org/markup-compatibility/2006">
    <mc:Choice Requires="x14">
      <controls>
        <mc:AlternateContent xmlns:mc="http://schemas.openxmlformats.org/markup-compatibility/2006">
          <mc:Choice Requires="x14">
            <control shapeId="18433" r:id="rId6" name="Contador 10">
              <controlPr defaultSize="0" autoPict="0" macro="[0]!Cambiar_N_I_Banco_Preguntas" altText="Para consultar los datos de cada pregunta.">
                <anchor moveWithCells="1" sizeWithCells="1">
                  <from>
                    <xdr:col>7</xdr:col>
                    <xdr:colOff>323850</xdr:colOff>
                    <xdr:row>3</xdr:row>
                    <xdr:rowOff>66675</xdr:rowOff>
                  </from>
                  <to>
                    <xdr:col>8</xdr:col>
                    <xdr:colOff>28575</xdr:colOff>
                    <xdr:row>5</xdr:row>
                    <xdr:rowOff>9525</xdr:rowOff>
                  </to>
                </anchor>
              </controlPr>
            </control>
          </mc:Choice>
        </mc:AlternateContent>
        <mc:AlternateContent xmlns:mc="http://schemas.openxmlformats.org/markup-compatibility/2006">
          <mc:Choice Requires="x14">
            <control shapeId="18434" r:id="rId7" name="Contador 100">
              <controlPr defaultSize="0" autoPict="0" macro="[0]!Cambiar_N_I_Banco_Preguntas" altText="Para consultar los datos de cada pregunta.">
                <anchor moveWithCells="1" sizeWithCells="1">
                  <from>
                    <xdr:col>8</xdr:col>
                    <xdr:colOff>28575</xdr:colOff>
                    <xdr:row>3</xdr:row>
                    <xdr:rowOff>66675</xdr:rowOff>
                  </from>
                  <to>
                    <xdr:col>8</xdr:col>
                    <xdr:colOff>114300</xdr:colOff>
                    <xdr:row>5</xdr:row>
                    <xdr:rowOff>9525</xdr:rowOff>
                  </to>
                </anchor>
              </controlPr>
            </control>
          </mc:Choice>
        </mc:AlternateContent>
        <mc:AlternateContent xmlns:mc="http://schemas.openxmlformats.org/markup-compatibility/2006">
          <mc:Choice Requires="x14">
            <control shapeId="18435" r:id="rId8" name="Contador 1">
              <controlPr defaultSize="0" autoPict="0" macro="[0]!Ver_Datos_Preguntas" altText="Para consultar los datos de cada pregunta.">
                <anchor moveWithCells="1" sizeWithCells="1">
                  <from>
                    <xdr:col>11</xdr:col>
                    <xdr:colOff>371475</xdr:colOff>
                    <xdr:row>4</xdr:row>
                    <xdr:rowOff>0</xdr:rowOff>
                  </from>
                  <to>
                    <xdr:col>12</xdr:col>
                    <xdr:colOff>76200</xdr:colOff>
                    <xdr:row>5</xdr:row>
                    <xdr:rowOff>19050</xdr:rowOff>
                  </to>
                </anchor>
              </controlPr>
            </control>
          </mc:Choice>
        </mc:AlternateContent>
        <mc:AlternateContent xmlns:mc="http://schemas.openxmlformats.org/markup-compatibility/2006">
          <mc:Choice Requires="x14">
            <control shapeId="18436" r:id="rId9" name="Box PREGUNTAS">
              <controlPr defaultSize="0" autoFill="0" autoLine="0" autoPict="0">
                <anchor moveWithCells="1">
                  <from>
                    <xdr:col>12</xdr:col>
                    <xdr:colOff>76200</xdr:colOff>
                    <xdr:row>4</xdr:row>
                    <xdr:rowOff>0</xdr:rowOff>
                  </from>
                  <to>
                    <xdr:col>12</xdr:col>
                    <xdr:colOff>314325</xdr:colOff>
                    <xdr:row>4</xdr:row>
                    <xdr:rowOff>190500</xdr:rowOff>
                  </to>
                </anchor>
              </controlPr>
            </control>
          </mc:Choice>
        </mc:AlternateContent>
      </controls>
    </mc:Choice>
  </mc:AlternateContent>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Hoja_25">
    <tabColor rgb="FFE87B00"/>
    <pageSetUpPr autoPageBreaks="0" fitToPage="1"/>
  </sheetPr>
  <dimension ref="A1:AK6"/>
  <sheetViews>
    <sheetView showGridLines="0" showRowColHeaders="0" zoomScale="140" zoomScaleNormal="140" workbookViewId="0">
      <pane xSplit="7" ySplit="4" topLeftCell="H6" activePane="bottomRight" state="frozen"/>
      <selection activeCell="I7" sqref="I7"/>
      <selection pane="topRight" activeCell="I7" sqref="I7"/>
      <selection pane="bottomLeft" activeCell="I7" sqref="I7"/>
      <selection pane="bottomRight" activeCell="G6" sqref="G6"/>
    </sheetView>
  </sheetViews>
  <sheetFormatPr baseColWidth="10" defaultColWidth="0" defaultRowHeight="15" x14ac:dyDescent="0.25"/>
  <cols>
    <col min="1" max="1" width="9.7109375" style="14" customWidth="1"/>
    <col min="2" max="2" width="4.7109375" style="11" customWidth="1"/>
    <col min="3" max="3" width="3.7109375" style="11" hidden="1" customWidth="1"/>
    <col min="4" max="4" width="3.7109375" style="15" hidden="1" customWidth="1"/>
    <col min="5" max="5" width="5.85546875" style="15" customWidth="1"/>
    <col min="6" max="6" width="10.28515625" style="15" customWidth="1"/>
    <col min="7" max="7" width="54.7109375" style="11" customWidth="1"/>
    <col min="8" max="8" width="13.5703125" style="11" customWidth="1"/>
    <col min="9" max="9" width="12.5703125" style="11" customWidth="1"/>
    <col min="10" max="10" width="13.85546875" style="11" customWidth="1"/>
    <col min="11" max="11" width="13.5703125" style="11" customWidth="1"/>
    <col min="12" max="12" width="12.5703125" style="11" customWidth="1"/>
    <col min="13" max="13" width="13.85546875" style="11" customWidth="1"/>
    <col min="14" max="21" width="14.28515625" style="11" customWidth="1"/>
    <col min="22" max="22" width="14.85546875" style="11" customWidth="1"/>
    <col min="23" max="28" width="14.28515625" style="11" customWidth="1"/>
    <col min="29" max="29" width="13.5703125" style="11" customWidth="1"/>
    <col min="30" max="30" width="11.85546875" style="11" customWidth="1"/>
    <col min="31" max="31" width="13.85546875" style="11" customWidth="1"/>
    <col min="32" max="33" width="11.42578125" style="11" customWidth="1"/>
    <col min="34" max="35" width="11.42578125" style="11" hidden="1" customWidth="1"/>
    <col min="36" max="36" width="11.42578125" style="11" customWidth="1"/>
    <col min="37" max="37" width="0" style="12" hidden="1" customWidth="1"/>
    <col min="38" max="16384" width="11.42578125" style="12" hidden="1"/>
  </cols>
  <sheetData>
    <row r="1" spans="1:36" ht="39.950000000000003" customHeight="1" x14ac:dyDescent="0.25">
      <c r="A1" s="317" t="str">
        <f>Version</f>
        <v xml:space="preserve">   V - 5.0 </v>
      </c>
      <c r="B1" s="207"/>
      <c r="C1" s="208"/>
      <c r="D1" s="316"/>
      <c r="E1" s="316"/>
      <c r="F1" s="319" t="str">
        <f ca="1">'Datos OM'!F1</f>
        <v>DATOS 
GENERALES
FORMULARIO</v>
      </c>
      <c r="G1" s="579" t="str">
        <f ca="1">'Datos OM'!G1</f>
        <v>INSERTAR PREGUNTA
BORRAR PREGUNTA</v>
      </c>
      <c r="H1" s="321">
        <f>COUNTA(Tabla_RC[Enunciado])</f>
        <v>0</v>
      </c>
      <c r="I1" s="320" t="str">
        <f ca="1">INDIRECT("Z_BP_01_"&amp;IDIOMA)</f>
        <v>Preguntas Almacenadas</v>
      </c>
      <c r="K1" s="12"/>
      <c r="L1" s="12"/>
      <c r="M1" s="12"/>
      <c r="N1" s="12"/>
      <c r="O1" s="12"/>
      <c r="P1" s="12"/>
      <c r="Q1" s="12"/>
      <c r="R1" s="12"/>
      <c r="S1" s="12"/>
      <c r="T1" s="12"/>
      <c r="U1" s="12"/>
      <c r="V1" s="12"/>
      <c r="W1" s="12"/>
      <c r="X1" s="12"/>
      <c r="Y1" s="12"/>
      <c r="Z1" s="12"/>
      <c r="AA1" s="12"/>
      <c r="AB1" s="12"/>
      <c r="AC1" s="12"/>
      <c r="AD1" s="12"/>
      <c r="AE1" s="12"/>
      <c r="AF1" s="12"/>
      <c r="AG1" s="12"/>
      <c r="AH1" s="12"/>
      <c r="AI1" s="12"/>
      <c r="AJ1" s="12"/>
    </row>
    <row r="2" spans="1:36" ht="50.1" customHeight="1" thickBot="1" x14ac:dyDescent="0.3">
      <c r="A2" s="354" t="str">
        <f ca="1">'Datos OM'!A2</f>
        <v>Nombre de la pregunta</v>
      </c>
      <c r="B2" s="352" t="str">
        <f ca="1">"N. "&amp;'Formulario RC'!E14</f>
        <v>N. Respuesta</v>
      </c>
      <c r="C2" s="355"/>
      <c r="D2" s="356"/>
      <c r="E2" s="374" t="str">
        <f ca="1">INDIRECT("Z_RC_03_"&amp;IDIOMA)</f>
        <v>Mayúsculas</v>
      </c>
      <c r="F2" s="368" t="str">
        <f ca="1">'Datos OM'!F2</f>
        <v>Descripción</v>
      </c>
      <c r="G2" s="358" t="str">
        <f ca="1">'Formulario RC'!B1&amp;"
"&amp;'Formulario OM'!B11</f>
        <v>FastTest PlugIn - Respuesta Corta
Enunciado de la pregunta</v>
      </c>
      <c r="H2" s="375" t="str">
        <f ca="1">'Formulario RC'!$B15</f>
        <v>Respuesta 01</v>
      </c>
      <c r="I2" s="376" t="str">
        <f ca="1">'Formulario RC'!$O15</f>
        <v>Puntos 01</v>
      </c>
      <c r="J2" s="376" t="str">
        <f ca="1">'Formulario RC'!$R15&amp;'Formulario RC'!$E$16</f>
        <v>Retroalim. 01</v>
      </c>
      <c r="K2" s="377" t="str">
        <f ca="1">'Formulario RC'!$B17</f>
        <v>Respuesta 02</v>
      </c>
      <c r="L2" s="378" t="str">
        <f ca="1">'Formulario RC'!$O17</f>
        <v>Puntos 02</v>
      </c>
      <c r="M2" s="378" t="str">
        <f ca="1">'Formulario RC'!$R15&amp;'Formulario RC'!$E$18</f>
        <v>Retroalim. 02</v>
      </c>
      <c r="N2" s="513" t="str">
        <f ca="1">'Formulario RC'!$B19</f>
        <v>Respuesta 03</v>
      </c>
      <c r="O2" s="514" t="str">
        <f ca="1">'Formulario RC'!$O19</f>
        <v>Puntos 03</v>
      </c>
      <c r="P2" s="514" t="str">
        <f ca="1">'Formulario RC'!$R15&amp;'Formulario RC'!$E$20</f>
        <v>Retroalim. 03</v>
      </c>
      <c r="Q2" s="379" t="str">
        <f ca="1">'Formulario RC'!$B21</f>
        <v>Respuesta 04</v>
      </c>
      <c r="R2" s="380" t="str">
        <f ca="1">'Formulario RC'!$O21</f>
        <v>Puntos 04</v>
      </c>
      <c r="S2" s="380" t="str">
        <f ca="1">'Formulario RC'!$R15&amp;'Formulario RC'!$E$22</f>
        <v>Retroalim. 04</v>
      </c>
      <c r="T2" s="381" t="str">
        <f ca="1">'Formulario RC'!$B23</f>
        <v>Respuesta 05</v>
      </c>
      <c r="U2" s="382" t="str">
        <f ca="1">'Formulario RC'!$O23</f>
        <v>Puntos 05</v>
      </c>
      <c r="V2" s="382" t="str">
        <f ca="1">'Formulario RC'!$R15&amp;'Formulario RC'!$E$24</f>
        <v>Retroalim. 05</v>
      </c>
      <c r="W2" s="383" t="str">
        <f ca="1">'Formulario RC'!$B25</f>
        <v>Respuesta 06</v>
      </c>
      <c r="X2" s="384" t="str">
        <f ca="1">'Formulario RC'!$O25</f>
        <v>Puntos 06</v>
      </c>
      <c r="Y2" s="384" t="str">
        <f ca="1">'Formulario RC'!$R15&amp;'Formulario RC'!$E$26</f>
        <v>Retroalim. 06</v>
      </c>
      <c r="Z2" s="375" t="str">
        <f ca="1">'Formulario RC'!$B27</f>
        <v>Respuesta 07</v>
      </c>
      <c r="AA2" s="376" t="str">
        <f ca="1">'Formulario RC'!$O27</f>
        <v>Puntos 07</v>
      </c>
      <c r="AB2" s="376" t="str">
        <f ca="1">'Formulario RC'!$R15&amp;'Formulario RC'!$E$28</f>
        <v>Retroalim. 07</v>
      </c>
      <c r="AC2" s="377" t="str">
        <f ca="1">'Formulario RC'!$B29</f>
        <v>Respuesta 08</v>
      </c>
      <c r="AD2" s="378" t="str">
        <f ca="1">'Formulario RC'!$O29</f>
        <v>Puntos 08</v>
      </c>
      <c r="AE2" s="378" t="str">
        <f ca="1">'Formulario RC'!$R15&amp;'Formulario RC'!$E$30</f>
        <v>Retroalim. 08</v>
      </c>
      <c r="AF2" s="369" t="str">
        <f ca="1">'Datos OM'!AF2</f>
        <v>PISTA: 1</v>
      </c>
      <c r="AG2" s="370" t="str">
        <f ca="1">'Datos OM'!AG2</f>
        <v>PISTA: 2</v>
      </c>
      <c r="AH2" s="371" t="str">
        <f ca="1">'Datos OM'!AH2</f>
        <v>PISTA: 3</v>
      </c>
      <c r="AI2" s="372" t="str">
        <f ca="1">'Datos OM'!AI2</f>
        <v>PISTA: 4</v>
      </c>
      <c r="AJ2" s="373" t="s">
        <v>1314</v>
      </c>
    </row>
    <row r="3" spans="1:36" s="472" customFormat="1" ht="12.75" hidden="1" thickTop="1" x14ac:dyDescent="0.25">
      <c r="A3" s="459" t="str">
        <f t="shared" ref="A3:AJ3" ca="1" si="0">IFERROR(IF(INDIRECT("F"&amp;PREGUNTA_ACTUAL-(N_I_RC)+N_I_Tabla&amp;"C"&amp;COLUMN(),FALSE)="","",INDIRECT("F"&amp;PREGUNTA_ACTUAL-(N_I_RC)+N_I_Tabla&amp;"C"&amp;COLUMN(),FALSE)),"")</f>
        <v/>
      </c>
      <c r="B3" s="459" t="str">
        <f t="shared" ca="1" si="0"/>
        <v/>
      </c>
      <c r="C3" s="459" t="str">
        <f t="shared" ca="1" si="0"/>
        <v/>
      </c>
      <c r="D3" s="459" t="str">
        <f t="shared" ca="1" si="0"/>
        <v/>
      </c>
      <c r="E3" s="459" t="str">
        <f t="shared" ca="1" si="0"/>
        <v/>
      </c>
      <c r="F3" s="459" t="str">
        <f t="shared" ca="1" si="0"/>
        <v/>
      </c>
      <c r="G3" s="459" t="str">
        <f t="shared" ca="1" si="0"/>
        <v/>
      </c>
      <c r="H3" s="459" t="str">
        <f t="shared" ca="1" si="0"/>
        <v/>
      </c>
      <c r="I3" s="459" t="str">
        <f t="shared" ca="1" si="0"/>
        <v/>
      </c>
      <c r="J3" s="459" t="str">
        <f t="shared" ca="1" si="0"/>
        <v/>
      </c>
      <c r="K3" s="459" t="str">
        <f t="shared" ca="1" si="0"/>
        <v/>
      </c>
      <c r="L3" s="459" t="str">
        <f t="shared" ca="1" si="0"/>
        <v/>
      </c>
      <c r="M3" s="459" t="str">
        <f t="shared" ca="1" si="0"/>
        <v/>
      </c>
      <c r="N3" s="459" t="str">
        <f t="shared" ca="1" si="0"/>
        <v/>
      </c>
      <c r="O3" s="459" t="str">
        <f t="shared" ca="1" si="0"/>
        <v/>
      </c>
      <c r="P3" s="459" t="str">
        <f t="shared" ca="1" si="0"/>
        <v/>
      </c>
      <c r="Q3" s="459" t="str">
        <f t="shared" ca="1" si="0"/>
        <v/>
      </c>
      <c r="R3" s="459" t="str">
        <f t="shared" ca="1" si="0"/>
        <v/>
      </c>
      <c r="S3" s="459" t="str">
        <f t="shared" ca="1" si="0"/>
        <v/>
      </c>
      <c r="T3" s="459" t="str">
        <f t="shared" ca="1" si="0"/>
        <v/>
      </c>
      <c r="U3" s="459" t="str">
        <f t="shared" ca="1" si="0"/>
        <v/>
      </c>
      <c r="V3" s="459" t="str">
        <f t="shared" ca="1" si="0"/>
        <v/>
      </c>
      <c r="W3" s="459" t="str">
        <f t="shared" ca="1" si="0"/>
        <v/>
      </c>
      <c r="X3" s="459" t="str">
        <f t="shared" ca="1" si="0"/>
        <v/>
      </c>
      <c r="Y3" s="459" t="str">
        <f t="shared" ca="1" si="0"/>
        <v/>
      </c>
      <c r="Z3" s="459" t="str">
        <f t="shared" ca="1" si="0"/>
        <v/>
      </c>
      <c r="AA3" s="459" t="str">
        <f t="shared" ca="1" si="0"/>
        <v/>
      </c>
      <c r="AB3" s="459" t="str">
        <f t="shared" ca="1" si="0"/>
        <v/>
      </c>
      <c r="AC3" s="459" t="str">
        <f t="shared" ca="1" si="0"/>
        <v/>
      </c>
      <c r="AD3" s="459" t="str">
        <f t="shared" ca="1" si="0"/>
        <v/>
      </c>
      <c r="AE3" s="459" t="str">
        <f t="shared" ca="1" si="0"/>
        <v/>
      </c>
      <c r="AF3" s="459" t="str">
        <f t="shared" ca="1" si="0"/>
        <v/>
      </c>
      <c r="AG3" s="459" t="str">
        <f t="shared" ca="1" si="0"/>
        <v/>
      </c>
      <c r="AH3" s="459" t="str">
        <f t="shared" ca="1" si="0"/>
        <v/>
      </c>
      <c r="AI3" s="459" t="str">
        <f t="shared" ca="1" si="0"/>
        <v/>
      </c>
      <c r="AJ3" s="459" t="str">
        <f t="shared" ca="1" si="0"/>
        <v/>
      </c>
    </row>
    <row r="4" spans="1:36" s="472" customFormat="1" hidden="1" x14ac:dyDescent="0.25">
      <c r="A4" s="142">
        <v>501</v>
      </c>
      <c r="B4" s="471">
        <f>N_I_Tabla</f>
        <v>6</v>
      </c>
      <c r="C4" s="458"/>
      <c r="D4" s="469"/>
      <c r="E4" s="146" t="str">
        <f>IF('Formulario RC'!W9="","",'Formulario RC'!W9)</f>
        <v/>
      </c>
      <c r="F4" s="148" t="str">
        <f>IF('Formulario RC'!H9="","",'Formulario RC'!H9)</f>
        <v/>
      </c>
      <c r="G4" s="422" t="str">
        <f>IF('Formulario RC'!H11="","",'Formulario RC'!H11)</f>
        <v/>
      </c>
      <c r="H4" s="417" t="str">
        <f>IF('Formulario RC'!$F15="","",'Formulario RC'!$F15)</f>
        <v/>
      </c>
      <c r="I4" s="462" t="str">
        <f>IF('Formulario RC'!$Q15="","",'Formulario RC'!$Q15)</f>
        <v/>
      </c>
      <c r="J4" s="462" t="str">
        <f>IF('Formulario RC'!$T15="","",'Formulario RC'!$T15)</f>
        <v/>
      </c>
      <c r="K4" s="418" t="str">
        <f>IF('Formulario RC'!$F17="","",'Formulario RC'!$F17)</f>
        <v/>
      </c>
      <c r="L4" s="475" t="str">
        <f>IF('Formulario RC'!$Q17="","",'Formulario RC'!$Q17)</f>
        <v/>
      </c>
      <c r="M4" s="475" t="str">
        <f>IF('Formulario RC'!$T17="","",'Formulario RC'!$T17)</f>
        <v/>
      </c>
      <c r="N4" s="418" t="str">
        <f>IF('Formulario RC'!$F19="","",'Formulario RC'!$F19)</f>
        <v/>
      </c>
      <c r="O4" s="475" t="str">
        <f>IF('Formulario RC'!$Q19="","",'Formulario RC'!$Q19)</f>
        <v/>
      </c>
      <c r="P4" s="475" t="str">
        <f>IF('Formulario RC'!$T19="","",'Formulario RC'!$T19)</f>
        <v/>
      </c>
      <c r="Q4" s="419" t="str">
        <f>IF('Formulario RC'!$F21="","",'Formulario RC'!$F21)</f>
        <v/>
      </c>
      <c r="R4" s="476" t="str">
        <f>IF('Formulario RC'!$Q21="","",'Formulario RC'!$Q21)</f>
        <v/>
      </c>
      <c r="S4" s="476" t="str">
        <f>IF('Formulario RC'!$T21="","",'Formulario RC'!$T21)</f>
        <v/>
      </c>
      <c r="T4" s="420" t="str">
        <f>IF('Formulario RC'!$F23="","",'Formulario RC'!$F23)</f>
        <v/>
      </c>
      <c r="U4" s="477" t="str">
        <f>IF('Formulario RC'!$Q23="","",'Formulario RC'!$Q23)</f>
        <v/>
      </c>
      <c r="V4" s="477" t="str">
        <f>IF('Formulario RC'!$T23="","",'Formulario RC'!$T23)</f>
        <v/>
      </c>
      <c r="W4" s="421" t="str">
        <f>IF('Formulario RC'!$F25="","",'Formulario RC'!$F25)</f>
        <v/>
      </c>
      <c r="X4" s="478" t="str">
        <f>IF('Formulario RC'!$Q25="","",'Formulario RC'!$Q25)</f>
        <v/>
      </c>
      <c r="Y4" s="478" t="str">
        <f>IF('Formulario RC'!$T25="","",'Formulario RC'!$T25)</f>
        <v/>
      </c>
      <c r="Z4" s="417" t="str">
        <f>IF('Formulario RC'!$F27="","",'Formulario RC'!$F27)</f>
        <v/>
      </c>
      <c r="AA4" s="462" t="str">
        <f>IF('Formulario RC'!$Q27="","",'Formulario RC'!$Q27)</f>
        <v/>
      </c>
      <c r="AB4" s="462" t="str">
        <f>IF('Formulario RC'!$T27="","",'Formulario RC'!$T27)</f>
        <v/>
      </c>
      <c r="AC4" s="418" t="str">
        <f>IF('Formulario RC'!$F29="","",'Formulario RC'!$F29)</f>
        <v/>
      </c>
      <c r="AD4" s="475" t="str">
        <f>IF('Formulario RC'!$Q29="","",'Formulario RC'!$Q29)</f>
        <v/>
      </c>
      <c r="AE4" s="475" t="str">
        <f>IF('Formulario RC'!$T29="","",'Formulario RC'!$T29)</f>
        <v/>
      </c>
      <c r="AF4" s="156" t="str">
        <f>IF('Formulario RC'!G33="","",'Formulario RC'!G33)</f>
        <v/>
      </c>
      <c r="AG4" s="157" t="str">
        <f>IF('Formulario RC'!M33="","",'Formulario RC'!M33)</f>
        <v/>
      </c>
      <c r="AH4" s="158" t="str">
        <f>IF('Formulario RC'!G35="","",'Formulario RC'!G35)</f>
        <v/>
      </c>
      <c r="AI4" s="159" t="str">
        <f>IF('Formulario RC'!M35="","",'Formulario RC'!M35)</f>
        <v/>
      </c>
      <c r="AJ4" s="152" t="str">
        <f>IF('Formulario RC'!Q7="","",'Formulario RC'!Q7)</f>
        <v/>
      </c>
    </row>
    <row r="5" spans="1:36" ht="15" hidden="1" customHeight="1" x14ac:dyDescent="0.25">
      <c r="A5" s="455" t="s">
        <v>1702</v>
      </c>
      <c r="B5" s="453" t="s">
        <v>1846</v>
      </c>
      <c r="C5" s="455" t="s">
        <v>18199</v>
      </c>
      <c r="D5" s="468" t="s">
        <v>18167</v>
      </c>
      <c r="E5" s="149" t="s">
        <v>1758</v>
      </c>
      <c r="F5" s="148" t="s">
        <v>1856</v>
      </c>
      <c r="G5" s="422" t="s">
        <v>24</v>
      </c>
      <c r="H5" s="248" t="s">
        <v>1759</v>
      </c>
      <c r="I5" s="249" t="s">
        <v>1760</v>
      </c>
      <c r="J5" s="249" t="s">
        <v>1761</v>
      </c>
      <c r="K5" s="250" t="s">
        <v>1762</v>
      </c>
      <c r="L5" s="251" t="s">
        <v>1763</v>
      </c>
      <c r="M5" s="251" t="s">
        <v>1764</v>
      </c>
      <c r="N5" s="250" t="s">
        <v>1765</v>
      </c>
      <c r="O5" s="251" t="s">
        <v>1766</v>
      </c>
      <c r="P5" s="251" t="s">
        <v>1767</v>
      </c>
      <c r="Q5" s="252" t="s">
        <v>1768</v>
      </c>
      <c r="R5" s="253" t="s">
        <v>1769</v>
      </c>
      <c r="S5" s="253" t="s">
        <v>1770</v>
      </c>
      <c r="T5" s="254" t="s">
        <v>1771</v>
      </c>
      <c r="U5" s="255" t="s">
        <v>1772</v>
      </c>
      <c r="V5" s="255" t="s">
        <v>1773</v>
      </c>
      <c r="W5" s="256" t="s">
        <v>1774</v>
      </c>
      <c r="X5" s="257" t="s">
        <v>1775</v>
      </c>
      <c r="Y5" s="257" t="s">
        <v>1776</v>
      </c>
      <c r="Z5" s="248" t="s">
        <v>1777</v>
      </c>
      <c r="AA5" s="249" t="s">
        <v>1778</v>
      </c>
      <c r="AB5" s="249" t="s">
        <v>1779</v>
      </c>
      <c r="AC5" s="250" t="s">
        <v>1780</v>
      </c>
      <c r="AD5" s="251" t="s">
        <v>1781</v>
      </c>
      <c r="AE5" s="251" t="s">
        <v>1782</v>
      </c>
      <c r="AF5" s="156" t="s">
        <v>1606</v>
      </c>
      <c r="AG5" s="157" t="s">
        <v>1607</v>
      </c>
      <c r="AH5" s="158" t="s">
        <v>1608</v>
      </c>
      <c r="AI5" s="159" t="s">
        <v>1609</v>
      </c>
      <c r="AJ5" s="152" t="s">
        <v>1314</v>
      </c>
    </row>
    <row r="6" spans="1:36" ht="15.75" thickTop="1" x14ac:dyDescent="0.25">
      <c r="A6" s="616" t="str">
        <f>IFERROR(IF(Tabla_RC[[#This Row],[Enunciado]]="","",PREF_PREGUNTA&amp;IF(PREF_PREGUNTA="",""," - ")&amp;
IF(n_preg_ON_RC=TRUE,IF((N_I_RC+ROW()-N_I_Tabla)&gt;99,
IF((N_I_RC+ROW()-N_I_Tabla)&lt;100,"0",""),"")&amp;
IF((N_I_RC+ROW()-N_I_Tabla)&lt;10,"0","")&amp;(N_I_RC+ROW()-N_I_Tabla),""))&amp;
IF(Tabla_RC[[#This Row],[Descripcion]]&lt;&gt;""," "&amp;Tabla_RC[[#This Row],[Descripcion]],""),"")</f>
        <v/>
      </c>
      <c r="B6" s="596" t="str">
        <f>IFERROR(IF(COUNTA(Tabla_RC[[#This Row],[Respuesta 01]],Tabla_RC[[#This Row],[Respuesta 02]],Tabla_RC[[#This Row],[Respuesta 03]],Tabla_RC[[#This Row],[Respuesta 04]],Tabla_RC[[#This Row],[Respuesta 05]],Tabla_RC[[#This Row],[Respuesta 06]],Tabla_RC[[#This Row],[Respuesta 07]],Tabla_RC[[#This Row],[Respuesta 08]])=0,"",
                            COUNTA(Tabla_RC[[#This Row],[Respuesta 01]],Tabla_RC[[#This Row],[Respuesta 02]],Tabla_RC[[#This Row],[Respuesta 03]],Tabla_RC[[#This Row],[Respuesta 04]],Tabla_RC[[#This Row],[Respuesta 05]],Tabla_RC[[#This Row],[Respuesta 06]],Tabla_RC[[#This Row],[Respuesta 07]],Tabla_RC[[#This Row],[Respuesta 08]])),"")</f>
        <v/>
      </c>
      <c r="C6" s="595" t="str">
        <f>Tabla_RC[[#This Row],[Respuesta 01]]&amp;" "&amp;Tabla_RC[[#This Row],[Respuesta 02]]&amp;" "&amp;Tabla_RC[[#This Row],[Respuesta 03]]&amp;" "&amp;Tabla_RC[[#This Row],[Respuesta 04]]&amp;" "&amp;Tabla_RC[[#This Row],[Respuesta 05]]&amp;" "&amp;Tabla_RC[[#This Row],[Respuesta 06]]&amp;" "&amp;Tabla_RC[[#This Row],[Respuesta 07]]&amp;" "&amp;Tabla_RC[[#This Row],[Respuesta 08]]</f>
        <v xml:space="preserve">       </v>
      </c>
      <c r="D6" s="624"/>
      <c r="E6" s="625"/>
      <c r="F6" s="622"/>
      <c r="G6" s="623"/>
      <c r="H6" s="610"/>
      <c r="I6" s="599"/>
      <c r="J6" s="599"/>
      <c r="K6" s="611"/>
      <c r="L6" s="600"/>
      <c r="M6" s="600"/>
      <c r="N6" s="612"/>
      <c r="O6" s="601"/>
      <c r="P6" s="601"/>
      <c r="Q6" s="613"/>
      <c r="R6" s="602"/>
      <c r="S6" s="602"/>
      <c r="T6" s="614"/>
      <c r="U6" s="603"/>
      <c r="V6" s="603"/>
      <c r="W6" s="615"/>
      <c r="X6" s="604"/>
      <c r="Y6" s="604"/>
      <c r="Z6" s="610"/>
      <c r="AA6" s="599"/>
      <c r="AB6" s="599"/>
      <c r="AC6" s="611"/>
      <c r="AD6" s="600"/>
      <c r="AE6" s="600"/>
      <c r="AF6" s="605"/>
      <c r="AG6" s="606"/>
      <c r="AH6" s="607"/>
      <c r="AI6" s="608"/>
      <c r="AJ6" s="626"/>
    </row>
  </sheetData>
  <sheetProtection algorithmName="SHA-512" hashValue="bAtMM6FWyXE2SvyT7Yyzk7jPl9JgA2kXNKFZ9XjQl6Ah7gUh7DXUEpFInR4hGcny5X23tP3rEEregk9Tlsh7Yg==" saltValue="DqBTI6qrabOLWkKLNe+1XQ==" spinCount="100000" sheet="1" objects="1" scenarios="1" selectLockedCells="1"/>
  <conditionalFormatting sqref="C2:AE2 E4:AE4 C6:AE6">
    <cfRule type="cellIs" dxfId="414" priority="732" operator="equal">
      <formula>""</formula>
    </cfRule>
  </conditionalFormatting>
  <conditionalFormatting sqref="AF4:AI4 AF2:AJ2 AF6:AJ6">
    <cfRule type="cellIs" dxfId="413" priority="300" operator="equal">
      <formula>""</formula>
    </cfRule>
    <cfRule type="cellIs" dxfId="412" priority="301" operator="equal">
      <formula>0</formula>
    </cfRule>
  </conditionalFormatting>
  <conditionalFormatting sqref="AJ4">
    <cfRule type="cellIs" dxfId="411" priority="144" operator="equal">
      <formula>""</formula>
    </cfRule>
    <cfRule type="cellIs" dxfId="410" priority="145" operator="equal">
      <formula>0</formula>
    </cfRule>
  </conditionalFormatting>
  <conditionalFormatting sqref="C5:AE5">
    <cfRule type="cellIs" dxfId="409" priority="8" operator="equal">
      <formula>""</formula>
    </cfRule>
  </conditionalFormatting>
  <conditionalFormatting sqref="AF5:AJ5">
    <cfRule type="cellIs" dxfId="408" priority="5" operator="equal">
      <formula>""</formula>
    </cfRule>
    <cfRule type="cellIs" dxfId="407" priority="6" operator="equal">
      <formula>0</formula>
    </cfRule>
  </conditionalFormatting>
  <conditionalFormatting sqref="E2 E4:E5">
    <cfRule type="expression" dxfId="406" priority="1552" stopIfTrue="1">
      <formula>#REF!&lt;&gt;#REF!</formula>
    </cfRule>
  </conditionalFormatting>
  <dataValidations count="3">
    <dataValidation showInputMessage="1" showErrorMessage="1" errorTitle="Error_cuestionario" error="Debes escribir 0 o 1._x000a__x000a_Pulsa ESC para salir." promptTitle="Coincidencia" prompt="Si quieres que tengan que coincidir las MAYÚSCULAS pon 1." sqref="E4"/>
    <dataValidation type="whole" allowBlank="1" showInputMessage="1" showErrorMessage="1" errorTitle="Error" error="Debes introducir un número válido. _x000a_Rellena primero las respuestas._x000a__x000a_Pulsa ESC para continuar." sqref="C2">
      <formula1>1</formula1>
      <formula2>IF(C_SIMPLE="true",1,MIN(5,COUNTA(H2:M2)))</formula2>
    </dataValidation>
    <dataValidation allowBlank="1" showInputMessage="1" showErrorMessage="1" errorTitle="Error" error="Debes introducir un número válido. _x000a_Rellena primero las respuestas._x000a__x000a_Pulsa ESC para continuar." sqref="C5:C6"/>
  </dataValidations>
  <pageMargins left="0.70866141732283472" right="0.70866141732283472" top="0.74803149606299213" bottom="0.74803149606299213" header="0.31496062992125984" footer="0.31496062992125984"/>
  <pageSetup paperSize="9" scale="44" fitToHeight="47" orientation="landscape" r:id="rId1"/>
  <drawing r:id="rId2"/>
  <tableParts count="1">
    <tablePart r:id="rId3"/>
  </tableParts>
</worksheet>
</file>

<file path=xl/worksheets/sheet1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Hoja_15">
    <tabColor rgb="FF005877"/>
    <pageSetUpPr fitToPage="1"/>
  </sheetPr>
  <dimension ref="A1:ZA127"/>
  <sheetViews>
    <sheetView showGridLines="0" showRowColHeaders="0" zoomScale="140" zoomScaleNormal="140" workbookViewId="0">
      <pane xSplit="38" ySplit="73" topLeftCell="AM128" activePane="bottomRight" state="frozen"/>
      <selection activeCell="K7" sqref="K7:O7"/>
      <selection pane="topRight" activeCell="K7" sqref="K7:O7"/>
      <selection pane="bottomLeft" activeCell="K7" sqref="K7:O7"/>
      <selection pane="bottomRight" activeCell="Q7" sqref="Q7:W7"/>
    </sheetView>
  </sheetViews>
  <sheetFormatPr baseColWidth="10" defaultColWidth="0" defaultRowHeight="15" zeroHeight="1" x14ac:dyDescent="0.25"/>
  <cols>
    <col min="1" max="1" width="10.7109375" customWidth="1"/>
    <col min="2" max="2" width="2.7109375" style="4" customWidth="1"/>
    <col min="3" max="23" width="5.7109375" style="4" customWidth="1"/>
    <col min="24" max="24" width="2.7109375" style="4" customWidth="1"/>
    <col min="25" max="25" width="10.7109375" style="93" customWidth="1"/>
    <col min="26" max="26" width="2.7109375" style="4" customWidth="1"/>
    <col min="27" max="27" width="10.7109375" style="4" customWidth="1"/>
    <col min="28" max="28" width="2.7109375" style="4" customWidth="1"/>
    <col min="29" max="677" width="5.7109375" style="4" hidden="1" customWidth="1"/>
    <col min="678" max="16384" width="11.42578125" style="4" hidden="1"/>
  </cols>
  <sheetData>
    <row r="1" spans="1:30" ht="2.25" customHeight="1" thickTop="1" x14ac:dyDescent="0.25">
      <c r="A1" s="737" t="str">
        <f ca="1">'Formulario OM'!A1</f>
        <v>CÓDIGOS 
ESPECIALES</v>
      </c>
      <c r="B1" s="730" t="str">
        <f ca="1">APP&amp;" - "&amp;Tipo_6</f>
        <v>FastTest PlugIn - Palabra Perdida</v>
      </c>
      <c r="C1" s="731"/>
      <c r="D1" s="731"/>
      <c r="E1" s="731"/>
      <c r="F1" s="731"/>
      <c r="G1" s="731"/>
      <c r="H1" s="731"/>
      <c r="I1" s="731"/>
      <c r="J1" s="731"/>
      <c r="K1" s="731"/>
      <c r="L1" s="172"/>
      <c r="M1" s="172"/>
      <c r="N1" s="172"/>
      <c r="O1" s="172"/>
      <c r="P1" s="172"/>
      <c r="Q1" s="172"/>
      <c r="R1" s="172"/>
      <c r="S1" s="172"/>
      <c r="T1" s="172"/>
      <c r="U1" s="172"/>
      <c r="V1" s="172"/>
      <c r="W1" s="172"/>
      <c r="X1" s="173"/>
      <c r="Y1" s="713" t="str">
        <f ca="1">'DATOS GENERALES'!Y1</f>
        <v>NO USAR CORTAR
[Ctrl + X]</v>
      </c>
      <c r="AB1" s="4">
        <f>COUNTA(Q7,H9,H11,F19,H19,P19,R19,F21,H21,P21,R21,F23,H23,P23,R23,F25,H25,P25,R25,F27,H27,P27,R27,F29,H29,P29,R29,G33,M33,G35,M35)</f>
        <v>0</v>
      </c>
      <c r="AC1" s="590" t="str">
        <f>IFERROR(HLOOKUP(AC4,$AB$4:AB4,1,0),"OK")</f>
        <v>OK</v>
      </c>
      <c r="AD1" s="590"/>
    </row>
    <row r="2" spans="1:30" ht="24.95" customHeight="1" x14ac:dyDescent="0.25">
      <c r="A2" s="738"/>
      <c r="B2" s="732"/>
      <c r="C2" s="733"/>
      <c r="D2" s="733"/>
      <c r="E2" s="733"/>
      <c r="F2" s="733"/>
      <c r="G2" s="733"/>
      <c r="H2" s="733"/>
      <c r="I2" s="733"/>
      <c r="J2" s="733"/>
      <c r="K2" s="733"/>
      <c r="L2" s="802" t="str">
        <f ca="1">'Formulario OM'!L2</f>
        <v>DATOS 
GENERALES</v>
      </c>
      <c r="M2" s="760">
        <f>'Formulario OM'!M2</f>
        <v>0</v>
      </c>
      <c r="N2" s="803" t="str">
        <f ca="1">'Formulario OM'!N2</f>
        <v>BANCO 
PREGUNTAS</v>
      </c>
      <c r="O2" s="804">
        <f>'Formulario OM'!O2</f>
        <v>0</v>
      </c>
      <c r="P2" s="805" t="str">
        <f ca="1">'Formulario OM'!P2</f>
        <v>LIMPIAR 
DATOS</v>
      </c>
      <c r="Q2" s="804">
        <f>'Formulario OM'!Q2</f>
        <v>0</v>
      </c>
      <c r="R2" s="805" t="str">
        <f ca="1">'Formulario OM'!R2</f>
        <v>GUARDAR 
PREGUNTAS</v>
      </c>
      <c r="S2" s="804">
        <f>'Formulario OM'!S2</f>
        <v>0</v>
      </c>
      <c r="T2" s="805" t="str">
        <f ca="1">'Formulario OM'!T2</f>
        <v>BORRAR 
PREGUNTAS</v>
      </c>
      <c r="U2" s="804">
        <f>'Formulario OM'!U2</f>
        <v>0</v>
      </c>
      <c r="V2" s="805" t="str">
        <f ca="1">'Formulario OM'!V2</f>
        <v>DAR 
FORMATO</v>
      </c>
      <c r="W2" s="806">
        <f>'Formulario OM'!W2</f>
        <v>0</v>
      </c>
      <c r="X2" s="211" t="s">
        <v>129</v>
      </c>
      <c r="Y2" s="714"/>
      <c r="Z2" s="300" t="s">
        <v>1310</v>
      </c>
      <c r="AA2" s="313" t="str">
        <f ca="1">'Formulario OM'!AA2</f>
        <v>BORRAR VARIABLES</v>
      </c>
      <c r="AB2" s="581">
        <f>COUNTA(Y5:Y35)+COUNTA(AA5:AA35)</f>
        <v>0</v>
      </c>
      <c r="AC2" s="590">
        <f>COUNTA(AC5:AC36)</f>
        <v>0</v>
      </c>
      <c r="AD2" s="590"/>
    </row>
    <row r="3" spans="1:30" ht="2.25" customHeight="1" thickBot="1" x14ac:dyDescent="0.3">
      <c r="A3" s="739"/>
      <c r="B3" s="732"/>
      <c r="C3" s="733"/>
      <c r="D3" s="733"/>
      <c r="E3" s="733"/>
      <c r="F3" s="733"/>
      <c r="G3" s="733"/>
      <c r="H3" s="733"/>
      <c r="I3" s="733"/>
      <c r="J3" s="733"/>
      <c r="K3" s="733"/>
      <c r="L3" s="187"/>
      <c r="M3" s="188"/>
      <c r="N3" s="189"/>
      <c r="O3" s="190"/>
      <c r="P3" s="189"/>
      <c r="Q3" s="190"/>
      <c r="R3" s="189"/>
      <c r="S3" s="190"/>
      <c r="T3" s="189"/>
      <c r="U3" s="190"/>
      <c r="V3" s="189"/>
      <c r="W3" s="190"/>
      <c r="X3" s="191"/>
      <c r="Y3" s="715"/>
      <c r="AB3" s="583" t="s">
        <v>18754</v>
      </c>
      <c r="AC3" s="590">
        <f>COUNTA(AC39:AC79)</f>
        <v>0</v>
      </c>
      <c r="AD3" s="590"/>
    </row>
    <row r="4" spans="1:30" ht="6" customHeight="1" thickBot="1" x14ac:dyDescent="0.3">
      <c r="A4" s="192"/>
      <c r="B4" s="75"/>
      <c r="C4" s="77"/>
      <c r="D4" s="77"/>
      <c r="E4" s="77"/>
      <c r="F4" s="77"/>
      <c r="G4" s="77"/>
      <c r="H4" s="78"/>
      <c r="I4" s="79"/>
      <c r="J4" s="79"/>
      <c r="K4" s="79"/>
      <c r="L4" s="79"/>
      <c r="M4" s="845"/>
      <c r="N4" s="79"/>
      <c r="O4" s="79"/>
      <c r="P4" s="79"/>
      <c r="Q4" s="79"/>
      <c r="R4" s="79"/>
      <c r="S4" s="79"/>
      <c r="T4" s="78"/>
      <c r="U4" s="78"/>
      <c r="V4" s="78"/>
      <c r="W4" s="78"/>
      <c r="X4" s="80"/>
      <c r="Y4" s="196"/>
      <c r="AB4" s="583" t="s">
        <v>18755</v>
      </c>
      <c r="AC4" s="590">
        <f>COLUMN()+COUNTA(AD4:XFD4)</f>
        <v>29</v>
      </c>
    </row>
    <row r="5" spans="1:30" x14ac:dyDescent="0.25">
      <c r="A5" s="194" t="str">
        <f ca="1">'Formulario OM'!A5</f>
        <v>FÓRMULA</v>
      </c>
      <c r="B5" s="781" t="str">
        <f ca="1">INDIRECT("Z_OM_01_"&amp;IDIOMA)</f>
        <v>Nº Inicial del Banco de Preguntas</v>
      </c>
      <c r="C5" s="782"/>
      <c r="D5" s="782"/>
      <c r="E5" s="782"/>
      <c r="F5" s="782"/>
      <c r="G5" s="782"/>
      <c r="H5" s="335">
        <f>'Datos PP'!A4</f>
        <v>601</v>
      </c>
      <c r="I5" s="700" t="str">
        <f ca="1">'Formulario OM'!I5</f>
        <v>Pregunta Nº</v>
      </c>
      <c r="J5" s="700"/>
      <c r="K5" s="700"/>
      <c r="L5" s="39">
        <f>G37</f>
        <v>601</v>
      </c>
      <c r="M5" s="846"/>
      <c r="N5" s="757" t="str">
        <f ca="1">INDIRECT("Z_TX_88_"&amp;IDIOMA)&amp;" ("&amp;AC4-COLUMN(AC2)&amp;")"</f>
        <v>ALMACENAR FORMULAS (0)</v>
      </c>
      <c r="O5" s="758"/>
      <c r="P5" s="758"/>
      <c r="Q5" s="759"/>
      <c r="R5" s="825" t="str">
        <f ca="1">INDIRECT("Z_DG_15_"&amp;IDIOMA)&amp;": "&amp;P_min_PP&amp;IF(P_max_PP=0,""," - "&amp;P_max_PP)</f>
        <v>Rango de preguntas almacenadas: 0</v>
      </c>
      <c r="S5" s="746"/>
      <c r="T5" s="746"/>
      <c r="U5" s="746"/>
      <c r="V5" s="746"/>
      <c r="W5" s="746"/>
      <c r="X5" s="68"/>
      <c r="Y5" s="198"/>
      <c r="Z5" s="300">
        <v>1</v>
      </c>
      <c r="AA5" s="314"/>
      <c r="AB5" s="300">
        <f>Z35+1</f>
        <v>17</v>
      </c>
    </row>
    <row r="6" spans="1:30" ht="6" customHeight="1" thickBot="1" x14ac:dyDescent="0.3">
      <c r="A6" s="19"/>
      <c r="B6" s="60"/>
      <c r="C6" s="61"/>
      <c r="D6" s="61"/>
      <c r="E6" s="61"/>
      <c r="F6" s="61"/>
      <c r="G6" s="61"/>
      <c r="H6" s="84"/>
      <c r="I6" s="85"/>
      <c r="J6" s="85"/>
      <c r="K6" s="85"/>
      <c r="L6" s="85"/>
      <c r="M6" s="846"/>
      <c r="N6" s="85"/>
      <c r="O6" s="84"/>
      <c r="P6" s="85"/>
      <c r="Q6" s="85"/>
      <c r="R6" s="85"/>
      <c r="S6" s="56"/>
      <c r="T6" s="56"/>
      <c r="U6" s="56"/>
      <c r="V6" s="84"/>
      <c r="W6" s="84"/>
      <c r="X6" s="64"/>
      <c r="Y6" s="197"/>
    </row>
    <row r="7" spans="1:30" ht="15" customHeight="1" thickTop="1" thickBot="1" x14ac:dyDescent="0.3">
      <c r="A7" s="194" t="str">
        <f ca="1">'Formulario OM'!A7</f>
        <v>SUPERÍNDICE</v>
      </c>
      <c r="B7" s="781" t="str">
        <f ca="1">INDIRECT("Z_OM_04_"&amp;IDIOMA)</f>
        <v>Nombre de la pregunta</v>
      </c>
      <c r="C7" s="782"/>
      <c r="D7" s="782"/>
      <c r="E7" s="782"/>
      <c r="F7" s="782"/>
      <c r="G7" s="782"/>
      <c r="H7" s="772" t="str">
        <f ca="1">IFERROR(INDIRECT("'Datos PP'!a"&amp;(L5-H5+N_I_Tabla)),"")</f>
        <v/>
      </c>
      <c r="I7" s="772"/>
      <c r="J7" s="772"/>
      <c r="K7" s="772"/>
      <c r="L7" s="772"/>
      <c r="M7" s="772"/>
      <c r="N7" s="700" t="str">
        <f ca="1">'Formulario OM'!N7</f>
        <v>Imagen</v>
      </c>
      <c r="O7" s="755"/>
      <c r="P7" s="755"/>
      <c r="Q7" s="768"/>
      <c r="R7" s="769"/>
      <c r="S7" s="769"/>
      <c r="T7" s="769"/>
      <c r="U7" s="769"/>
      <c r="V7" s="769"/>
      <c r="W7" s="770"/>
      <c r="X7" s="68"/>
      <c r="Y7" s="198"/>
      <c r="Z7" s="300">
        <f>Z5+1</f>
        <v>2</v>
      </c>
      <c r="AA7" s="314"/>
      <c r="AB7" s="300">
        <f>AB5+1</f>
        <v>18</v>
      </c>
    </row>
    <row r="8" spans="1:30" ht="6" customHeight="1" thickTop="1" x14ac:dyDescent="0.25">
      <c r="A8" s="20"/>
      <c r="B8" s="60"/>
      <c r="C8" s="61"/>
      <c r="D8" s="61"/>
      <c r="E8" s="61"/>
      <c r="F8" s="61"/>
      <c r="G8" s="63"/>
      <c r="H8" s="85"/>
      <c r="I8" s="84"/>
      <c r="J8" s="84"/>
      <c r="K8" s="84"/>
      <c r="L8" s="84"/>
      <c r="M8" s="85"/>
      <c r="N8" s="85"/>
      <c r="O8" s="56"/>
      <c r="P8" s="56"/>
      <c r="Q8" s="85"/>
      <c r="R8" s="56"/>
      <c r="S8" s="56"/>
      <c r="T8" s="56"/>
      <c r="U8" s="56"/>
      <c r="V8" s="56"/>
      <c r="W8" s="82"/>
      <c r="X8" s="64"/>
      <c r="Y8" s="94"/>
    </row>
    <row r="9" spans="1:30" x14ac:dyDescent="0.25">
      <c r="A9" s="194" t="str">
        <f ca="1">'Formulario OM'!A9</f>
        <v>SUBÍNDICE</v>
      </c>
      <c r="B9" s="702" t="str">
        <f ca="1">INDIRECT("Z_OM_05_"&amp;IDIOMA)</f>
        <v>Descripción</v>
      </c>
      <c r="C9" s="700"/>
      <c r="D9" s="700"/>
      <c r="E9" s="700"/>
      <c r="F9" s="700"/>
      <c r="G9" s="700"/>
      <c r="H9" s="860"/>
      <c r="I9" s="861"/>
      <c r="J9" s="861"/>
      <c r="K9" s="861"/>
      <c r="L9" s="861"/>
      <c r="M9" s="861"/>
      <c r="N9" s="56"/>
      <c r="O9" s="87"/>
      <c r="P9" s="85"/>
      <c r="Q9" s="81"/>
      <c r="R9" s="56"/>
      <c r="S9" s="56"/>
      <c r="T9" s="56"/>
      <c r="U9" s="56"/>
      <c r="V9" s="82"/>
      <c r="W9" s="82"/>
      <c r="X9" s="68"/>
      <c r="Y9" s="198"/>
      <c r="Z9" s="300">
        <f>Z7+1</f>
        <v>3</v>
      </c>
      <c r="AA9" s="314"/>
      <c r="AB9" s="300">
        <f>AB7+1</f>
        <v>19</v>
      </c>
    </row>
    <row r="10" spans="1:30" ht="6" customHeight="1" thickBot="1" x14ac:dyDescent="0.3">
      <c r="A10" s="19"/>
      <c r="B10" s="60"/>
      <c r="C10" s="61"/>
      <c r="D10" s="61"/>
      <c r="E10" s="61"/>
      <c r="F10" s="61"/>
      <c r="G10" s="62"/>
      <c r="H10" s="84"/>
      <c r="I10" s="85"/>
      <c r="J10" s="85"/>
      <c r="K10" s="85"/>
      <c r="L10" s="85"/>
      <c r="M10" s="85"/>
      <c r="N10" s="85"/>
      <c r="O10" s="85"/>
      <c r="P10" s="85"/>
      <c r="Q10" s="85"/>
      <c r="R10" s="85"/>
      <c r="S10" s="85"/>
      <c r="T10" s="84"/>
      <c r="U10" s="84"/>
      <c r="V10" s="84"/>
      <c r="W10" s="84"/>
      <c r="X10" s="64"/>
      <c r="Y10" s="94"/>
    </row>
    <row r="11" spans="1:30" ht="15" customHeight="1" thickTop="1" x14ac:dyDescent="0.25">
      <c r="A11" s="194" t="str">
        <f ca="1">'Formulario OM'!A11</f>
        <v>SALTO LÍNEA</v>
      </c>
      <c r="B11" s="702" t="str">
        <f ca="1">INDIRECT("Z_OM_07_"&amp;IDIOMA)</f>
        <v>Enunciado de la pregunta</v>
      </c>
      <c r="C11" s="700"/>
      <c r="D11" s="700"/>
      <c r="E11" s="700"/>
      <c r="F11" s="700"/>
      <c r="G11" s="701"/>
      <c r="H11" s="869"/>
      <c r="I11" s="870"/>
      <c r="J11" s="870"/>
      <c r="K11" s="870"/>
      <c r="L11" s="870"/>
      <c r="M11" s="870"/>
      <c r="N11" s="870"/>
      <c r="O11" s="870"/>
      <c r="P11" s="870"/>
      <c r="Q11" s="870"/>
      <c r="R11" s="870"/>
      <c r="S11" s="870"/>
      <c r="T11" s="870"/>
      <c r="U11" s="870"/>
      <c r="V11" s="870"/>
      <c r="W11" s="871"/>
      <c r="X11" s="68"/>
      <c r="Y11" s="198"/>
      <c r="Z11" s="300">
        <f>Z9+1</f>
        <v>4</v>
      </c>
      <c r="AA11" s="314"/>
      <c r="AB11" s="300">
        <f>AB9+1</f>
        <v>20</v>
      </c>
    </row>
    <row r="12" spans="1:30" ht="6" customHeight="1" thickBot="1" x14ac:dyDescent="0.3">
      <c r="A12" s="2"/>
      <c r="B12" s="753"/>
      <c r="C12" s="754"/>
      <c r="D12" s="61"/>
      <c r="E12" s="77"/>
      <c r="F12" s="77"/>
      <c r="G12" s="330"/>
      <c r="H12" s="872"/>
      <c r="I12" s="873"/>
      <c r="J12" s="873"/>
      <c r="K12" s="873"/>
      <c r="L12" s="873"/>
      <c r="M12" s="873"/>
      <c r="N12" s="873"/>
      <c r="O12" s="873"/>
      <c r="P12" s="873"/>
      <c r="Q12" s="873"/>
      <c r="R12" s="873"/>
      <c r="S12" s="873"/>
      <c r="T12" s="873"/>
      <c r="U12" s="873"/>
      <c r="V12" s="873"/>
      <c r="W12" s="874"/>
      <c r="X12" s="64"/>
      <c r="Y12" s="94"/>
    </row>
    <row r="13" spans="1:30" x14ac:dyDescent="0.25">
      <c r="A13" s="194" t="str">
        <f ca="1">'Formulario OM'!A13</f>
        <v>CONCATENAR</v>
      </c>
      <c r="B13" s="753"/>
      <c r="C13" s="754"/>
      <c r="D13" s="838" t="str">
        <f>'DATOS GENERALES'!C11</f>
        <v>Moodle
 Editor.
(HTML)</v>
      </c>
      <c r="E13" s="838"/>
      <c r="F13" s="838"/>
      <c r="G13" s="838"/>
      <c r="H13" s="872"/>
      <c r="I13" s="873"/>
      <c r="J13" s="873"/>
      <c r="K13" s="873"/>
      <c r="L13" s="873"/>
      <c r="M13" s="873"/>
      <c r="N13" s="873"/>
      <c r="O13" s="873"/>
      <c r="P13" s="873"/>
      <c r="Q13" s="873"/>
      <c r="R13" s="873"/>
      <c r="S13" s="873"/>
      <c r="T13" s="873"/>
      <c r="U13" s="873"/>
      <c r="V13" s="873"/>
      <c r="W13" s="874"/>
      <c r="X13" s="68"/>
      <c r="Y13" s="198"/>
      <c r="Z13" s="300">
        <f>Z11+1</f>
        <v>5</v>
      </c>
      <c r="AA13" s="314"/>
      <c r="AB13" s="300">
        <f>AB11+1</f>
        <v>21</v>
      </c>
    </row>
    <row r="14" spans="1:30" ht="6" customHeight="1" x14ac:dyDescent="0.25">
      <c r="B14" s="753"/>
      <c r="C14" s="754"/>
      <c r="D14" s="61"/>
      <c r="E14" s="77"/>
      <c r="F14" s="77"/>
      <c r="G14" s="752"/>
      <c r="H14" s="872"/>
      <c r="I14" s="873"/>
      <c r="J14" s="873"/>
      <c r="K14" s="873"/>
      <c r="L14" s="873"/>
      <c r="M14" s="873"/>
      <c r="N14" s="873"/>
      <c r="O14" s="873"/>
      <c r="P14" s="873"/>
      <c r="Q14" s="873"/>
      <c r="R14" s="873"/>
      <c r="S14" s="873"/>
      <c r="T14" s="873"/>
      <c r="U14" s="873"/>
      <c r="V14" s="873"/>
      <c r="W14" s="874"/>
      <c r="X14" s="64"/>
      <c r="Y14" s="94"/>
    </row>
    <row r="15" spans="1:30" ht="15.75" thickBot="1" x14ac:dyDescent="0.3">
      <c r="A15" s="194" t="str">
        <f ca="1">'Formulario OM'!A15</f>
        <v>NEGRITA</v>
      </c>
      <c r="B15" s="702"/>
      <c r="C15" s="700"/>
      <c r="D15" s="700"/>
      <c r="E15" s="700"/>
      <c r="F15" s="700"/>
      <c r="G15" s="752"/>
      <c r="H15" s="875"/>
      <c r="I15" s="876"/>
      <c r="J15" s="876"/>
      <c r="K15" s="876"/>
      <c r="L15" s="876"/>
      <c r="M15" s="876"/>
      <c r="N15" s="876"/>
      <c r="O15" s="876"/>
      <c r="P15" s="876"/>
      <c r="Q15" s="876"/>
      <c r="R15" s="876"/>
      <c r="S15" s="876"/>
      <c r="T15" s="876"/>
      <c r="U15" s="876"/>
      <c r="V15" s="876"/>
      <c r="W15" s="877"/>
      <c r="X15" s="68"/>
      <c r="Y15" s="198"/>
      <c r="Z15" s="300">
        <f>Z13+1</f>
        <v>6</v>
      </c>
      <c r="AA15" s="314"/>
      <c r="AB15" s="300">
        <f>AB13+1</f>
        <v>22</v>
      </c>
    </row>
    <row r="16" spans="1:30" ht="6" customHeight="1" thickTop="1" x14ac:dyDescent="0.25">
      <c r="B16" s="60"/>
      <c r="C16" s="61"/>
      <c r="D16" s="61"/>
      <c r="E16" s="61"/>
      <c r="F16" s="61"/>
      <c r="G16" s="752"/>
      <c r="H16" s="61"/>
      <c r="I16" s="61"/>
      <c r="J16" s="61"/>
      <c r="K16" s="61"/>
      <c r="L16" s="61"/>
      <c r="M16" s="61"/>
      <c r="N16" s="61"/>
      <c r="O16" s="61"/>
      <c r="P16" s="61"/>
      <c r="Q16" s="61"/>
      <c r="R16" s="61"/>
      <c r="S16" s="61"/>
      <c r="T16" s="61"/>
      <c r="U16" s="61"/>
      <c r="V16" s="61"/>
      <c r="W16" s="61"/>
      <c r="X16" s="64"/>
      <c r="Y16" s="94"/>
    </row>
    <row r="17" spans="1:28" ht="15" customHeight="1" x14ac:dyDescent="0.25">
      <c r="A17" s="194" t="str">
        <f ca="1">'Formulario OM'!A17</f>
        <v>ESPACIOS (+1)</v>
      </c>
      <c r="B17" s="65"/>
      <c r="C17" s="66"/>
      <c r="D17" s="66"/>
      <c r="E17" s="77" t="str">
        <f ca="1">INDIRECT("Z_PP_01_"&amp;IDIOMA)</f>
        <v xml:space="preserve">Palabra </v>
      </c>
      <c r="F17" s="866" t="str">
        <f ca="1">"N. "&amp;UPPER('Formulario EM'!E17)</f>
        <v xml:space="preserve">N. GRUPO </v>
      </c>
      <c r="G17" s="866"/>
      <c r="H17" s="863" t="str">
        <f ca="1">UPPER(E17)</f>
        <v xml:space="preserve">PALABRA </v>
      </c>
      <c r="I17" s="863"/>
      <c r="J17" s="863"/>
      <c r="K17" s="863"/>
      <c r="L17" s="863"/>
      <c r="M17" s="863"/>
      <c r="N17" s="90"/>
      <c r="O17" s="90"/>
      <c r="P17" s="866" t="str">
        <f ca="1">F17</f>
        <v xml:space="preserve">N. GRUPO </v>
      </c>
      <c r="Q17" s="866"/>
      <c r="R17" s="863" t="str">
        <f ca="1">H17</f>
        <v xml:space="preserve">PALABRA </v>
      </c>
      <c r="S17" s="863"/>
      <c r="T17" s="863"/>
      <c r="U17" s="863"/>
      <c r="V17" s="863"/>
      <c r="W17" s="863"/>
      <c r="X17" s="68"/>
      <c r="Y17" s="198"/>
      <c r="Z17" s="300">
        <f>Z15+1</f>
        <v>7</v>
      </c>
      <c r="AA17" s="314"/>
      <c r="AB17" s="300">
        <f>AB15+1</f>
        <v>23</v>
      </c>
    </row>
    <row r="18" spans="1:28" ht="6" customHeight="1" x14ac:dyDescent="0.25">
      <c r="B18" s="75"/>
      <c r="C18" s="77"/>
      <c r="D18" s="77"/>
      <c r="E18" s="225" t="s">
        <v>198</v>
      </c>
      <c r="F18" s="91"/>
      <c r="G18" s="334"/>
      <c r="H18" s="334"/>
      <c r="I18" s="334"/>
      <c r="J18" s="334"/>
      <c r="K18" s="334"/>
      <c r="L18" s="334"/>
      <c r="M18" s="334"/>
      <c r="N18" s="334"/>
      <c r="O18" s="225" t="s">
        <v>199</v>
      </c>
      <c r="P18" s="334"/>
      <c r="Q18" s="334"/>
      <c r="R18" s="91"/>
      <c r="S18" s="91"/>
      <c r="T18" s="91"/>
      <c r="U18" s="91"/>
      <c r="V18" s="91"/>
      <c r="W18" s="91"/>
      <c r="X18" s="80"/>
      <c r="Y18" s="94"/>
    </row>
    <row r="19" spans="1:28" ht="15.75" customHeight="1" x14ac:dyDescent="0.25">
      <c r="A19" s="194" t="str">
        <f ca="1">'Formulario OM'!A19</f>
        <v>TEXTO ROJO</v>
      </c>
      <c r="B19" s="65"/>
      <c r="C19" s="66"/>
      <c r="D19" s="700" t="str">
        <f ca="1">$E$17&amp;" "&amp;E18</f>
        <v>Palabra  01</v>
      </c>
      <c r="E19" s="755"/>
      <c r="F19" s="864"/>
      <c r="G19" s="865"/>
      <c r="H19" s="862"/>
      <c r="I19" s="861"/>
      <c r="J19" s="861"/>
      <c r="K19" s="861"/>
      <c r="L19" s="861"/>
      <c r="M19" s="861"/>
      <c r="N19" s="700" t="str">
        <f ca="1">$E$17&amp;" "&amp;O18</f>
        <v>Palabra  02</v>
      </c>
      <c r="O19" s="755"/>
      <c r="P19" s="864"/>
      <c r="Q19" s="865"/>
      <c r="R19" s="862"/>
      <c r="S19" s="861"/>
      <c r="T19" s="861"/>
      <c r="U19" s="861"/>
      <c r="V19" s="861"/>
      <c r="W19" s="861"/>
      <c r="X19" s="68"/>
      <c r="Y19" s="198"/>
      <c r="Z19" s="300">
        <f>Z17+1</f>
        <v>8</v>
      </c>
      <c r="AA19" s="314"/>
      <c r="AB19" s="300">
        <f>AB17+1</f>
        <v>24</v>
      </c>
    </row>
    <row r="20" spans="1:28" ht="6" customHeight="1" x14ac:dyDescent="0.25">
      <c r="A20" s="195"/>
      <c r="B20" s="75"/>
      <c r="C20" s="77"/>
      <c r="D20" s="77"/>
      <c r="E20" s="225" t="s">
        <v>200</v>
      </c>
      <c r="F20" s="262"/>
      <c r="G20" s="334"/>
      <c r="H20" s="262"/>
      <c r="I20" s="262"/>
      <c r="J20" s="184"/>
      <c r="K20" s="262"/>
      <c r="L20" s="262"/>
      <c r="M20" s="262"/>
      <c r="N20" s="334"/>
      <c r="O20" s="225" t="s">
        <v>201</v>
      </c>
      <c r="P20" s="262"/>
      <c r="Q20" s="334"/>
      <c r="R20" s="262"/>
      <c r="S20" s="262"/>
      <c r="T20" s="184"/>
      <c r="U20" s="262"/>
      <c r="V20" s="262"/>
      <c r="W20" s="262"/>
      <c r="X20" s="80"/>
      <c r="Y20" s="94"/>
    </row>
    <row r="21" spans="1:28" x14ac:dyDescent="0.25">
      <c r="A21" s="194" t="str">
        <f ca="1">'Formulario OM'!A21</f>
        <v>TEXTO AZUL</v>
      </c>
      <c r="B21" s="65"/>
      <c r="C21" s="66"/>
      <c r="D21" s="700" t="str">
        <f ca="1">$E$17&amp;" "&amp;E20</f>
        <v>Palabra  03</v>
      </c>
      <c r="E21" s="755"/>
      <c r="F21" s="867"/>
      <c r="G21" s="865"/>
      <c r="H21" s="868"/>
      <c r="I21" s="861"/>
      <c r="J21" s="861"/>
      <c r="K21" s="861"/>
      <c r="L21" s="861"/>
      <c r="M21" s="861"/>
      <c r="N21" s="700" t="str">
        <f ca="1">$E$17&amp;" "&amp;O20</f>
        <v>Palabra  04</v>
      </c>
      <c r="O21" s="755"/>
      <c r="P21" s="867"/>
      <c r="Q21" s="865"/>
      <c r="R21" s="868"/>
      <c r="S21" s="861"/>
      <c r="T21" s="861"/>
      <c r="U21" s="861"/>
      <c r="V21" s="861"/>
      <c r="W21" s="861"/>
      <c r="X21" s="68"/>
      <c r="Y21" s="198"/>
      <c r="Z21" s="300">
        <f>Z19+1</f>
        <v>9</v>
      </c>
      <c r="AA21" s="314"/>
      <c r="AB21" s="300">
        <f>AB19+1</f>
        <v>25</v>
      </c>
    </row>
    <row r="22" spans="1:28" ht="6" customHeight="1" x14ac:dyDescent="0.25">
      <c r="B22" s="75"/>
      <c r="C22" s="77"/>
      <c r="D22" s="77"/>
      <c r="E22" s="225" t="s">
        <v>202</v>
      </c>
      <c r="F22" s="262"/>
      <c r="G22" s="334"/>
      <c r="H22" s="262"/>
      <c r="I22" s="262"/>
      <c r="J22" s="184"/>
      <c r="K22" s="262"/>
      <c r="L22" s="262"/>
      <c r="M22" s="262"/>
      <c r="N22" s="334"/>
      <c r="O22" s="225" t="s">
        <v>203</v>
      </c>
      <c r="P22" s="262"/>
      <c r="Q22" s="334"/>
      <c r="R22" s="262"/>
      <c r="S22" s="262"/>
      <c r="T22" s="184"/>
      <c r="U22" s="262"/>
      <c r="V22" s="262"/>
      <c r="W22" s="262"/>
      <c r="X22" s="80"/>
      <c r="Y22" s="94"/>
      <c r="Z22" s="17"/>
    </row>
    <row r="23" spans="1:28" x14ac:dyDescent="0.25">
      <c r="A23" s="194" t="str">
        <f ca="1">'Formulario OM'!A23</f>
        <v>OTRO COLOR</v>
      </c>
      <c r="B23" s="65"/>
      <c r="C23" s="66"/>
      <c r="D23" s="700" t="str">
        <f ca="1">$E$17&amp;" "&amp;E22</f>
        <v>Palabra  05</v>
      </c>
      <c r="E23" s="755"/>
      <c r="F23" s="867"/>
      <c r="G23" s="865"/>
      <c r="H23" s="868"/>
      <c r="I23" s="861"/>
      <c r="J23" s="861"/>
      <c r="K23" s="861"/>
      <c r="L23" s="861"/>
      <c r="M23" s="861"/>
      <c r="N23" s="700" t="str">
        <f ca="1">$E$17&amp;" "&amp;O22</f>
        <v>Palabra  06</v>
      </c>
      <c r="O23" s="755"/>
      <c r="P23" s="867"/>
      <c r="Q23" s="865"/>
      <c r="R23" s="868"/>
      <c r="S23" s="861"/>
      <c r="T23" s="861"/>
      <c r="U23" s="861"/>
      <c r="V23" s="861"/>
      <c r="W23" s="861"/>
      <c r="X23" s="68"/>
      <c r="Y23" s="198"/>
      <c r="Z23" s="300">
        <f>Z21+1</f>
        <v>10</v>
      </c>
      <c r="AA23" s="314"/>
      <c r="AB23" s="300">
        <f>AB21+1</f>
        <v>26</v>
      </c>
    </row>
    <row r="24" spans="1:28" ht="6" customHeight="1" thickBot="1" x14ac:dyDescent="0.3">
      <c r="B24" s="75"/>
      <c r="C24" s="77"/>
      <c r="D24" s="77"/>
      <c r="E24" s="225" t="s">
        <v>204</v>
      </c>
      <c r="F24" s="262"/>
      <c r="G24" s="334"/>
      <c r="H24" s="262"/>
      <c r="I24" s="262"/>
      <c r="J24" s="184"/>
      <c r="K24" s="262"/>
      <c r="L24" s="262"/>
      <c r="M24" s="262"/>
      <c r="N24" s="334"/>
      <c r="O24" s="225" t="s">
        <v>205</v>
      </c>
      <c r="P24" s="262"/>
      <c r="Q24" s="334"/>
      <c r="R24" s="262"/>
      <c r="S24" s="262"/>
      <c r="T24" s="184"/>
      <c r="U24" s="262"/>
      <c r="V24" s="262"/>
      <c r="W24" s="262"/>
      <c r="X24" s="80"/>
      <c r="Y24" s="4"/>
      <c r="Z24" s="17"/>
    </row>
    <row r="25" spans="1:28" ht="15" customHeight="1" x14ac:dyDescent="0.25">
      <c r="A25" s="737" t="str">
        <f ca="1">'Formulario OM'!A25</f>
        <v>INSERTAR
IMÁGENES</v>
      </c>
      <c r="B25" s="65"/>
      <c r="C25" s="66"/>
      <c r="D25" s="700" t="str">
        <f ca="1">$E$17&amp;" "&amp;E24</f>
        <v>Palabra  07</v>
      </c>
      <c r="E25" s="755"/>
      <c r="F25" s="867"/>
      <c r="G25" s="865"/>
      <c r="H25" s="868"/>
      <c r="I25" s="861"/>
      <c r="J25" s="861"/>
      <c r="K25" s="861"/>
      <c r="L25" s="861"/>
      <c r="M25" s="861"/>
      <c r="N25" s="700" t="str">
        <f ca="1">$E$17&amp;" "&amp;O24</f>
        <v>Palabra  08</v>
      </c>
      <c r="O25" s="755"/>
      <c r="P25" s="867"/>
      <c r="Q25" s="865"/>
      <c r="R25" s="868"/>
      <c r="S25" s="861"/>
      <c r="T25" s="861"/>
      <c r="U25" s="861"/>
      <c r="V25" s="861"/>
      <c r="W25" s="861"/>
      <c r="X25" s="68"/>
      <c r="Y25" s="198"/>
      <c r="Z25" s="300">
        <f>Z23+1</f>
        <v>11</v>
      </c>
      <c r="AA25" s="314"/>
      <c r="AB25" s="300">
        <f>AB23+1</f>
        <v>27</v>
      </c>
    </row>
    <row r="26" spans="1:28" ht="6" customHeight="1" x14ac:dyDescent="0.25">
      <c r="A26" s="738"/>
      <c r="B26" s="75"/>
      <c r="C26" s="77"/>
      <c r="D26" s="77"/>
      <c r="E26" s="225" t="s">
        <v>206</v>
      </c>
      <c r="F26" s="262"/>
      <c r="G26" s="334"/>
      <c r="H26" s="262"/>
      <c r="I26" s="262"/>
      <c r="J26" s="184"/>
      <c r="K26" s="262"/>
      <c r="L26" s="262"/>
      <c r="M26" s="262"/>
      <c r="N26" s="334"/>
      <c r="O26" s="225" t="s">
        <v>207</v>
      </c>
      <c r="P26" s="262"/>
      <c r="Q26" s="334"/>
      <c r="R26" s="262"/>
      <c r="S26" s="262"/>
      <c r="T26" s="184"/>
      <c r="U26" s="262"/>
      <c r="V26" s="262"/>
      <c r="W26" s="262"/>
      <c r="X26" s="80"/>
      <c r="Y26" s="94"/>
      <c r="Z26" s="17"/>
    </row>
    <row r="27" spans="1:28" ht="15" customHeight="1" thickBot="1" x14ac:dyDescent="0.3">
      <c r="A27" s="739"/>
      <c r="B27" s="65"/>
      <c r="C27" s="66"/>
      <c r="D27" s="700" t="str">
        <f ca="1">$E$17&amp;" "&amp;E26</f>
        <v>Palabra  09</v>
      </c>
      <c r="E27" s="755"/>
      <c r="F27" s="867"/>
      <c r="G27" s="865"/>
      <c r="H27" s="868"/>
      <c r="I27" s="861"/>
      <c r="J27" s="861"/>
      <c r="K27" s="861"/>
      <c r="L27" s="861"/>
      <c r="M27" s="861"/>
      <c r="N27" s="700" t="str">
        <f ca="1">$E$17&amp;" "&amp;O26</f>
        <v>Palabra  10</v>
      </c>
      <c r="O27" s="755"/>
      <c r="P27" s="867"/>
      <c r="Q27" s="865"/>
      <c r="R27" s="868"/>
      <c r="S27" s="861"/>
      <c r="T27" s="861"/>
      <c r="U27" s="861"/>
      <c r="V27" s="861"/>
      <c r="W27" s="861"/>
      <c r="X27" s="68"/>
      <c r="Y27" s="198"/>
      <c r="Z27" s="300">
        <f>Z25+1</f>
        <v>12</v>
      </c>
      <c r="AA27" s="314"/>
      <c r="AB27" s="300">
        <f>AB25+1</f>
        <v>28</v>
      </c>
    </row>
    <row r="28" spans="1:28" ht="6" customHeight="1" thickBot="1" x14ac:dyDescent="0.3">
      <c r="B28" s="75"/>
      <c r="C28" s="77"/>
      <c r="D28" s="77"/>
      <c r="E28" s="225" t="s">
        <v>208</v>
      </c>
      <c r="F28" s="262"/>
      <c r="G28" s="334"/>
      <c r="H28" s="262"/>
      <c r="I28" s="262"/>
      <c r="J28" s="184"/>
      <c r="K28" s="262"/>
      <c r="L28" s="262"/>
      <c r="M28" s="262"/>
      <c r="N28" s="334"/>
      <c r="O28" s="225" t="s">
        <v>209</v>
      </c>
      <c r="P28" s="262"/>
      <c r="Q28" s="334"/>
      <c r="R28" s="262"/>
      <c r="S28" s="262"/>
      <c r="T28" s="184"/>
      <c r="U28" s="262"/>
      <c r="V28" s="262"/>
      <c r="W28" s="262"/>
      <c r="X28" s="80"/>
      <c r="Y28" s="94"/>
      <c r="Z28" s="17"/>
    </row>
    <row r="29" spans="1:28" x14ac:dyDescent="0.25">
      <c r="A29" s="737" t="str">
        <f ca="1">'Formulario OM'!A29</f>
        <v>USAR DATOS VARIABLES</v>
      </c>
      <c r="B29" s="65"/>
      <c r="C29" s="69"/>
      <c r="D29" s="700" t="str">
        <f ca="1">$E$17&amp;" "&amp;E28</f>
        <v>Palabra  11</v>
      </c>
      <c r="E29" s="755"/>
      <c r="F29" s="867"/>
      <c r="G29" s="865"/>
      <c r="H29" s="868"/>
      <c r="I29" s="861"/>
      <c r="J29" s="861"/>
      <c r="K29" s="861"/>
      <c r="L29" s="861"/>
      <c r="M29" s="861"/>
      <c r="N29" s="700" t="str">
        <f ca="1">$E$17&amp;" "&amp;O28</f>
        <v>Palabra  12</v>
      </c>
      <c r="O29" s="755"/>
      <c r="P29" s="867"/>
      <c r="Q29" s="865"/>
      <c r="R29" s="868"/>
      <c r="S29" s="861"/>
      <c r="T29" s="861"/>
      <c r="U29" s="861"/>
      <c r="V29" s="861"/>
      <c r="W29" s="861"/>
      <c r="X29" s="68"/>
      <c r="Y29" s="198"/>
      <c r="Z29" s="300">
        <f>Z27+1</f>
        <v>13</v>
      </c>
      <c r="AA29" s="314"/>
      <c r="AB29" s="300">
        <f>AB27+1</f>
        <v>29</v>
      </c>
    </row>
    <row r="30" spans="1:28" ht="6" customHeight="1" x14ac:dyDescent="0.25">
      <c r="A30" s="738"/>
      <c r="B30" s="75"/>
      <c r="C30" s="77"/>
      <c r="D30" s="77"/>
      <c r="E30" s="225"/>
      <c r="F30" s="262">
        <v>1</v>
      </c>
      <c r="G30" s="334"/>
      <c r="H30" s="262"/>
      <c r="I30" s="262"/>
      <c r="J30" s="184"/>
      <c r="K30" s="262"/>
      <c r="L30" s="262"/>
      <c r="M30" s="262"/>
      <c r="N30" s="334"/>
      <c r="O30" s="225"/>
      <c r="P30" s="262"/>
      <c r="Q30" s="334"/>
      <c r="R30" s="262"/>
      <c r="S30" s="262"/>
      <c r="T30" s="184"/>
      <c r="U30" s="262"/>
      <c r="V30" s="262"/>
      <c r="W30" s="262"/>
      <c r="X30" s="80"/>
      <c r="Y30" s="94"/>
      <c r="Z30" s="17"/>
    </row>
    <row r="31" spans="1:28" ht="15.75" thickBot="1" x14ac:dyDescent="0.3">
      <c r="A31" s="739"/>
      <c r="B31" s="65"/>
      <c r="C31" s="66"/>
      <c r="D31" s="66"/>
      <c r="E31" s="69"/>
      <c r="F31" s="77"/>
      <c r="G31" s="795" t="str">
        <f ca="1">INDIRECT("Z_OM_11_"&amp;IDIOMA)</f>
        <v>PISTA</v>
      </c>
      <c r="H31" s="795"/>
      <c r="I31" s="795"/>
      <c r="J31" s="795"/>
      <c r="K31" s="795"/>
      <c r="L31" s="795"/>
      <c r="M31" s="795"/>
      <c r="N31" s="795"/>
      <c r="O31" s="795"/>
      <c r="P31" s="795"/>
      <c r="Q31" s="795"/>
      <c r="R31" s="179"/>
      <c r="S31" s="697"/>
      <c r="T31" s="697"/>
      <c r="U31" s="697"/>
      <c r="V31" s="697"/>
      <c r="W31" s="697"/>
      <c r="X31" s="783"/>
      <c r="Y31" s="198"/>
      <c r="Z31" s="300">
        <f>Z29+1</f>
        <v>14</v>
      </c>
      <c r="AA31" s="314"/>
      <c r="AB31" s="300">
        <f>AB29+1</f>
        <v>30</v>
      </c>
    </row>
    <row r="32" spans="1:28" ht="6" customHeight="1" thickBot="1" x14ac:dyDescent="0.3">
      <c r="A32" s="195"/>
      <c r="B32" s="65"/>
      <c r="C32" s="747" t="s">
        <v>138</v>
      </c>
      <c r="D32" s="747"/>
      <c r="E32" s="69"/>
      <c r="F32" s="77"/>
      <c r="G32" s="76"/>
      <c r="H32" s="76"/>
      <c r="I32" s="76"/>
      <c r="J32" s="70"/>
      <c r="K32" s="70"/>
      <c r="L32" s="70"/>
      <c r="M32" s="76"/>
      <c r="N32" s="70"/>
      <c r="O32" s="70"/>
      <c r="P32" s="70"/>
      <c r="Q32" s="70"/>
      <c r="R32" s="179"/>
      <c r="S32" s="697"/>
      <c r="T32" s="697"/>
      <c r="U32" s="697"/>
      <c r="V32" s="697"/>
      <c r="W32" s="697"/>
      <c r="X32" s="783"/>
      <c r="Y32" s="94"/>
    </row>
    <row r="33" spans="1:28" ht="15.75" customHeight="1" thickTop="1" thickBot="1" x14ac:dyDescent="0.3">
      <c r="A33" s="194" t="str">
        <f ca="1">'Formulario OM'!A33</f>
        <v>ACTIVAR</v>
      </c>
      <c r="B33" s="65"/>
      <c r="C33" s="747"/>
      <c r="D33" s="747"/>
      <c r="E33" s="69"/>
      <c r="F33" s="215" t="s">
        <v>858</v>
      </c>
      <c r="G33" s="796"/>
      <c r="H33" s="797"/>
      <c r="I33" s="797"/>
      <c r="J33" s="797"/>
      <c r="K33" s="798"/>
      <c r="L33" s="215" t="s">
        <v>856</v>
      </c>
      <c r="M33" s="796"/>
      <c r="N33" s="797"/>
      <c r="O33" s="797"/>
      <c r="P33" s="797"/>
      <c r="Q33" s="798"/>
      <c r="R33" s="179"/>
      <c r="S33" s="697"/>
      <c r="T33" s="697"/>
      <c r="U33" s="697"/>
      <c r="V33" s="697"/>
      <c r="W33" s="697"/>
      <c r="X33" s="783"/>
      <c r="Y33" s="198"/>
      <c r="Z33" s="300">
        <f>Z31+1</f>
        <v>15</v>
      </c>
      <c r="AA33" s="314"/>
      <c r="AB33" s="300">
        <f>AB31+1</f>
        <v>31</v>
      </c>
    </row>
    <row r="34" spans="1:28" ht="6" customHeight="1" thickTop="1" thickBot="1" x14ac:dyDescent="0.3">
      <c r="A34" s="2"/>
      <c r="B34" s="65"/>
      <c r="C34" s="747"/>
      <c r="D34" s="747"/>
      <c r="E34" s="69"/>
      <c r="F34" s="77"/>
      <c r="G34" s="76"/>
      <c r="H34" s="76"/>
      <c r="I34" s="76"/>
      <c r="J34" s="70"/>
      <c r="K34" s="70"/>
      <c r="L34" s="70"/>
      <c r="M34" s="76"/>
      <c r="N34" s="71"/>
      <c r="O34" s="71"/>
      <c r="P34" s="71"/>
      <c r="Q34" s="71"/>
      <c r="R34" s="179"/>
      <c r="S34" s="697"/>
      <c r="T34" s="697"/>
      <c r="U34" s="697"/>
      <c r="V34" s="697"/>
      <c r="W34" s="697"/>
      <c r="X34" s="783"/>
      <c r="Y34" s="94"/>
    </row>
    <row r="35" spans="1:28" ht="15.75" customHeight="1" thickTop="1" thickBot="1" x14ac:dyDescent="0.3">
      <c r="A35" s="194" t="str">
        <f ca="1">'Formulario OM'!A35</f>
        <v>DESACTIVAR</v>
      </c>
      <c r="B35" s="65"/>
      <c r="C35" s="747"/>
      <c r="D35" s="747"/>
      <c r="E35" s="69"/>
      <c r="F35" s="215" t="s">
        <v>859</v>
      </c>
      <c r="G35" s="796"/>
      <c r="H35" s="797"/>
      <c r="I35" s="797"/>
      <c r="J35" s="797"/>
      <c r="K35" s="798"/>
      <c r="L35" s="215" t="s">
        <v>857</v>
      </c>
      <c r="M35" s="796"/>
      <c r="N35" s="797"/>
      <c r="O35" s="797"/>
      <c r="P35" s="797"/>
      <c r="Q35" s="798"/>
      <c r="R35" s="179"/>
      <c r="S35" s="697"/>
      <c r="T35" s="697"/>
      <c r="U35" s="697"/>
      <c r="V35" s="697"/>
      <c r="W35" s="697"/>
      <c r="X35" s="783"/>
      <c r="Y35" s="198"/>
      <c r="Z35" s="300">
        <f>Z33+1</f>
        <v>16</v>
      </c>
      <c r="AA35" s="314"/>
      <c r="AB35" s="300">
        <f>AB33+1</f>
        <v>32</v>
      </c>
    </row>
    <row r="36" spans="1:28" ht="9.9499999999999993" customHeight="1" thickTop="1" thickBot="1" x14ac:dyDescent="0.3">
      <c r="A36" s="653" t="str">
        <f>IF(AB2&gt;0,AB2,"")</f>
        <v/>
      </c>
      <c r="B36" s="315"/>
      <c r="C36" s="336" t="str">
        <f>Version</f>
        <v xml:space="preserve">   V - 5.0 </v>
      </c>
      <c r="D36" s="72"/>
      <c r="E36" s="72"/>
      <c r="F36" s="233">
        <v>4</v>
      </c>
      <c r="G36" s="72"/>
      <c r="H36" s="72"/>
      <c r="I36" s="72"/>
      <c r="J36" s="72"/>
      <c r="K36" s="72"/>
      <c r="L36" s="72"/>
      <c r="M36" s="72"/>
      <c r="N36" s="72"/>
      <c r="O36" s="72"/>
      <c r="P36" s="72"/>
      <c r="Q36" s="72"/>
      <c r="R36" s="181"/>
      <c r="S36" s="784"/>
      <c r="T36" s="784"/>
      <c r="U36" s="784"/>
      <c r="V36" s="784"/>
      <c r="W36" s="784"/>
      <c r="X36" s="785"/>
      <c r="Y36" s="94"/>
    </row>
    <row r="37" spans="1:28" s="3" customFormat="1" ht="15.75" hidden="1" customHeight="1" thickTop="1" x14ac:dyDescent="0.25">
      <c r="G37" s="48">
        <v>601</v>
      </c>
      <c r="M37" s="302" t="b">
        <v>1</v>
      </c>
      <c r="N37" s="302" t="b">
        <f>Centrar_Tabla</f>
        <v>1</v>
      </c>
      <c r="Y37" s="6"/>
    </row>
    <row r="38" spans="1:28" s="3" customFormat="1" ht="5.0999999999999996" customHeight="1" thickTop="1" x14ac:dyDescent="0.25">
      <c r="A38" s="6"/>
      <c r="B38" s="18"/>
      <c r="C38" s="18"/>
      <c r="D38" s="18"/>
      <c r="E38" s="18"/>
      <c r="F38" s="18"/>
      <c r="G38" s="18"/>
      <c r="Y38" s="6"/>
    </row>
    <row r="39" spans="1:28" s="3" customFormat="1" x14ac:dyDescent="0.25">
      <c r="A39" s="6"/>
      <c r="Y39" s="6"/>
    </row>
    <row r="40" spans="1:28" s="3" customFormat="1" hidden="1" x14ac:dyDescent="0.25">
      <c r="A40" s="6"/>
      <c r="Y40" s="6"/>
    </row>
    <row r="41" spans="1:28" s="3" customFormat="1" ht="15.75" hidden="1" x14ac:dyDescent="0.25">
      <c r="A41" s="199"/>
      <c r="Y41" s="6"/>
    </row>
    <row r="42" spans="1:28" s="3" customFormat="1" hidden="1" x14ac:dyDescent="0.25">
      <c r="A42" s="6"/>
      <c r="Y42" s="6"/>
    </row>
    <row r="43" spans="1:28" s="3" customFormat="1" hidden="1" x14ac:dyDescent="0.25">
      <c r="A43" s="6"/>
      <c r="Y43" s="6"/>
    </row>
    <row r="44" spans="1:28" s="3" customFormat="1" hidden="1" x14ac:dyDescent="0.25">
      <c r="A44" s="6"/>
      <c r="Y44" s="6"/>
    </row>
    <row r="45" spans="1:28" s="3" customFormat="1" hidden="1" x14ac:dyDescent="0.25">
      <c r="A45" s="6"/>
      <c r="Y45" s="6"/>
    </row>
    <row r="46" spans="1:28" s="3" customFormat="1" hidden="1" x14ac:dyDescent="0.25">
      <c r="Y46" s="6"/>
    </row>
    <row r="47" spans="1:28" s="3" customFormat="1" hidden="1" x14ac:dyDescent="0.25">
      <c r="A47"/>
      <c r="Y47" s="6"/>
    </row>
    <row r="48" spans="1:28" s="3" customFormat="1" hidden="1" x14ac:dyDescent="0.25">
      <c r="A48"/>
      <c r="Y48" s="6"/>
    </row>
    <row r="49" spans="1:25" s="3" customFormat="1" hidden="1" x14ac:dyDescent="0.25">
      <c r="A49"/>
      <c r="Y49" s="6"/>
    </row>
    <row r="50" spans="1:25" s="3" customFormat="1" hidden="1" x14ac:dyDescent="0.25">
      <c r="A50"/>
      <c r="Y50" s="6"/>
    </row>
    <row r="51" spans="1:25" s="3" customFormat="1" hidden="1" x14ac:dyDescent="0.25">
      <c r="A51"/>
      <c r="Y51" s="6"/>
    </row>
    <row r="52" spans="1:25" s="3" customFormat="1" hidden="1" x14ac:dyDescent="0.25">
      <c r="A52"/>
      <c r="Y52" s="6"/>
    </row>
    <row r="53" spans="1:25" s="3" customFormat="1" hidden="1" x14ac:dyDescent="0.25">
      <c r="A53"/>
      <c r="Y53" s="6"/>
    </row>
    <row r="54" spans="1:25" s="3" customFormat="1" hidden="1" x14ac:dyDescent="0.25">
      <c r="A54"/>
      <c r="Y54" s="6"/>
    </row>
    <row r="55" spans="1:25" s="3" customFormat="1" hidden="1" x14ac:dyDescent="0.25">
      <c r="A55"/>
      <c r="Y55" s="6"/>
    </row>
    <row r="56" spans="1:25" s="3" customFormat="1" hidden="1" x14ac:dyDescent="0.25">
      <c r="A56"/>
      <c r="Y56" s="6"/>
    </row>
    <row r="57" spans="1:25" s="3" customFormat="1" hidden="1" x14ac:dyDescent="0.25">
      <c r="A57"/>
      <c r="Y57" s="6"/>
    </row>
    <row r="58" spans="1:25" s="3" customFormat="1" hidden="1" x14ac:dyDescent="0.25">
      <c r="A58"/>
      <c r="Y58" s="6"/>
    </row>
    <row r="59" spans="1:25" s="3" customFormat="1" hidden="1" x14ac:dyDescent="0.25">
      <c r="A59"/>
      <c r="Y59" s="6"/>
    </row>
    <row r="60" spans="1:25" s="3" customFormat="1" hidden="1" x14ac:dyDescent="0.25">
      <c r="A60"/>
      <c r="Y60" s="6"/>
    </row>
    <row r="61" spans="1:25" s="3" customFormat="1" hidden="1" x14ac:dyDescent="0.25">
      <c r="A61"/>
      <c r="Y61" s="6"/>
    </row>
    <row r="62" spans="1:25" s="3" customFormat="1" hidden="1" x14ac:dyDescent="0.25">
      <c r="A62"/>
      <c r="Y62" s="6"/>
    </row>
    <row r="63" spans="1:25" s="3" customFormat="1" hidden="1" x14ac:dyDescent="0.25">
      <c r="A63"/>
      <c r="Y63" s="6"/>
    </row>
    <row r="64" spans="1:25" s="3" customFormat="1" hidden="1" x14ac:dyDescent="0.25">
      <c r="A64"/>
      <c r="Y64" s="6"/>
    </row>
    <row r="65" spans="1:25" s="3" customFormat="1" hidden="1" x14ac:dyDescent="0.25">
      <c r="A65"/>
      <c r="Y65" s="6"/>
    </row>
    <row r="66" spans="1:25" s="3" customFormat="1" hidden="1" x14ac:dyDescent="0.25">
      <c r="A66"/>
      <c r="Y66" s="6"/>
    </row>
    <row r="67" spans="1:25" s="3" customFormat="1" hidden="1" x14ac:dyDescent="0.25">
      <c r="A67"/>
      <c r="Y67" s="6"/>
    </row>
    <row r="68" spans="1:25" s="3" customFormat="1" hidden="1" x14ac:dyDescent="0.25">
      <c r="A68"/>
      <c r="Y68" s="6"/>
    </row>
    <row r="69" spans="1:25" s="3" customFormat="1" hidden="1" x14ac:dyDescent="0.25">
      <c r="A69"/>
      <c r="Y69" s="6"/>
    </row>
    <row r="70" spans="1:25" s="3" customFormat="1" hidden="1" x14ac:dyDescent="0.25">
      <c r="A70"/>
      <c r="Y70" s="6"/>
    </row>
    <row r="71" spans="1:25" s="3" customFormat="1" hidden="1" x14ac:dyDescent="0.25">
      <c r="A71"/>
      <c r="Y71" s="6"/>
    </row>
    <row r="72" spans="1:25" s="3" customFormat="1" hidden="1" x14ac:dyDescent="0.25">
      <c r="A72"/>
      <c r="Y72" s="6"/>
    </row>
    <row r="73" spans="1:25" hidden="1" x14ac:dyDescent="0.25"/>
    <row r="74" spans="1:25" hidden="1" x14ac:dyDescent="0.25"/>
    <row r="75" spans="1:25" hidden="1" x14ac:dyDescent="0.25"/>
    <row r="76" spans="1:25" hidden="1" x14ac:dyDescent="0.25"/>
    <row r="77" spans="1:25" hidden="1" x14ac:dyDescent="0.25"/>
    <row r="78" spans="1:25" hidden="1" x14ac:dyDescent="0.25"/>
    <row r="79" spans="1:25" hidden="1" x14ac:dyDescent="0.25"/>
    <row r="80" spans="1:25" hidden="1" x14ac:dyDescent="0.25"/>
    <row r="81" hidden="1" x14ac:dyDescent="0.25"/>
    <row r="82" hidden="1" x14ac:dyDescent="0.25"/>
    <row r="83" hidden="1" x14ac:dyDescent="0.25"/>
    <row r="84" hidden="1" x14ac:dyDescent="0.25"/>
    <row r="85" hidden="1" x14ac:dyDescent="0.25"/>
    <row r="86" hidden="1" x14ac:dyDescent="0.25"/>
    <row r="87" hidden="1" x14ac:dyDescent="0.25"/>
    <row r="88" hidden="1" x14ac:dyDescent="0.25"/>
    <row r="89" hidden="1" x14ac:dyDescent="0.25"/>
    <row r="90" hidden="1" x14ac:dyDescent="0.25"/>
    <row r="91" hidden="1" x14ac:dyDescent="0.25"/>
    <row r="92" hidden="1" x14ac:dyDescent="0.25"/>
    <row r="93" hidden="1" x14ac:dyDescent="0.25"/>
    <row r="94" hidden="1" x14ac:dyDescent="0.25"/>
    <row r="95" hidden="1" x14ac:dyDescent="0.25"/>
    <row r="96" hidden="1" x14ac:dyDescent="0.25"/>
    <row r="97" hidden="1" x14ac:dyDescent="0.25"/>
    <row r="98" hidden="1" x14ac:dyDescent="0.25"/>
    <row r="99" hidden="1" x14ac:dyDescent="0.25"/>
    <row r="100" hidden="1" x14ac:dyDescent="0.25"/>
    <row r="101" hidden="1" x14ac:dyDescent="0.25"/>
    <row r="102" hidden="1" x14ac:dyDescent="0.25"/>
    <row r="103" hidden="1" x14ac:dyDescent="0.25"/>
    <row r="104" hidden="1" x14ac:dyDescent="0.25"/>
    <row r="105" hidden="1" x14ac:dyDescent="0.25"/>
    <row r="106" hidden="1" x14ac:dyDescent="0.25"/>
    <row r="107" hidden="1" x14ac:dyDescent="0.25"/>
    <row r="108" hidden="1" x14ac:dyDescent="0.25"/>
    <row r="109" hidden="1" x14ac:dyDescent="0.25"/>
    <row r="110" hidden="1" x14ac:dyDescent="0.25"/>
    <row r="111" hidden="1" x14ac:dyDescent="0.25"/>
    <row r="112" hidden="1" x14ac:dyDescent="0.25"/>
    <row r="113" spans="18:18" hidden="1" x14ac:dyDescent="0.25"/>
    <row r="114" spans="18:18" hidden="1" x14ac:dyDescent="0.25"/>
    <row r="115" spans="18:18" hidden="1" x14ac:dyDescent="0.25"/>
    <row r="116" spans="18:18" hidden="1" x14ac:dyDescent="0.25"/>
    <row r="117" spans="18:18" hidden="1" x14ac:dyDescent="0.25"/>
    <row r="118" spans="18:18" hidden="1" x14ac:dyDescent="0.25"/>
    <row r="119" spans="18:18" hidden="1" x14ac:dyDescent="0.25"/>
    <row r="120" spans="18:18" hidden="1" x14ac:dyDescent="0.25"/>
    <row r="121" spans="18:18" hidden="1" x14ac:dyDescent="0.25"/>
    <row r="122" spans="18:18" hidden="1" x14ac:dyDescent="0.25"/>
    <row r="123" spans="18:18" hidden="1" x14ac:dyDescent="0.25"/>
    <row r="124" spans="18:18" hidden="1" x14ac:dyDescent="0.25"/>
    <row r="125" spans="18:18" hidden="1" x14ac:dyDescent="0.25"/>
    <row r="126" spans="18:18" hidden="1" x14ac:dyDescent="0.25"/>
    <row r="127" spans="18:18" hidden="1" x14ac:dyDescent="0.25">
      <c r="R127" s="200" t="str">
        <f>IFERROR(IF(VLOOKUP($L$5,'Datos PP'!$A$5:$AI$5,R126)="","",VLOOKUP($L$5,'Datos PP'!$A$5:$AI$5,R126,0)),"")</f>
        <v/>
      </c>
    </row>
  </sheetData>
  <sheetProtection algorithmName="SHA-512" hashValue="rq4T1pAvqXl8cMOWaAi5orMqNMAq9gJ+2I9DNJxhgadEbYNmpxCmsy1ewiw6bULZuMPcsXbZLLIvrOnxgX5jHw==" saltValue="AS8m6yQQ0Ry0Ibl014kINw==" spinCount="100000" sheet="1" objects="1" scenarios="1" selectLockedCells="1"/>
  <mergeCells count="75">
    <mergeCell ref="D21:E21"/>
    <mergeCell ref="D19:E19"/>
    <mergeCell ref="B15:F15"/>
    <mergeCell ref="N7:P7"/>
    <mergeCell ref="N19:O19"/>
    <mergeCell ref="N21:O21"/>
    <mergeCell ref="S31:X36"/>
    <mergeCell ref="H11:W15"/>
    <mergeCell ref="P21:Q21"/>
    <mergeCell ref="P23:Q23"/>
    <mergeCell ref="P25:Q25"/>
    <mergeCell ref="P29:Q29"/>
    <mergeCell ref="P19:Q19"/>
    <mergeCell ref="H19:M19"/>
    <mergeCell ref="H21:M21"/>
    <mergeCell ref="H23:M23"/>
    <mergeCell ref="H25:M25"/>
    <mergeCell ref="R23:W23"/>
    <mergeCell ref="R25:W25"/>
    <mergeCell ref="R29:W29"/>
    <mergeCell ref="R27:W27"/>
    <mergeCell ref="R21:W21"/>
    <mergeCell ref="C32:D35"/>
    <mergeCell ref="G33:K33"/>
    <mergeCell ref="M33:Q33"/>
    <mergeCell ref="G35:K35"/>
    <mergeCell ref="M35:Q35"/>
    <mergeCell ref="F23:G23"/>
    <mergeCell ref="N23:O23"/>
    <mergeCell ref="F29:G29"/>
    <mergeCell ref="D25:E25"/>
    <mergeCell ref="D23:E23"/>
    <mergeCell ref="A25:A27"/>
    <mergeCell ref="F27:G27"/>
    <mergeCell ref="P27:Q27"/>
    <mergeCell ref="H27:M27"/>
    <mergeCell ref="A29:A31"/>
    <mergeCell ref="G31:Q31"/>
    <mergeCell ref="N25:O25"/>
    <mergeCell ref="N27:O27"/>
    <mergeCell ref="N29:O29"/>
    <mergeCell ref="D29:E29"/>
    <mergeCell ref="D27:E27"/>
    <mergeCell ref="F25:G25"/>
    <mergeCell ref="H29:M29"/>
    <mergeCell ref="R19:W19"/>
    <mergeCell ref="R17:W17"/>
    <mergeCell ref="F19:G19"/>
    <mergeCell ref="F17:G17"/>
    <mergeCell ref="F21:G21"/>
    <mergeCell ref="P17:Q17"/>
    <mergeCell ref="H17:M17"/>
    <mergeCell ref="B1:K3"/>
    <mergeCell ref="A1:A3"/>
    <mergeCell ref="H9:M9"/>
    <mergeCell ref="D13:G13"/>
    <mergeCell ref="N5:Q5"/>
    <mergeCell ref="Q7:W7"/>
    <mergeCell ref="B12:C14"/>
    <mergeCell ref="M4:M6"/>
    <mergeCell ref="B5:G5"/>
    <mergeCell ref="B7:G7"/>
    <mergeCell ref="B9:G9"/>
    <mergeCell ref="B11:G11"/>
    <mergeCell ref="I5:K5"/>
    <mergeCell ref="G14:G16"/>
    <mergeCell ref="H7:M7"/>
    <mergeCell ref="R5:W5"/>
    <mergeCell ref="Y1:Y3"/>
    <mergeCell ref="L2:M2"/>
    <mergeCell ref="V2:W2"/>
    <mergeCell ref="T2:U2"/>
    <mergeCell ref="R2:S2"/>
    <mergeCell ref="P2:Q2"/>
    <mergeCell ref="N2:O2"/>
  </mergeCells>
  <conditionalFormatting sqref="AA2">
    <cfRule type="expression" dxfId="368" priority="1">
      <formula>$Z$2="OK"</formula>
    </cfRule>
  </conditionalFormatting>
  <dataValidations xWindow="114" yWindow="657" count="7">
    <dataValidation allowBlank="1" showErrorMessage="1" promptTitle="Nº Pregunta" prompt="Número de la PREGUNTA que se está consultando. Si quires que el primer número de este banco de preguntas sea mayor (11, 21, 31...) incrementa el rango en la casilla Nº INICIAL del BANCO de PREGUNTAS." sqref="L5"/>
    <dataValidation type="whole" allowBlank="1" showInputMessage="1" showErrorMessage="1" sqref="H5">
      <formula1>1</formula1>
      <formula2>1000</formula2>
    </dataValidation>
    <dataValidation allowBlank="1" showErrorMessage="1" promptTitle="Enunciado de la pregunta" prompt="Escribe el enunciado de la pregunta. Entre [[  ]] Debes escribir el número de la palabra correspondiente a ese hueco." sqref="H11"/>
    <dataValidation allowBlank="1" showErrorMessage="1" promptTitle="Pista 1" prompt="Comentario que aparecerá si configuras MOODLE para que pueda dar pistas cuando se dejen más de un intento." sqref="G33 G35 M33 M35"/>
    <dataValidation allowBlank="1" showErrorMessage="1" promptTitle="Descripción" prompt="Escirbe lo que quieras que aparezca en el NOMBRE de la pregunta. Éste se formará con el PREFIJO puesto en Datos Generales + el número de la pregunta + la Descripción." sqref="H9"/>
    <dataValidation allowBlank="1" showErrorMessage="1" promptTitle="Palabra" prompt="Palabra perdida que se listará en el grupo asignado" sqref="H29 R23 H21 R19 R25 R27 H19 H23 R21 H25 H27 R29"/>
    <dataValidation type="whole" allowBlank="1" showErrorMessage="1" promptTitle="Grupo Palabra" prompt="Nº del grupo para esta palabra" sqref="F19 P19 P21 P23 P25 P27 F29 F27 F25 F23 F21 P29">
      <formula1>1</formula1>
      <formula2>12</formula2>
    </dataValidation>
  </dataValidations>
  <hyperlinks>
    <hyperlink ref="B1:K3" r:id="rId1" display="https://youtu.be/MgyMpsneDbE"/>
  </hyperlinks>
  <printOptions horizontalCentered="1" verticalCentered="1"/>
  <pageMargins left="0.59055118110236227" right="0.59055118110236227" top="0.78740157480314965" bottom="0.78740157480314965" header="0.78740157480314965" footer="0.78740157480314965"/>
  <pageSetup paperSize="9" scale="84" orientation="landscape" horizontalDpi="1200" verticalDpi="1200" r:id="rId2"/>
  <headerFooter>
    <oddHeader>&amp;L&amp;G&amp;C&amp;"-,Negrita"&amp;12Elaborado por
MILAGROS HUERTA GÓMEZ DE MERODIO
(Universidad de Cádiz)&amp;R&amp;A</oddHeader>
    <oddFooter>&amp;C&amp;F&amp;RPg. &amp;P/&amp;N</oddFooter>
  </headerFooter>
  <drawing r:id="rId3"/>
  <legacyDrawing r:id="rId4"/>
  <legacyDrawingHF r:id="rId5"/>
  <mc:AlternateContent xmlns:mc="http://schemas.openxmlformats.org/markup-compatibility/2006">
    <mc:Choice Requires="x14">
      <controls>
        <mc:AlternateContent xmlns:mc="http://schemas.openxmlformats.org/markup-compatibility/2006">
          <mc:Choice Requires="x14">
            <control shapeId="28673" r:id="rId6" name="Contador 10">
              <controlPr defaultSize="0" autoPict="0" macro="[0]!Cambiar_N_I_Banco_Preguntas" altText="Para consultar los datos de cada pregunta.">
                <anchor moveWithCells="1" sizeWithCells="1">
                  <from>
                    <xdr:col>7</xdr:col>
                    <xdr:colOff>323850</xdr:colOff>
                    <xdr:row>3</xdr:row>
                    <xdr:rowOff>66675</xdr:rowOff>
                  </from>
                  <to>
                    <xdr:col>8</xdr:col>
                    <xdr:colOff>28575</xdr:colOff>
                    <xdr:row>5</xdr:row>
                    <xdr:rowOff>9525</xdr:rowOff>
                  </to>
                </anchor>
              </controlPr>
            </control>
          </mc:Choice>
        </mc:AlternateContent>
        <mc:AlternateContent xmlns:mc="http://schemas.openxmlformats.org/markup-compatibility/2006">
          <mc:Choice Requires="x14">
            <control shapeId="28674" r:id="rId7" name="Contador 100">
              <controlPr defaultSize="0" autoPict="0" macro="[0]!Cambiar_N_I_Banco_Preguntas" altText="Para consultar los datos de cada pregunta.">
                <anchor moveWithCells="1" sizeWithCells="1">
                  <from>
                    <xdr:col>8</xdr:col>
                    <xdr:colOff>28575</xdr:colOff>
                    <xdr:row>3</xdr:row>
                    <xdr:rowOff>66675</xdr:rowOff>
                  </from>
                  <to>
                    <xdr:col>8</xdr:col>
                    <xdr:colOff>114300</xdr:colOff>
                    <xdr:row>5</xdr:row>
                    <xdr:rowOff>9525</xdr:rowOff>
                  </to>
                </anchor>
              </controlPr>
            </control>
          </mc:Choice>
        </mc:AlternateContent>
        <mc:AlternateContent xmlns:mc="http://schemas.openxmlformats.org/markup-compatibility/2006">
          <mc:Choice Requires="x14">
            <control shapeId="28675" r:id="rId8" name="Contador 1">
              <controlPr defaultSize="0" autoPict="0" macro="[0]!Ver_Datos_Preguntas" altText="Para consultar los datos de cada pregunta.">
                <anchor moveWithCells="1" sizeWithCells="1">
                  <from>
                    <xdr:col>11</xdr:col>
                    <xdr:colOff>381000</xdr:colOff>
                    <xdr:row>4</xdr:row>
                    <xdr:rowOff>0</xdr:rowOff>
                  </from>
                  <to>
                    <xdr:col>12</xdr:col>
                    <xdr:colOff>85725</xdr:colOff>
                    <xdr:row>5</xdr:row>
                    <xdr:rowOff>19050</xdr:rowOff>
                  </to>
                </anchor>
              </controlPr>
            </control>
          </mc:Choice>
        </mc:AlternateContent>
        <mc:AlternateContent xmlns:mc="http://schemas.openxmlformats.org/markup-compatibility/2006">
          <mc:Choice Requires="x14">
            <control shapeId="28676" r:id="rId9" name="Box PREGUNTAS">
              <controlPr defaultSize="0" autoFill="0" autoLine="0" autoPict="0">
                <anchor moveWithCells="1">
                  <from>
                    <xdr:col>12</xdr:col>
                    <xdr:colOff>85725</xdr:colOff>
                    <xdr:row>4</xdr:row>
                    <xdr:rowOff>0</xdr:rowOff>
                  </from>
                  <to>
                    <xdr:col>12</xdr:col>
                    <xdr:colOff>323850</xdr:colOff>
                    <xdr:row>4</xdr:row>
                    <xdr:rowOff>190500</xdr:rowOff>
                  </to>
                </anchor>
              </controlPr>
            </control>
          </mc:Choice>
        </mc:AlternateContent>
      </controls>
    </mc:Choice>
  </mc:AlternateContent>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Hoja_26">
    <tabColor rgb="FFE87B00"/>
    <pageSetUpPr autoPageBreaks="0" fitToPage="1"/>
  </sheetPr>
  <dimension ref="A1:AK6"/>
  <sheetViews>
    <sheetView showGridLines="0" showRowColHeaders="0" zoomScale="140" zoomScaleNormal="140" workbookViewId="0">
      <pane xSplit="7" ySplit="4" topLeftCell="AD6" activePane="bottomRight" state="frozen"/>
      <selection activeCell="I7" sqref="I7"/>
      <selection pane="topRight" activeCell="I7" sqref="I7"/>
      <selection pane="bottomLeft" activeCell="I7" sqref="I7"/>
      <selection pane="bottomRight" activeCell="G6" sqref="G6"/>
    </sheetView>
  </sheetViews>
  <sheetFormatPr baseColWidth="10" defaultColWidth="0" defaultRowHeight="15" x14ac:dyDescent="0.25"/>
  <cols>
    <col min="1" max="1" width="9.7109375" style="14" customWidth="1"/>
    <col min="2" max="2" width="4.85546875" style="11" customWidth="1"/>
    <col min="3" max="3" width="3.7109375" style="11" hidden="1" customWidth="1"/>
    <col min="4" max="5" width="3.7109375" style="15" hidden="1" customWidth="1"/>
    <col min="6" max="6" width="10.5703125" style="15" customWidth="1"/>
    <col min="7" max="7" width="62.140625" style="11" customWidth="1"/>
    <col min="8" max="8" width="11.7109375" style="11" customWidth="1"/>
    <col min="9" max="9" width="15.7109375" style="11" customWidth="1"/>
    <col min="10" max="10" width="11.85546875" style="11" customWidth="1"/>
    <col min="11" max="11" width="15.7109375" style="11" customWidth="1"/>
    <col min="12" max="12" width="11.85546875" style="11" customWidth="1"/>
    <col min="13" max="13" width="15.7109375" style="11" customWidth="1"/>
    <col min="14" max="14" width="11.85546875" style="11" customWidth="1"/>
    <col min="15" max="15" width="15.7109375" style="11" customWidth="1"/>
    <col min="16" max="16" width="11.85546875" style="11" customWidth="1"/>
    <col min="17" max="17" width="15.7109375" style="11" customWidth="1"/>
    <col min="18" max="18" width="11.85546875" style="11" customWidth="1"/>
    <col min="19" max="19" width="15.7109375" style="11" customWidth="1"/>
    <col min="20" max="20" width="11.85546875" style="11" customWidth="1"/>
    <col min="21" max="21" width="15.7109375" style="11" customWidth="1"/>
    <col min="22" max="22" width="11.85546875" style="11" customWidth="1"/>
    <col min="23" max="23" width="15.7109375" style="11" customWidth="1"/>
    <col min="24" max="24" width="11.85546875" style="11" customWidth="1"/>
    <col min="25" max="25" width="15.7109375" style="11" customWidth="1"/>
    <col min="26" max="26" width="11.85546875" style="11" customWidth="1"/>
    <col min="27" max="27" width="15.7109375" style="11" customWidth="1"/>
    <col min="28" max="28" width="11.85546875" style="11" customWidth="1"/>
    <col min="29" max="29" width="15.7109375" style="11" customWidth="1"/>
    <col min="30" max="30" width="11.85546875" style="11" customWidth="1"/>
    <col min="31" max="31" width="15.7109375" style="11" customWidth="1"/>
    <col min="32" max="34" width="11.42578125" style="11" customWidth="1"/>
    <col min="35" max="35" width="11.42578125" style="11" hidden="1" customWidth="1"/>
    <col min="36" max="36" width="11.42578125" style="11" customWidth="1"/>
    <col min="37" max="37" width="0" style="11" hidden="1" customWidth="1"/>
    <col min="38" max="16384" width="11.42578125" style="11" hidden="1"/>
  </cols>
  <sheetData>
    <row r="1" spans="1:36" s="12" customFormat="1" ht="39.950000000000003" customHeight="1" x14ac:dyDescent="0.25">
      <c r="A1" s="317" t="str">
        <f>Version</f>
        <v xml:space="preserve">   V - 5.0 </v>
      </c>
      <c r="B1" s="207"/>
      <c r="C1" s="208"/>
      <c r="D1" s="316"/>
      <c r="E1" s="316"/>
      <c r="F1" s="523" t="str">
        <f ca="1">'Datos OM'!F1</f>
        <v>DATOS 
GENERALES
FORMULARIO</v>
      </c>
      <c r="G1" s="579" t="str">
        <f ca="1">'Datos OM'!G1</f>
        <v>INSERTAR PREGUNTA
BORRAR PREGUNTA</v>
      </c>
      <c r="H1" s="321">
        <f>COUNTA(Tabla_PP[Enunciado])</f>
        <v>0</v>
      </c>
      <c r="I1" s="320" t="str">
        <f ca="1">INDIRECT("Z_BP_01_"&amp;IDIOMA)</f>
        <v>Preguntas Almacenadas</v>
      </c>
    </row>
    <row r="2" spans="1:36" s="13" customFormat="1" ht="50.1" customHeight="1" thickBot="1" x14ac:dyDescent="0.3">
      <c r="A2" s="354" t="str">
        <f ca="1">'Datos OM'!A2</f>
        <v>Nombre de la pregunta</v>
      </c>
      <c r="B2" s="352" t="str">
        <f ca="1">"N. "&amp;'Formulario PP'!H17</f>
        <v xml:space="preserve">N. PALABRA </v>
      </c>
      <c r="C2" s="350"/>
      <c r="D2" s="351"/>
      <c r="E2" s="351"/>
      <c r="F2" s="357" t="str">
        <f ca="1">'Datos OM'!F2</f>
        <v>Descripción</v>
      </c>
      <c r="G2" s="358" t="str">
        <f ca="1">'Formulario PP'!B1&amp;"
"&amp;'Formulario OM'!B11</f>
        <v>FastTest PlugIn - Palabra Perdida
Enunciado de la pregunta</v>
      </c>
      <c r="H2" s="385" t="str">
        <f ca="1">'Formulario EM'!$E$17&amp;"
"&amp;I2</f>
        <v>Grupo 
Palabra  01</v>
      </c>
      <c r="I2" s="385" t="str">
        <f ca="1">'Formulario PP'!$D19</f>
        <v>Palabra  01</v>
      </c>
      <c r="J2" s="386" t="str">
        <f ca="1">'Formulario EM'!$E$17&amp;"
"&amp;K2</f>
        <v>Grupo 
Palabra  02</v>
      </c>
      <c r="K2" s="386" t="str">
        <f ca="1">'Formulario PP'!$N19</f>
        <v>Palabra  02</v>
      </c>
      <c r="L2" s="385" t="str">
        <f ca="1">'Formulario EM'!$E17&amp;"
"&amp;M2</f>
        <v>Grupo 
Palabra  03</v>
      </c>
      <c r="M2" s="385" t="str">
        <f ca="1">'Formulario PP'!$D21</f>
        <v>Palabra  03</v>
      </c>
      <c r="N2" s="386" t="str">
        <f ca="1">'Formulario EM'!$E$17&amp;"
"&amp;O2</f>
        <v>Grupo 
Palabra  04</v>
      </c>
      <c r="O2" s="386" t="str">
        <f ca="1">'Formulario PP'!$N21</f>
        <v>Palabra  04</v>
      </c>
      <c r="P2" s="385" t="str">
        <f ca="1">'Formulario EM'!$E$17&amp;"
"&amp;Q2</f>
        <v>Grupo 
Palabra  05</v>
      </c>
      <c r="Q2" s="385" t="str">
        <f ca="1">'Formulario PP'!$D23</f>
        <v>Palabra  05</v>
      </c>
      <c r="R2" s="386" t="str">
        <f ca="1">'Formulario EM'!$E$17&amp;"
"&amp;S2</f>
        <v>Grupo 
Palabra  06</v>
      </c>
      <c r="S2" s="386" t="str">
        <f ca="1">'Formulario PP'!$N23</f>
        <v>Palabra  06</v>
      </c>
      <c r="T2" s="385" t="str">
        <f ca="1">'Formulario EM'!$E$17&amp;"
"&amp;U2</f>
        <v>Grupo 
Palabra  07</v>
      </c>
      <c r="U2" s="385" t="str">
        <f ca="1">'Formulario PP'!$D25</f>
        <v>Palabra  07</v>
      </c>
      <c r="V2" s="386" t="str">
        <f ca="1">'Formulario EM'!$E$17&amp;"
"&amp;W2</f>
        <v>Grupo 
Palabra  08</v>
      </c>
      <c r="W2" s="386" t="str">
        <f ca="1">'Formulario PP'!$N25</f>
        <v>Palabra  08</v>
      </c>
      <c r="X2" s="385" t="str">
        <f ca="1">'Formulario EM'!$E$17&amp;"
"&amp;Y2</f>
        <v>Grupo 
Palabra  09</v>
      </c>
      <c r="Y2" s="385" t="str">
        <f ca="1">'Formulario PP'!$D27</f>
        <v>Palabra  09</v>
      </c>
      <c r="Z2" s="386" t="str">
        <f ca="1">'Formulario EM'!$E$17&amp;"
"&amp;AA2</f>
        <v>Grupo 
Palabra  10</v>
      </c>
      <c r="AA2" s="386" t="str">
        <f ca="1">'Formulario PP'!$N27</f>
        <v>Palabra  10</v>
      </c>
      <c r="AB2" s="385" t="str">
        <f ca="1">'Formulario EM'!$E$17&amp;"
"&amp;AC2</f>
        <v>Grupo 
Palabra  11</v>
      </c>
      <c r="AC2" s="385" t="str">
        <f ca="1">'Formulario PP'!$D29</f>
        <v>Palabra  11</v>
      </c>
      <c r="AD2" s="386" t="str">
        <f ca="1">'Formulario EM'!$E$17&amp;"
"&amp;AE2</f>
        <v>Grupo 
Palabra  12</v>
      </c>
      <c r="AE2" s="386" t="str">
        <f ca="1">'Formulario PP'!$N29</f>
        <v>Palabra  12</v>
      </c>
      <c r="AF2" s="360" t="str">
        <f ca="1">'Datos OM'!AF2</f>
        <v>PISTA: 1</v>
      </c>
      <c r="AG2" s="361" t="str">
        <f ca="1">'Datos OM'!AG2</f>
        <v>PISTA: 2</v>
      </c>
      <c r="AH2" s="362" t="str">
        <f ca="1">'Datos OM'!AH2</f>
        <v>PISTA: 3</v>
      </c>
      <c r="AI2" s="363" t="str">
        <f ca="1">'Datos OM'!AI2</f>
        <v>PISTA: 4</v>
      </c>
      <c r="AJ2" s="359" t="s">
        <v>1314</v>
      </c>
    </row>
    <row r="3" spans="1:36" s="473" customFormat="1" ht="12.75" hidden="1" thickTop="1" x14ac:dyDescent="0.25">
      <c r="A3" s="459" t="str">
        <f t="shared" ref="A3:AJ3" ca="1" si="0">IFERROR(IF(INDIRECT("F"&amp;PREGUNTA_ACTUAL-(N_I_PP)+N_I_Tabla&amp;"C"&amp;COLUMN(),FALSE)="","",INDIRECT("F"&amp;PREGUNTA_ACTUAL-(N_I_PP)+N_I_Tabla&amp;"C"&amp;COLUMN(),FALSE)),"")</f>
        <v/>
      </c>
      <c r="B3" s="459" t="str">
        <f t="shared" ca="1" si="0"/>
        <v/>
      </c>
      <c r="C3" s="459" t="str">
        <f t="shared" ca="1" si="0"/>
        <v/>
      </c>
      <c r="D3" s="459" t="str">
        <f t="shared" ca="1" si="0"/>
        <v/>
      </c>
      <c r="E3" s="459" t="str">
        <f t="shared" ca="1" si="0"/>
        <v/>
      </c>
      <c r="F3" s="459" t="str">
        <f t="shared" ca="1" si="0"/>
        <v/>
      </c>
      <c r="G3" s="459" t="str">
        <f t="shared" ca="1" si="0"/>
        <v/>
      </c>
      <c r="H3" s="459" t="str">
        <f t="shared" ca="1" si="0"/>
        <v/>
      </c>
      <c r="I3" s="459" t="str">
        <f t="shared" ca="1" si="0"/>
        <v/>
      </c>
      <c r="J3" s="459" t="str">
        <f t="shared" ca="1" si="0"/>
        <v/>
      </c>
      <c r="K3" s="459" t="str">
        <f t="shared" ca="1" si="0"/>
        <v/>
      </c>
      <c r="L3" s="459" t="str">
        <f t="shared" ca="1" si="0"/>
        <v/>
      </c>
      <c r="M3" s="459" t="str">
        <f t="shared" ca="1" si="0"/>
        <v/>
      </c>
      <c r="N3" s="459" t="str">
        <f t="shared" ca="1" si="0"/>
        <v/>
      </c>
      <c r="O3" s="459" t="str">
        <f t="shared" ca="1" si="0"/>
        <v/>
      </c>
      <c r="P3" s="459" t="str">
        <f t="shared" ca="1" si="0"/>
        <v/>
      </c>
      <c r="Q3" s="459" t="str">
        <f t="shared" ca="1" si="0"/>
        <v/>
      </c>
      <c r="R3" s="459" t="str">
        <f t="shared" ca="1" si="0"/>
        <v/>
      </c>
      <c r="S3" s="459" t="str">
        <f t="shared" ca="1" si="0"/>
        <v/>
      </c>
      <c r="T3" s="459" t="str">
        <f t="shared" ca="1" si="0"/>
        <v/>
      </c>
      <c r="U3" s="459" t="str">
        <f t="shared" ca="1" si="0"/>
        <v/>
      </c>
      <c r="V3" s="459" t="str">
        <f t="shared" ca="1" si="0"/>
        <v/>
      </c>
      <c r="W3" s="459" t="str">
        <f t="shared" ca="1" si="0"/>
        <v/>
      </c>
      <c r="X3" s="459" t="str">
        <f t="shared" ca="1" si="0"/>
        <v/>
      </c>
      <c r="Y3" s="459" t="str">
        <f t="shared" ca="1" si="0"/>
        <v/>
      </c>
      <c r="Z3" s="459" t="str">
        <f t="shared" ca="1" si="0"/>
        <v/>
      </c>
      <c r="AA3" s="459" t="str">
        <f t="shared" ca="1" si="0"/>
        <v/>
      </c>
      <c r="AB3" s="459" t="str">
        <f t="shared" ca="1" si="0"/>
        <v/>
      </c>
      <c r="AC3" s="459" t="str">
        <f t="shared" ca="1" si="0"/>
        <v/>
      </c>
      <c r="AD3" s="459" t="str">
        <f t="shared" ca="1" si="0"/>
        <v/>
      </c>
      <c r="AE3" s="459" t="str">
        <f t="shared" ca="1" si="0"/>
        <v/>
      </c>
      <c r="AF3" s="459" t="str">
        <f t="shared" ca="1" si="0"/>
        <v/>
      </c>
      <c r="AG3" s="459" t="str">
        <f t="shared" ca="1" si="0"/>
        <v/>
      </c>
      <c r="AH3" s="459" t="str">
        <f t="shared" ca="1" si="0"/>
        <v/>
      </c>
      <c r="AI3" s="459" t="str">
        <f t="shared" ca="1" si="0"/>
        <v/>
      </c>
      <c r="AJ3" s="459" t="str">
        <f t="shared" ca="1" si="0"/>
        <v/>
      </c>
    </row>
    <row r="4" spans="1:36" s="472" customFormat="1" ht="12" hidden="1" x14ac:dyDescent="0.25">
      <c r="A4" s="142">
        <v>601</v>
      </c>
      <c r="B4" s="471">
        <f>N_I_Tabla</f>
        <v>6</v>
      </c>
      <c r="C4" s="461"/>
      <c r="D4" s="469"/>
      <c r="E4" s="147"/>
      <c r="F4" s="148" t="str">
        <f>IF('Formulario PP'!H9="","",'Formulario PP'!H9)</f>
        <v/>
      </c>
      <c r="G4" s="422" t="str">
        <f>IF('Formulario PP'!H11="","",'Formulario PP'!H11)</f>
        <v/>
      </c>
      <c r="H4" s="150" t="str">
        <f>IF('Formulario PP'!$F19="","",'Formulario PP'!$F19)</f>
        <v/>
      </c>
      <c r="I4" s="160" t="str">
        <f>IF('Formulario PP'!$H19="","",'Formulario PP'!$H19)</f>
        <v/>
      </c>
      <c r="J4" s="151" t="str">
        <f>IF('Formulario PP'!$P19="","",'Formulario PP'!$P19)</f>
        <v/>
      </c>
      <c r="K4" s="161" t="str">
        <f>IF('Formulario PP'!$R19="","",'Formulario PP'!$R19)</f>
        <v/>
      </c>
      <c r="L4" s="150" t="str">
        <f>IF('Formulario PP'!$F21="","",'Formulario PP'!$F21)</f>
        <v/>
      </c>
      <c r="M4" s="160" t="str">
        <f>IF('Formulario PP'!$H21="","",'Formulario PP'!$H21)</f>
        <v/>
      </c>
      <c r="N4" s="151" t="str">
        <f>IF('Formulario PP'!$P21="","",'Formulario PP'!$P21)</f>
        <v/>
      </c>
      <c r="O4" s="161" t="str">
        <f>IF('Formulario PP'!$R21="","",'Formulario PP'!$R21)</f>
        <v/>
      </c>
      <c r="P4" s="150" t="str">
        <f>IF('Formulario PP'!$F23="","",'Formulario PP'!$F23)</f>
        <v/>
      </c>
      <c r="Q4" s="160" t="str">
        <f>IF('Formulario PP'!$H23="","",'Formulario PP'!$H23)</f>
        <v/>
      </c>
      <c r="R4" s="151" t="str">
        <f>IF('Formulario PP'!$P23="","",'Formulario PP'!$P23)</f>
        <v/>
      </c>
      <c r="S4" s="161" t="str">
        <f>IF('Formulario PP'!$R23="","",'Formulario PP'!$R23)</f>
        <v/>
      </c>
      <c r="T4" s="150" t="str">
        <f>IF('Formulario PP'!$F25="","",'Formulario PP'!$F25)</f>
        <v/>
      </c>
      <c r="U4" s="160" t="str">
        <f>IF('Formulario PP'!$H25="","",'Formulario PP'!$H25)</f>
        <v/>
      </c>
      <c r="V4" s="151" t="str">
        <f>IF('Formulario PP'!$P25="","",'Formulario PP'!$P25)</f>
        <v/>
      </c>
      <c r="W4" s="161" t="str">
        <f>IF('Formulario PP'!$R25="","",'Formulario PP'!$R25)</f>
        <v/>
      </c>
      <c r="X4" s="150" t="str">
        <f>IF('Formulario PP'!$F27="","",'Formulario PP'!$F27)</f>
        <v/>
      </c>
      <c r="Y4" s="160" t="str">
        <f>IF('Formulario PP'!$H27="","",'Formulario PP'!$H27)</f>
        <v/>
      </c>
      <c r="Z4" s="151" t="str">
        <f>IF('Formulario PP'!$P27="","",'Formulario PP'!$P27)</f>
        <v/>
      </c>
      <c r="AA4" s="161" t="str">
        <f>IF('Formulario PP'!$R27="","",'Formulario PP'!$R27)</f>
        <v/>
      </c>
      <c r="AB4" s="150" t="str">
        <f>IF('Formulario PP'!$F29="","",'Formulario PP'!$F29)</f>
        <v/>
      </c>
      <c r="AC4" s="160" t="str">
        <f>IF('Formulario PP'!$H29="","",'Formulario PP'!$H29)</f>
        <v/>
      </c>
      <c r="AD4" s="151" t="str">
        <f>IF('Formulario PP'!$P29="","",'Formulario PP'!$P29)</f>
        <v/>
      </c>
      <c r="AE4" s="161" t="str">
        <f>IF('Formulario PP'!$R29="","",'Formulario PP'!$R29)</f>
        <v/>
      </c>
      <c r="AF4" s="156" t="str">
        <f>IF('Formulario PP'!G33="","",'Formulario PP'!G33)</f>
        <v/>
      </c>
      <c r="AG4" s="157" t="str">
        <f>IF('Formulario PP'!M33="","",'Formulario PP'!M33)</f>
        <v/>
      </c>
      <c r="AH4" s="158" t="str">
        <f>IF('Formulario PP'!G35="","",'Formulario PP'!G35)</f>
        <v/>
      </c>
      <c r="AI4" s="159" t="str">
        <f>IF('Formulario PP'!M35="","",'Formulario PP'!M35)</f>
        <v/>
      </c>
      <c r="AJ4" s="152" t="str">
        <f>IF('Formulario PP'!Q7="","",'Formulario PP'!Q7)</f>
        <v/>
      </c>
    </row>
    <row r="5" spans="1:36" s="47" customFormat="1" hidden="1" x14ac:dyDescent="0.25">
      <c r="A5" s="345" t="s">
        <v>1702</v>
      </c>
      <c r="B5" s="454" t="s">
        <v>1757</v>
      </c>
      <c r="C5" s="467" t="s">
        <v>18166</v>
      </c>
      <c r="D5" s="467" t="s">
        <v>18167</v>
      </c>
      <c r="E5" s="467" t="s">
        <v>18168</v>
      </c>
      <c r="F5" s="426" t="s">
        <v>1856</v>
      </c>
      <c r="G5" s="427" t="s">
        <v>24</v>
      </c>
      <c r="H5" s="456" t="s">
        <v>1783</v>
      </c>
      <c r="I5" s="451" t="s">
        <v>1784</v>
      </c>
      <c r="J5" s="457" t="s">
        <v>1785</v>
      </c>
      <c r="K5" s="452" t="s">
        <v>1786</v>
      </c>
      <c r="L5" s="456" t="s">
        <v>1787</v>
      </c>
      <c r="M5" s="451" t="s">
        <v>1788</v>
      </c>
      <c r="N5" s="457" t="s">
        <v>1789</v>
      </c>
      <c r="O5" s="452" t="s">
        <v>1790</v>
      </c>
      <c r="P5" s="456" t="s">
        <v>1791</v>
      </c>
      <c r="Q5" s="451" t="s">
        <v>1792</v>
      </c>
      <c r="R5" s="457" t="s">
        <v>1793</v>
      </c>
      <c r="S5" s="452" t="s">
        <v>1794</v>
      </c>
      <c r="T5" s="456" t="s">
        <v>1795</v>
      </c>
      <c r="U5" s="451" t="s">
        <v>1796</v>
      </c>
      <c r="V5" s="457" t="s">
        <v>1797</v>
      </c>
      <c r="W5" s="452" t="s">
        <v>1798</v>
      </c>
      <c r="X5" s="456" t="s">
        <v>1799</v>
      </c>
      <c r="Y5" s="451" t="s">
        <v>1800</v>
      </c>
      <c r="Z5" s="457" t="s">
        <v>1801</v>
      </c>
      <c r="AA5" s="452" t="s">
        <v>1802</v>
      </c>
      <c r="AB5" s="456" t="s">
        <v>1803</v>
      </c>
      <c r="AC5" s="451" t="s">
        <v>1804</v>
      </c>
      <c r="AD5" s="457" t="s">
        <v>1805</v>
      </c>
      <c r="AE5" s="452" t="s">
        <v>1806</v>
      </c>
      <c r="AF5" s="446" t="s">
        <v>1606</v>
      </c>
      <c r="AG5" s="447" t="s">
        <v>1607</v>
      </c>
      <c r="AH5" s="448" t="s">
        <v>1608</v>
      </c>
      <c r="AI5" s="449" t="s">
        <v>1609</v>
      </c>
      <c r="AJ5" s="436" t="s">
        <v>1314</v>
      </c>
    </row>
    <row r="6" spans="1:36" ht="15.75" thickTop="1" x14ac:dyDescent="0.25">
      <c r="A6" s="595" t="str">
        <f>IFERROR(IF(Tabla_PP[[#This Row],[Enunciado]]="","",PREF_PREGUNTA&amp;IF(PREF_PREGUNTA="",""," - ")&amp;
IF(n_preg_ON_PP=TRUE,IF((N_I_PP+ROW()-N_I_Tabla)&gt;99,
IF((N_I_PP+ROW()-N_I_Tabla)&lt;100,"0",""),"")&amp;
IF((N_I_PP+ROW()-N_I_Tabla)&lt;10,"0","")&amp;(N_I_PP+ROW()-N_I_Tabla),""))&amp;
IF(Tabla_PP[[#This Row],[Descripcion]]&lt;&gt;""," "&amp;Tabla_PP[[#This Row],[Descripcion]],""),"")</f>
        <v/>
      </c>
      <c r="B6" s="627" t="str">
        <f>IFERROR(IF(COUNTA(Tabla_PP[[#This Row],[Palabra  01]:[Palabra  12]])=0,"",COUNTA(Tabla_PP[[#This Row],[Palabra  01]:[Palabra  12]]))/2,"")</f>
        <v/>
      </c>
      <c r="C6" s="628"/>
      <c r="D6" s="624"/>
      <c r="E6" s="624"/>
      <c r="F6" s="629"/>
      <c r="G6" s="630"/>
      <c r="H6" s="631"/>
      <c r="I6" s="631"/>
      <c r="J6" s="632"/>
      <c r="K6" s="632"/>
      <c r="L6" s="631"/>
      <c r="M6" s="631"/>
      <c r="N6" s="632"/>
      <c r="O6" s="632"/>
      <c r="P6" s="631"/>
      <c r="Q6" s="631"/>
      <c r="R6" s="632"/>
      <c r="S6" s="632"/>
      <c r="T6" s="631"/>
      <c r="U6" s="631"/>
      <c r="V6" s="632"/>
      <c r="W6" s="632"/>
      <c r="X6" s="631"/>
      <c r="Y6" s="631"/>
      <c r="Z6" s="632"/>
      <c r="AA6" s="632"/>
      <c r="AB6" s="631"/>
      <c r="AC6" s="631"/>
      <c r="AD6" s="632"/>
      <c r="AE6" s="632"/>
      <c r="AF6" s="633"/>
      <c r="AG6" s="634"/>
      <c r="AH6" s="635"/>
      <c r="AI6" s="636"/>
      <c r="AJ6" s="637"/>
    </row>
  </sheetData>
  <sheetProtection algorithmName="SHA-512" hashValue="AqBV6tg4VgkqYXbQ07oP207Yw8lQX0OlUCf6z3WiKfNj4dJItMdoMqK0lfsmFrZqs1iKJ8cH5p8maV4BDd8tag==" saltValue="nzEDEZNalBy/eADzQr6Fyw==" spinCount="100000" sheet="1" objects="1" scenarios="1" selectLockedCells="1"/>
  <conditionalFormatting sqref="E4:AE4 C2:AE2 C6:AE6">
    <cfRule type="cellIs" dxfId="367" priority="714" stopIfTrue="1" operator="equal">
      <formula>""</formula>
    </cfRule>
    <cfRule type="cellIs" dxfId="366" priority="715" operator="equal">
      <formula>0</formula>
    </cfRule>
  </conditionalFormatting>
  <conditionalFormatting sqref="AF4:AI4 AF2:AJ2 AF6:AJ6">
    <cfRule type="cellIs" dxfId="365" priority="332" operator="equal">
      <formula>""</formula>
    </cfRule>
    <cfRule type="cellIs" dxfId="364" priority="333" operator="equal">
      <formula>0</formula>
    </cfRule>
  </conditionalFormatting>
  <conditionalFormatting sqref="AJ4">
    <cfRule type="cellIs" dxfId="363" priority="148" operator="equal">
      <formula>""</formula>
    </cfRule>
    <cfRule type="cellIs" dxfId="362" priority="149" operator="equal">
      <formula>0</formula>
    </cfRule>
  </conditionalFormatting>
  <conditionalFormatting sqref="C5:AE5">
    <cfRule type="cellIs" dxfId="361" priority="3" stopIfTrue="1" operator="equal">
      <formula>""</formula>
    </cfRule>
    <cfRule type="cellIs" dxfId="360" priority="4" operator="equal">
      <formula>0</formula>
    </cfRule>
  </conditionalFormatting>
  <conditionalFormatting sqref="AF5:AJ5">
    <cfRule type="cellIs" dxfId="359" priority="1" operator="equal">
      <formula>""</formula>
    </cfRule>
    <cfRule type="cellIs" dxfId="358" priority="2" operator="equal">
      <formula>0</formula>
    </cfRule>
  </conditionalFormatting>
  <dataValidations count="1">
    <dataValidation type="whole" allowBlank="1" showInputMessage="1" showErrorMessage="1" errorTitle="Error" error="Debes introducir un número válido. _x000a_Rellena primero las respuestas._x000a__x000a_Pulsa ESC para continuar." sqref="C6">
      <formula1>1</formula1>
      <formula2>IF(C_SIMPLE="true",1,MIN(5,COUNTA(H6:M6)))</formula2>
    </dataValidation>
  </dataValidations>
  <pageMargins left="0.70866141732283472" right="0.70866141732283472" top="0.74803149606299213" bottom="0.74803149606299213" header="0.31496062992125984" footer="0.31496062992125984"/>
  <pageSetup paperSize="9" scale="44" fitToHeight="47" orientation="landscape" r:id="rId1"/>
  <drawing r:id="rId2"/>
  <tableParts count="1">
    <tablePart r:id="rId3"/>
  </tableParts>
</worksheet>
</file>

<file path=xl/worksheets/sheet1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Hoja_17">
    <tabColor rgb="FF005877"/>
    <pageSetUpPr fitToPage="1"/>
  </sheetPr>
  <dimension ref="A1:XEZ72"/>
  <sheetViews>
    <sheetView showGridLines="0" showRowColHeaders="0" zoomScale="140" zoomScaleNormal="140" workbookViewId="0">
      <pane xSplit="38" ySplit="73" topLeftCell="AX1048576" activePane="bottomRight" state="frozen"/>
      <selection activeCell="K7" sqref="K7:O7"/>
      <selection pane="topRight" activeCell="K7" sqref="K7:O7"/>
      <selection pane="bottomLeft" activeCell="K7" sqref="K7:O7"/>
      <selection pane="bottomRight" activeCell="H11" sqref="H11:W15"/>
    </sheetView>
  </sheetViews>
  <sheetFormatPr baseColWidth="10" defaultColWidth="0" defaultRowHeight="15" zeroHeight="1" x14ac:dyDescent="0.25"/>
  <cols>
    <col min="1" max="1" width="10.7109375" customWidth="1"/>
    <col min="2" max="2" width="2.7109375" style="4" customWidth="1"/>
    <col min="3" max="23" width="5.7109375" style="4" customWidth="1"/>
    <col min="24" max="24" width="2.7109375" style="4" customWidth="1"/>
    <col min="25" max="25" width="10.7109375" style="93" customWidth="1"/>
    <col min="26" max="26" width="2.7109375" style="4" customWidth="1"/>
    <col min="27" max="27" width="10.7109375" style="4" customWidth="1"/>
    <col min="28" max="28" width="2.7109375" style="4" customWidth="1"/>
    <col min="29" max="52" width="2.7109375" style="4" hidden="1" customWidth="1"/>
    <col min="53" max="16380" width="0" style="4" hidden="1"/>
    <col min="16381" max="16384" width="11.42578125" style="4" hidden="1"/>
  </cols>
  <sheetData>
    <row r="1" spans="1:30 16368:16380" ht="2.25" customHeight="1" thickTop="1" x14ac:dyDescent="0.25">
      <c r="A1" s="737" t="str">
        <f ca="1">'Formulario OM'!A1</f>
        <v>CÓDIGOS 
ESPECIALES</v>
      </c>
      <c r="B1" s="776" t="str">
        <f ca="1">APP&amp;" - " &amp;Tipo_7</f>
        <v>FastTest PlugIn - Ensayo</v>
      </c>
      <c r="C1" s="777"/>
      <c r="D1" s="777"/>
      <c r="E1" s="777"/>
      <c r="F1" s="777"/>
      <c r="G1" s="777"/>
      <c r="H1" s="777"/>
      <c r="I1" s="777"/>
      <c r="J1" s="777"/>
      <c r="K1" s="777"/>
      <c r="L1" s="172"/>
      <c r="M1" s="172"/>
      <c r="N1" s="172"/>
      <c r="O1" s="172"/>
      <c r="P1" s="172"/>
      <c r="Q1" s="172"/>
      <c r="R1" s="172"/>
      <c r="S1" s="172"/>
      <c r="T1" s="172"/>
      <c r="U1" s="172"/>
      <c r="V1" s="172"/>
      <c r="W1" s="172"/>
      <c r="X1" s="173"/>
      <c r="Y1" s="713" t="str">
        <f ca="1">'DATOS GENERALES'!Y1</f>
        <v>NO USAR CORTAR
[Ctrl + X]</v>
      </c>
      <c r="AB1" s="4">
        <f>COUNTA(Q7,H9,H11,H17,H19,U19,H21,Q21,H23,H27)</f>
        <v>0</v>
      </c>
      <c r="AC1" s="590" t="str">
        <f>IFERROR(HLOOKUP(AC4,$AB$4:AB4,1,0),"OK")</f>
        <v>OK</v>
      </c>
      <c r="AD1" s="590"/>
    </row>
    <row r="2" spans="1:30 16368:16380" ht="24.95" customHeight="1" x14ac:dyDescent="0.25">
      <c r="A2" s="738"/>
      <c r="B2" s="778"/>
      <c r="C2" s="779"/>
      <c r="D2" s="779"/>
      <c r="E2" s="779"/>
      <c r="F2" s="779"/>
      <c r="G2" s="779"/>
      <c r="H2" s="779"/>
      <c r="I2" s="779"/>
      <c r="J2" s="779"/>
      <c r="K2" s="779"/>
      <c r="L2" s="760" t="str">
        <f ca="1">'Formulario OM'!L2</f>
        <v>DATOS 
GENERALES</v>
      </c>
      <c r="M2" s="761">
        <f>'Formulario OM'!M2</f>
        <v>0</v>
      </c>
      <c r="N2" s="803" t="str">
        <f ca="1">'Formulario OM'!N2</f>
        <v>BANCO 
PREGUNTAS</v>
      </c>
      <c r="O2" s="804">
        <f>'Formulario OM'!O2</f>
        <v>0</v>
      </c>
      <c r="P2" s="805" t="str">
        <f ca="1">'Formulario OM'!P2</f>
        <v>LIMPIAR 
DATOS</v>
      </c>
      <c r="Q2" s="804">
        <f>'Formulario OM'!Q2</f>
        <v>0</v>
      </c>
      <c r="R2" s="805" t="str">
        <f ca="1">'Formulario OM'!R2</f>
        <v>GUARDAR 
PREGUNTAS</v>
      </c>
      <c r="S2" s="804">
        <f>'Formulario OM'!S2</f>
        <v>0</v>
      </c>
      <c r="T2" s="805" t="str">
        <f ca="1">'Formulario OM'!T2</f>
        <v>BORRAR 
PREGUNTAS</v>
      </c>
      <c r="U2" s="804">
        <f>'Formulario OM'!U2</f>
        <v>0</v>
      </c>
      <c r="V2" s="805" t="str">
        <f ca="1">'Formulario OM'!V2</f>
        <v>DAR 
FORMATO</v>
      </c>
      <c r="W2" s="806">
        <f>'Formulario OM'!W2</f>
        <v>0</v>
      </c>
      <c r="X2" s="211" t="s">
        <v>129</v>
      </c>
      <c r="Y2" s="714"/>
      <c r="Z2" s="300" t="s">
        <v>1310</v>
      </c>
      <c r="AA2" s="313" t="str">
        <f ca="1">'Formulario OM'!AA2</f>
        <v>BORRAR VARIABLES</v>
      </c>
      <c r="AB2" s="581">
        <f>COUNTA(Y5:Y35)+COUNTA(AA5:AA35)</f>
        <v>0</v>
      </c>
      <c r="AC2" s="590">
        <f>COUNTA(AC5:AC36)</f>
        <v>0</v>
      </c>
      <c r="AD2" s="590"/>
    </row>
    <row r="3" spans="1:30 16368:16380" ht="2.25" customHeight="1" thickBot="1" x14ac:dyDescent="0.3">
      <c r="A3" s="739"/>
      <c r="B3" s="778"/>
      <c r="C3" s="779"/>
      <c r="D3" s="779"/>
      <c r="E3" s="779"/>
      <c r="F3" s="779"/>
      <c r="G3" s="779"/>
      <c r="H3" s="779"/>
      <c r="I3" s="779"/>
      <c r="J3" s="779"/>
      <c r="K3" s="779"/>
      <c r="L3" s="187"/>
      <c r="M3" s="188"/>
      <c r="N3" s="189"/>
      <c r="O3" s="190"/>
      <c r="P3" s="189"/>
      <c r="Q3" s="190"/>
      <c r="R3" s="189"/>
      <c r="S3" s="190"/>
      <c r="T3" s="189"/>
      <c r="U3" s="190"/>
      <c r="V3" s="189"/>
      <c r="W3" s="190"/>
      <c r="X3" s="191"/>
      <c r="Y3" s="715"/>
      <c r="AB3" s="583" t="s">
        <v>18754</v>
      </c>
      <c r="AC3" s="590">
        <f>COUNTA(AC39:AC79)</f>
        <v>0</v>
      </c>
      <c r="AD3" s="590"/>
    </row>
    <row r="4" spans="1:30 16368:16380" ht="6" customHeight="1" thickBot="1" x14ac:dyDescent="0.3">
      <c r="A4" s="192"/>
      <c r="B4" s="75"/>
      <c r="C4" s="77"/>
      <c r="D4" s="77"/>
      <c r="E4" s="77"/>
      <c r="F4" s="77"/>
      <c r="G4" s="77"/>
      <c r="H4" s="568"/>
      <c r="I4" s="569"/>
      <c r="J4" s="569"/>
      <c r="K4" s="569"/>
      <c r="L4" s="569"/>
      <c r="M4" s="845"/>
      <c r="N4" s="569"/>
      <c r="O4" s="569"/>
      <c r="P4" s="569"/>
      <c r="Q4" s="569"/>
      <c r="R4" s="569"/>
      <c r="S4" s="569"/>
      <c r="T4" s="568"/>
      <c r="U4" s="568"/>
      <c r="V4" s="568"/>
      <c r="W4" s="568"/>
      <c r="X4" s="80"/>
      <c r="Y4" s="196"/>
      <c r="AB4" s="583" t="s">
        <v>18755</v>
      </c>
      <c r="AC4" s="590">
        <f>COLUMN()+COUNTA(AD4:XFD4)</f>
        <v>29</v>
      </c>
    </row>
    <row r="5" spans="1:30 16368:16380" x14ac:dyDescent="0.25">
      <c r="A5" s="194" t="str">
        <f ca="1">'Formulario OM'!A5</f>
        <v>FÓRMULA</v>
      </c>
      <c r="B5" s="781" t="str">
        <f ca="1">INDIRECT("Z_OM_01_"&amp;IDIOMA)</f>
        <v>Nº Inicial del Banco de Preguntas</v>
      </c>
      <c r="C5" s="782"/>
      <c r="D5" s="782"/>
      <c r="E5" s="782"/>
      <c r="F5" s="782"/>
      <c r="G5" s="782"/>
      <c r="H5" s="328">
        <f>'Datos EN'!A4</f>
        <v>701</v>
      </c>
      <c r="I5" s="700" t="str">
        <f ca="1">'Formulario OM'!I5</f>
        <v>Pregunta Nº</v>
      </c>
      <c r="J5" s="700"/>
      <c r="K5" s="700"/>
      <c r="L5" s="39">
        <v>701</v>
      </c>
      <c r="M5" s="895"/>
      <c r="N5" s="757" t="str">
        <f ca="1">INDIRECT("Z_TX_88_"&amp;IDIOMA)&amp;" ("&amp;AC4-COLUMN(AC2)&amp;")"</f>
        <v>ALMACENAR FORMULAS (0)</v>
      </c>
      <c r="O5" s="758"/>
      <c r="P5" s="758"/>
      <c r="Q5" s="759"/>
      <c r="R5" s="825" t="str">
        <f ca="1">INDIRECT("Z_DG_15_"&amp;IDIOMA)&amp;": "&amp;P_min_EN&amp;IF(P_max_EN=0,""," - "&amp;P_max_EN)</f>
        <v>Rango de preguntas almacenadas: 0</v>
      </c>
      <c r="S5" s="746"/>
      <c r="T5" s="746"/>
      <c r="U5" s="746"/>
      <c r="V5" s="746"/>
      <c r="W5" s="746"/>
      <c r="X5" s="68"/>
      <c r="Y5" s="198"/>
      <c r="Z5" s="300">
        <v>1</v>
      </c>
      <c r="AA5" s="314"/>
      <c r="AB5" s="300">
        <f>Z35+1</f>
        <v>17</v>
      </c>
      <c r="XEN5" s="4" t="str">
        <f>IFERROR(IF(VLOOKUP($L$6,'Datos EN'!$A$5:$AI$5,XEN4)="","",VLOOKUP($L$6,'Datos EN'!$A$5:$AI$5,XEN4,0)),"")</f>
        <v/>
      </c>
      <c r="XEZ5" s="4" t="str">
        <f>IFERROR(IF(VLOOKUP($L$6,'Datos EN'!$A$5:$AI$5,XEZ4)="","",VLOOKUP($L$6,'Datos EN'!$A$5:$AI$5,XEZ4,0)),"")</f>
        <v/>
      </c>
    </row>
    <row r="6" spans="1:30 16368:16380" ht="6" customHeight="1" thickBot="1" x14ac:dyDescent="0.3">
      <c r="A6" s="19"/>
      <c r="B6" s="60"/>
      <c r="C6" s="61"/>
      <c r="D6" s="61"/>
      <c r="E6" s="61"/>
      <c r="F6" s="61"/>
      <c r="G6" s="61"/>
      <c r="H6" s="62"/>
      <c r="I6" s="63"/>
      <c r="J6" s="63"/>
      <c r="K6" s="63"/>
      <c r="L6" s="63"/>
      <c r="M6" s="895"/>
      <c r="N6" s="63"/>
      <c r="O6" s="62"/>
      <c r="P6" s="67"/>
      <c r="Q6" s="63"/>
      <c r="R6" s="63"/>
      <c r="S6" s="50"/>
      <c r="T6" s="50"/>
      <c r="U6" s="50"/>
      <c r="V6" s="62"/>
      <c r="W6" s="62"/>
      <c r="X6" s="64"/>
      <c r="Y6" s="197"/>
    </row>
    <row r="7" spans="1:30 16368:16380" ht="15" customHeight="1" thickTop="1" thickBot="1" x14ac:dyDescent="0.3">
      <c r="A7" s="194" t="str">
        <f ca="1">'Formulario OM'!A7</f>
        <v>SUPERÍNDICE</v>
      </c>
      <c r="B7" s="781" t="str">
        <f ca="1">INDIRECT("Z_OM_04_"&amp;IDIOMA)</f>
        <v>Nombre de la pregunta</v>
      </c>
      <c r="C7" s="782"/>
      <c r="D7" s="782"/>
      <c r="E7" s="782"/>
      <c r="F7" s="782"/>
      <c r="G7" s="782"/>
      <c r="H7" s="772" t="str">
        <f ca="1">IFERROR(INDIRECT("'Datos EN'!a"&amp;(L5-H5+N_I_Tabla)),"")</f>
        <v/>
      </c>
      <c r="I7" s="772"/>
      <c r="J7" s="772"/>
      <c r="K7" s="772"/>
      <c r="L7" s="772"/>
      <c r="M7" s="772"/>
      <c r="N7" s="700" t="str">
        <f ca="1">'Formulario OM'!N7</f>
        <v>Imagen</v>
      </c>
      <c r="O7" s="881"/>
      <c r="P7" s="881"/>
      <c r="Q7" s="768"/>
      <c r="R7" s="769"/>
      <c r="S7" s="769"/>
      <c r="T7" s="769"/>
      <c r="U7" s="769"/>
      <c r="V7" s="769"/>
      <c r="W7" s="770"/>
      <c r="X7" s="68"/>
      <c r="Y7" s="198"/>
      <c r="Z7" s="300">
        <f>Z5+1</f>
        <v>2</v>
      </c>
      <c r="AA7" s="314"/>
      <c r="AB7" s="300">
        <f>AB5+1</f>
        <v>18</v>
      </c>
      <c r="XEZ7" s="4" t="str">
        <f>IFERROR(IF(VLOOKUP($L$6,'Datos EN'!$A$5:$AI$5,XEZ6)="","",VLOOKUP($L$6,'Datos EN'!$A$5:$AI$5,XEZ6,0)),"")</f>
        <v/>
      </c>
    </row>
    <row r="8" spans="1:30 16368:16380" ht="6" customHeight="1" thickTop="1" x14ac:dyDescent="0.25">
      <c r="A8" s="20"/>
      <c r="B8" s="60"/>
      <c r="C8" s="61"/>
      <c r="D8" s="61"/>
      <c r="E8" s="61"/>
      <c r="F8" s="61"/>
      <c r="G8" s="63"/>
      <c r="H8" s="63"/>
      <c r="I8" s="62"/>
      <c r="J8" s="62"/>
      <c r="K8" s="62"/>
      <c r="L8" s="62"/>
      <c r="M8" s="63"/>
      <c r="N8" s="63"/>
      <c r="O8" s="50"/>
      <c r="P8" s="67"/>
      <c r="Q8" s="63"/>
      <c r="R8" s="50"/>
      <c r="S8" s="50"/>
      <c r="T8" s="50"/>
      <c r="U8" s="50"/>
      <c r="V8" s="837"/>
      <c r="W8" s="837"/>
      <c r="X8" s="64"/>
      <c r="Y8" s="94"/>
    </row>
    <row r="9" spans="1:30 16368:16380" x14ac:dyDescent="0.25">
      <c r="A9" s="194" t="str">
        <f ca="1">'Formulario OM'!A9</f>
        <v>SUBÍNDICE</v>
      </c>
      <c r="B9" s="702" t="str">
        <f ca="1">INDIRECT("Z_OM_05_"&amp;IDIOMA)</f>
        <v>Descripción</v>
      </c>
      <c r="C9" s="700"/>
      <c r="D9" s="700"/>
      <c r="E9" s="700"/>
      <c r="F9" s="700"/>
      <c r="G9" s="700"/>
      <c r="H9" s="771"/>
      <c r="I9" s="771"/>
      <c r="J9" s="771"/>
      <c r="K9" s="771"/>
      <c r="L9" s="771"/>
      <c r="M9" s="771"/>
      <c r="N9" s="50"/>
      <c r="O9" s="74"/>
      <c r="P9" s="67"/>
      <c r="Q9" s="67"/>
      <c r="R9" s="50"/>
      <c r="S9" s="50"/>
      <c r="T9" s="50"/>
      <c r="U9" s="50"/>
      <c r="V9" s="836"/>
      <c r="W9" s="836"/>
      <c r="X9" s="68"/>
      <c r="Y9" s="198"/>
      <c r="Z9" s="300">
        <f>Z7+1</f>
        <v>3</v>
      </c>
      <c r="AA9" s="314"/>
      <c r="AB9" s="300">
        <f>AB7+1</f>
        <v>19</v>
      </c>
    </row>
    <row r="10" spans="1:30 16368:16380" ht="6" customHeight="1" thickBot="1" x14ac:dyDescent="0.3">
      <c r="A10" s="19"/>
      <c r="B10" s="60"/>
      <c r="C10" s="61"/>
      <c r="D10" s="61"/>
      <c r="E10" s="61"/>
      <c r="F10" s="61"/>
      <c r="G10" s="62"/>
      <c r="H10" s="568"/>
      <c r="I10" s="63"/>
      <c r="J10" s="63"/>
      <c r="K10" s="63"/>
      <c r="L10" s="63"/>
      <c r="M10" s="63"/>
      <c r="N10" s="63"/>
      <c r="O10" s="63"/>
      <c r="P10" s="63"/>
      <c r="Q10" s="63"/>
      <c r="R10" s="63"/>
      <c r="S10" s="63"/>
      <c r="T10" s="62"/>
      <c r="U10" s="62"/>
      <c r="V10" s="62"/>
      <c r="W10" s="62"/>
      <c r="X10" s="64"/>
      <c r="Y10" s="94"/>
    </row>
    <row r="11" spans="1:30 16368:16380" ht="15.75" thickTop="1" x14ac:dyDescent="0.25">
      <c r="A11" s="194" t="str">
        <f ca="1">'Formulario OM'!A11</f>
        <v>SALTO LÍNEA</v>
      </c>
      <c r="B11" s="702" t="str">
        <f ca="1">INDIRECT("Z_OM_07_"&amp;IDIOMA)</f>
        <v>Enunciado de la pregunta</v>
      </c>
      <c r="C11" s="700"/>
      <c r="D11" s="700"/>
      <c r="E11" s="700"/>
      <c r="F11" s="700"/>
      <c r="G11" s="701"/>
      <c r="H11" s="786"/>
      <c r="I11" s="787"/>
      <c r="J11" s="787"/>
      <c r="K11" s="787"/>
      <c r="L11" s="787"/>
      <c r="M11" s="787"/>
      <c r="N11" s="787"/>
      <c r="O11" s="787"/>
      <c r="P11" s="787"/>
      <c r="Q11" s="787"/>
      <c r="R11" s="787"/>
      <c r="S11" s="787"/>
      <c r="T11" s="787"/>
      <c r="U11" s="787"/>
      <c r="V11" s="787"/>
      <c r="W11" s="788"/>
      <c r="X11" s="68"/>
      <c r="Y11" s="198"/>
      <c r="Z11" s="300">
        <f>Z9+1</f>
        <v>4</v>
      </c>
      <c r="AA11" s="314"/>
      <c r="AB11" s="300">
        <f>AB9+1</f>
        <v>20</v>
      </c>
    </row>
    <row r="12" spans="1:30 16368:16380" ht="6" customHeight="1" thickBot="1" x14ac:dyDescent="0.3">
      <c r="A12" s="2"/>
      <c r="B12" s="753"/>
      <c r="C12" s="754"/>
      <c r="D12" s="61"/>
      <c r="E12" s="77"/>
      <c r="F12" s="77"/>
      <c r="G12" s="568"/>
      <c r="H12" s="789"/>
      <c r="I12" s="790"/>
      <c r="J12" s="790"/>
      <c r="K12" s="790"/>
      <c r="L12" s="790"/>
      <c r="M12" s="790"/>
      <c r="N12" s="790"/>
      <c r="O12" s="790"/>
      <c r="P12" s="790"/>
      <c r="Q12" s="790"/>
      <c r="R12" s="790"/>
      <c r="S12" s="790"/>
      <c r="T12" s="790"/>
      <c r="U12" s="790"/>
      <c r="V12" s="790"/>
      <c r="W12" s="791"/>
      <c r="X12" s="64"/>
      <c r="Y12" s="94"/>
    </row>
    <row r="13" spans="1:30 16368:16380" x14ac:dyDescent="0.25">
      <c r="A13" s="194" t="str">
        <f ca="1">'Formulario OM'!A13</f>
        <v>CONCATENAR</v>
      </c>
      <c r="B13" s="753"/>
      <c r="C13" s="754"/>
      <c r="D13" s="894" t="str">
        <f>'DATOS GENERALES'!C11</f>
        <v>Moodle
 Editor.
(HTML)</v>
      </c>
      <c r="E13" s="894"/>
      <c r="F13" s="894"/>
      <c r="G13" s="894"/>
      <c r="H13" s="789"/>
      <c r="I13" s="790"/>
      <c r="J13" s="790"/>
      <c r="K13" s="790"/>
      <c r="L13" s="790"/>
      <c r="M13" s="790"/>
      <c r="N13" s="790"/>
      <c r="O13" s="790"/>
      <c r="P13" s="790"/>
      <c r="Q13" s="790"/>
      <c r="R13" s="790"/>
      <c r="S13" s="790"/>
      <c r="T13" s="790"/>
      <c r="U13" s="790"/>
      <c r="V13" s="790"/>
      <c r="W13" s="791"/>
      <c r="X13" s="68"/>
      <c r="Y13" s="198"/>
      <c r="Z13" s="300">
        <f>Z11+1</f>
        <v>5</v>
      </c>
      <c r="AA13" s="314"/>
      <c r="AB13" s="300">
        <f>AB11+1</f>
        <v>21</v>
      </c>
    </row>
    <row r="14" spans="1:30 16368:16380" ht="6" customHeight="1" x14ac:dyDescent="0.25">
      <c r="B14" s="753"/>
      <c r="C14" s="754"/>
      <c r="D14" s="61"/>
      <c r="E14" s="77"/>
      <c r="F14" s="77"/>
      <c r="G14" s="752"/>
      <c r="H14" s="789"/>
      <c r="I14" s="790"/>
      <c r="J14" s="790"/>
      <c r="K14" s="790"/>
      <c r="L14" s="790"/>
      <c r="M14" s="790"/>
      <c r="N14" s="790"/>
      <c r="O14" s="790"/>
      <c r="P14" s="790"/>
      <c r="Q14" s="790"/>
      <c r="R14" s="790"/>
      <c r="S14" s="790"/>
      <c r="T14" s="790"/>
      <c r="U14" s="790"/>
      <c r="V14" s="790"/>
      <c r="W14" s="791"/>
      <c r="X14" s="64"/>
      <c r="Y14" s="94"/>
    </row>
    <row r="15" spans="1:30 16368:16380" ht="15.75" thickBot="1" x14ac:dyDescent="0.3">
      <c r="A15" s="194" t="str">
        <f ca="1">'Formulario OM'!A15</f>
        <v>NEGRITA</v>
      </c>
      <c r="B15" s="749"/>
      <c r="C15" s="750"/>
      <c r="D15" s="750"/>
      <c r="E15" s="750"/>
      <c r="F15" s="750"/>
      <c r="G15" s="752"/>
      <c r="H15" s="792"/>
      <c r="I15" s="793"/>
      <c r="J15" s="793"/>
      <c r="K15" s="793"/>
      <c r="L15" s="793"/>
      <c r="M15" s="793"/>
      <c r="N15" s="793"/>
      <c r="O15" s="793"/>
      <c r="P15" s="793"/>
      <c r="Q15" s="793"/>
      <c r="R15" s="793"/>
      <c r="S15" s="793"/>
      <c r="T15" s="793"/>
      <c r="U15" s="793"/>
      <c r="V15" s="793"/>
      <c r="W15" s="794"/>
      <c r="X15" s="68"/>
      <c r="Y15" s="198"/>
      <c r="Z15" s="300">
        <f>Z13+1</f>
        <v>6</v>
      </c>
      <c r="AA15" s="314"/>
      <c r="AB15" s="300">
        <f>AB13+1</f>
        <v>22</v>
      </c>
    </row>
    <row r="16" spans="1:30 16368:16380" ht="6" customHeight="1" thickTop="1" x14ac:dyDescent="0.25">
      <c r="B16" s="60"/>
      <c r="C16" s="61"/>
      <c r="D16" s="61"/>
      <c r="E16" s="61"/>
      <c r="F16" s="61"/>
      <c r="G16" s="752"/>
      <c r="H16" s="62"/>
      <c r="I16" s="63"/>
      <c r="J16" s="63"/>
      <c r="K16" s="63"/>
      <c r="L16" s="63"/>
      <c r="M16" s="63"/>
      <c r="N16" s="63"/>
      <c r="O16" s="63"/>
      <c r="P16" s="63"/>
      <c r="Q16" s="63"/>
      <c r="R16" s="63"/>
      <c r="S16" s="63"/>
      <c r="T16" s="62"/>
      <c r="U16" s="62"/>
      <c r="V16" s="62"/>
      <c r="W16" s="62"/>
      <c r="X16" s="64"/>
      <c r="Y16" s="94"/>
    </row>
    <row r="17" spans="1:28 16368:16368" ht="15" customHeight="1" x14ac:dyDescent="0.25">
      <c r="A17" s="194" t="str">
        <f ca="1">'Formulario OM'!A17</f>
        <v>ESPACIOS (+1)</v>
      </c>
      <c r="B17" s="702" t="str">
        <f ca="1">F38</f>
        <v>Formato de la Respuesta</v>
      </c>
      <c r="C17" s="881"/>
      <c r="D17" s="881"/>
      <c r="E17" s="881"/>
      <c r="F17" s="881"/>
      <c r="G17" s="881"/>
      <c r="H17" s="878"/>
      <c r="I17" s="878"/>
      <c r="J17" s="878"/>
      <c r="K17" s="878"/>
      <c r="L17" s="878"/>
      <c r="M17" s="878"/>
      <c r="N17" s="878"/>
      <c r="O17" s="878"/>
      <c r="P17" s="63"/>
      <c r="Q17" s="63"/>
      <c r="R17" s="215"/>
      <c r="S17" s="215"/>
      <c r="T17" s="62"/>
      <c r="U17" s="62"/>
      <c r="V17" s="62"/>
      <c r="W17" s="264"/>
      <c r="X17" s="68"/>
      <c r="Y17" s="198"/>
      <c r="Z17" s="300">
        <f>Z15+1</f>
        <v>7</v>
      </c>
      <c r="AA17" s="314"/>
      <c r="AB17" s="300">
        <f>AB15+1</f>
        <v>23</v>
      </c>
    </row>
    <row r="18" spans="1:28 16368:16368" ht="6" customHeight="1" x14ac:dyDescent="0.25">
      <c r="B18" s="60"/>
      <c r="C18" s="61"/>
      <c r="D18" s="61"/>
      <c r="E18" s="61"/>
      <c r="F18" s="61"/>
      <c r="G18" s="61"/>
      <c r="H18" s="62"/>
      <c r="I18" s="63"/>
      <c r="J18" s="63"/>
      <c r="K18" s="63"/>
      <c r="L18" s="63"/>
      <c r="M18" s="63"/>
      <c r="N18" s="63"/>
      <c r="O18" s="63"/>
      <c r="P18" s="63"/>
      <c r="Q18" s="63"/>
      <c r="R18" s="63"/>
      <c r="S18" s="63"/>
      <c r="T18" s="62"/>
      <c r="U18" s="62"/>
      <c r="V18" s="62"/>
      <c r="W18" s="62"/>
      <c r="X18" s="64"/>
      <c r="Y18" s="94"/>
    </row>
    <row r="19" spans="1:28 16368:16368" ht="15.75" customHeight="1" x14ac:dyDescent="0.25">
      <c r="A19" s="194" t="str">
        <f ca="1">'Formulario OM'!A19</f>
        <v>TEXTO ROJO</v>
      </c>
      <c r="B19" s="702" t="str">
        <f ca="1">F43</f>
        <v>Requerir texto</v>
      </c>
      <c r="C19" s="881"/>
      <c r="D19" s="881"/>
      <c r="E19" s="881"/>
      <c r="F19" s="881"/>
      <c r="G19" s="881"/>
      <c r="H19" s="879"/>
      <c r="I19" s="879"/>
      <c r="J19" s="879"/>
      <c r="K19" s="879"/>
      <c r="L19" s="879"/>
      <c r="M19" s="879"/>
      <c r="N19" s="879"/>
      <c r="O19" s="879"/>
      <c r="P19" s="700" t="str">
        <f ca="1">S38</f>
        <v>Tamaño de la caja de entrada</v>
      </c>
      <c r="Q19" s="881"/>
      <c r="R19" s="881"/>
      <c r="S19" s="881"/>
      <c r="T19" s="881"/>
      <c r="U19" s="584"/>
      <c r="V19" s="882" t="str">
        <f ca="1">S39</f>
        <v>líneas</v>
      </c>
      <c r="W19" s="883"/>
      <c r="X19" s="68"/>
      <c r="Y19" s="198"/>
      <c r="Z19" s="300">
        <f>Z17+1</f>
        <v>8</v>
      </c>
      <c r="AA19" s="314"/>
      <c r="AB19" s="300">
        <f>AB17+1</f>
        <v>24</v>
      </c>
    </row>
    <row r="20" spans="1:28 16368:16368" ht="6" customHeight="1" x14ac:dyDescent="0.25">
      <c r="A20" s="195"/>
      <c r="B20" s="60"/>
      <c r="C20" s="61"/>
      <c r="D20" s="61"/>
      <c r="E20" s="61"/>
      <c r="F20" s="61"/>
      <c r="G20" s="61"/>
      <c r="H20" s="62"/>
      <c r="I20" s="63"/>
      <c r="J20" s="63"/>
      <c r="K20" s="63"/>
      <c r="L20" s="63"/>
      <c r="M20" s="63"/>
      <c r="N20" s="63"/>
      <c r="O20" s="63"/>
      <c r="P20" s="63"/>
      <c r="Q20" s="63"/>
      <c r="R20" s="63"/>
      <c r="S20" s="63"/>
      <c r="T20" s="62"/>
      <c r="U20" s="62"/>
      <c r="V20" s="62"/>
      <c r="W20" s="62"/>
      <c r="X20" s="64"/>
      <c r="Y20" s="94"/>
    </row>
    <row r="21" spans="1:28 16368:16368" x14ac:dyDescent="0.25">
      <c r="A21" s="194" t="str">
        <f ca="1">'Formulario OM'!A21</f>
        <v>TEXTO AZUL</v>
      </c>
      <c r="B21" s="702" t="str">
        <f ca="1">F45</f>
        <v>Permitir archivos adjuntos</v>
      </c>
      <c r="C21" s="881"/>
      <c r="D21" s="881"/>
      <c r="E21" s="881"/>
      <c r="F21" s="881"/>
      <c r="G21" s="881"/>
      <c r="H21" s="880"/>
      <c r="I21" s="880"/>
      <c r="J21" s="700" t="str">
        <f ca="1">F50</f>
        <v>Archivos adjuntos requeridos</v>
      </c>
      <c r="K21" s="881"/>
      <c r="L21" s="881"/>
      <c r="M21" s="881"/>
      <c r="N21" s="881"/>
      <c r="O21" s="881"/>
      <c r="P21" s="881"/>
      <c r="Q21" s="879"/>
      <c r="R21" s="879"/>
      <c r="S21" s="879"/>
      <c r="T21" s="879"/>
      <c r="U21" s="879"/>
      <c r="V21" s="879"/>
      <c r="W21" s="879"/>
      <c r="X21" s="68"/>
      <c r="Y21" s="198"/>
      <c r="Z21" s="300">
        <f>Z19+1</f>
        <v>9</v>
      </c>
      <c r="AA21" s="314"/>
      <c r="AB21" s="300">
        <f>AB19+1</f>
        <v>25</v>
      </c>
      <c r="XEN21" s="4" t="str">
        <f>IFERROR(IF(VLOOKUP($L$6,'Datos EN'!$A$5:$AI$5,XEN20)="","",VLOOKUP($L$6,'Datos EN'!$A$5:$AI$5,XEN20,0)),"")</f>
        <v/>
      </c>
    </row>
    <row r="22" spans="1:28 16368:16368" ht="6" customHeight="1" thickBot="1" x14ac:dyDescent="0.3">
      <c r="B22" s="60"/>
      <c r="C22" s="61"/>
      <c r="D22" s="61"/>
      <c r="E22" s="61"/>
      <c r="F22" s="61"/>
      <c r="G22" s="61"/>
      <c r="H22" s="62"/>
      <c r="I22" s="63"/>
      <c r="J22" s="63"/>
      <c r="K22" s="63"/>
      <c r="L22" s="63"/>
      <c r="M22" s="63"/>
      <c r="N22" s="63"/>
      <c r="O22" s="63"/>
      <c r="P22" s="63"/>
      <c r="Q22" s="63"/>
      <c r="R22" s="63"/>
      <c r="S22" s="63"/>
      <c r="T22" s="66"/>
      <c r="U22" s="66"/>
      <c r="V22" s="66"/>
      <c r="W22" s="66"/>
      <c r="X22" s="64"/>
      <c r="Y22" s="94"/>
      <c r="Z22" s="17"/>
    </row>
    <row r="23" spans="1:28 16368:16368" ht="15.75" thickTop="1" x14ac:dyDescent="0.25">
      <c r="A23" s="194" t="str">
        <f ca="1">'Formulario OM'!A23</f>
        <v>OTRO COLOR</v>
      </c>
      <c r="B23" s="702" t="str">
        <f ca="1">S40</f>
        <v>Plantilla de Respuesta</v>
      </c>
      <c r="C23" s="881"/>
      <c r="D23" s="881"/>
      <c r="E23" s="881"/>
      <c r="F23" s="881"/>
      <c r="G23" s="756"/>
      <c r="H23" s="885"/>
      <c r="I23" s="886"/>
      <c r="J23" s="886"/>
      <c r="K23" s="886"/>
      <c r="L23" s="886"/>
      <c r="M23" s="886"/>
      <c r="N23" s="886"/>
      <c r="O23" s="886"/>
      <c r="P23" s="886"/>
      <c r="Q23" s="886"/>
      <c r="R23" s="886"/>
      <c r="S23" s="886"/>
      <c r="T23" s="886"/>
      <c r="U23" s="886"/>
      <c r="V23" s="886"/>
      <c r="W23" s="887"/>
      <c r="X23" s="68"/>
      <c r="Y23" s="198"/>
      <c r="Z23" s="300">
        <f>Z21+1</f>
        <v>10</v>
      </c>
      <c r="AA23" s="314"/>
      <c r="AB23" s="300">
        <f>AB21+1</f>
        <v>26</v>
      </c>
      <c r="XEN23" s="4" t="str">
        <f>IFERROR(IF(VLOOKUP($L$6,'Datos EN'!$A$5:$AI$5,XEN22)="","",VLOOKUP($L$6,'Datos EN'!$A$5:$AI$5,XEN22,0)),"")</f>
        <v/>
      </c>
    </row>
    <row r="24" spans="1:28 16368:16368" ht="6" customHeight="1" thickBot="1" x14ac:dyDescent="0.3">
      <c r="B24" s="65"/>
      <c r="C24" s="66"/>
      <c r="D24" s="66"/>
      <c r="E24" s="66"/>
      <c r="F24" s="66"/>
      <c r="G24" s="66"/>
      <c r="H24" s="888"/>
      <c r="I24" s="889"/>
      <c r="J24" s="889"/>
      <c r="K24" s="889"/>
      <c r="L24" s="889"/>
      <c r="M24" s="889"/>
      <c r="N24" s="889"/>
      <c r="O24" s="889"/>
      <c r="P24" s="889"/>
      <c r="Q24" s="889"/>
      <c r="R24" s="889"/>
      <c r="S24" s="889"/>
      <c r="T24" s="889"/>
      <c r="U24" s="889"/>
      <c r="V24" s="889"/>
      <c r="W24" s="890"/>
      <c r="X24" s="68"/>
      <c r="Y24" s="4"/>
      <c r="Z24" s="17"/>
    </row>
    <row r="25" spans="1:28 16368:16368" ht="15" customHeight="1" thickBot="1" x14ac:dyDescent="0.3">
      <c r="A25" s="737" t="str">
        <f ca="1">'Formulario OM'!A25</f>
        <v>INSERTAR
IMÁGENES</v>
      </c>
      <c r="B25" s="65"/>
      <c r="C25" s="66"/>
      <c r="D25" s="66"/>
      <c r="E25" s="66"/>
      <c r="F25" s="66"/>
      <c r="G25" s="66"/>
      <c r="H25" s="891"/>
      <c r="I25" s="892"/>
      <c r="J25" s="892"/>
      <c r="K25" s="892"/>
      <c r="L25" s="892"/>
      <c r="M25" s="892"/>
      <c r="N25" s="892"/>
      <c r="O25" s="892"/>
      <c r="P25" s="892"/>
      <c r="Q25" s="892"/>
      <c r="R25" s="892"/>
      <c r="S25" s="892"/>
      <c r="T25" s="892"/>
      <c r="U25" s="892"/>
      <c r="V25" s="892"/>
      <c r="W25" s="893"/>
      <c r="X25" s="68"/>
      <c r="Y25" s="198"/>
      <c r="Z25" s="300">
        <f>Z23+1</f>
        <v>11</v>
      </c>
      <c r="AA25" s="314"/>
      <c r="AB25" s="300">
        <f>AB23+1</f>
        <v>27</v>
      </c>
      <c r="XEN25" s="4" t="str">
        <f>IFERROR(IF(VLOOKUP($L$6,'Datos EN'!$A$5:$AI$5,XEN24)="","",VLOOKUP($L$6,'Datos EN'!$A$5:$AI$5,XEN24,0)),"")</f>
        <v/>
      </c>
    </row>
    <row r="26" spans="1:28 16368:16368" ht="6" customHeight="1" thickTop="1" thickBot="1" x14ac:dyDescent="0.3">
      <c r="A26" s="738"/>
      <c r="B26" s="65"/>
      <c r="C26" s="69"/>
      <c r="D26" s="69"/>
      <c r="E26" s="69"/>
      <c r="F26" s="69"/>
      <c r="G26" s="66"/>
      <c r="H26" s="62"/>
      <c r="I26" s="62"/>
      <c r="J26" s="62"/>
      <c r="K26" s="62"/>
      <c r="L26" s="67"/>
      <c r="M26" s="67"/>
      <c r="N26" s="67"/>
      <c r="O26" s="67"/>
      <c r="P26" s="67"/>
      <c r="Q26" s="67"/>
      <c r="R26" s="67"/>
      <c r="S26" s="67"/>
      <c r="T26" s="67"/>
      <c r="U26" s="67"/>
      <c r="V26" s="67"/>
      <c r="W26" s="67"/>
      <c r="X26" s="68"/>
      <c r="Y26" s="94"/>
      <c r="Z26" s="17"/>
    </row>
    <row r="27" spans="1:28 16368:16368" ht="15" customHeight="1" thickTop="1" thickBot="1" x14ac:dyDescent="0.3">
      <c r="A27" s="739"/>
      <c r="B27" s="702" t="str">
        <f ca="1">S41</f>
        <v>Información para el evaluador</v>
      </c>
      <c r="C27" s="881"/>
      <c r="D27" s="881"/>
      <c r="E27" s="881"/>
      <c r="F27" s="881"/>
      <c r="G27" s="756"/>
      <c r="H27" s="885"/>
      <c r="I27" s="886"/>
      <c r="J27" s="886"/>
      <c r="K27" s="886"/>
      <c r="L27" s="886"/>
      <c r="M27" s="886"/>
      <c r="N27" s="886"/>
      <c r="O27" s="886"/>
      <c r="P27" s="886"/>
      <c r="Q27" s="886"/>
      <c r="R27" s="886"/>
      <c r="S27" s="886"/>
      <c r="T27" s="886"/>
      <c r="U27" s="886"/>
      <c r="V27" s="886"/>
      <c r="W27" s="887"/>
      <c r="X27" s="68"/>
      <c r="Y27" s="198"/>
      <c r="Z27" s="300">
        <f>Z25+1</f>
        <v>12</v>
      </c>
      <c r="AA27" s="314"/>
      <c r="AB27" s="300">
        <f>AB25+1</f>
        <v>28</v>
      </c>
      <c r="XEN27" s="4" t="str">
        <f>IFERROR(IF(VLOOKUP($L$6,'Datos EN'!$A$5:$AI$5,XEN26)="","",VLOOKUP($L$6,'Datos EN'!$A$5:$AI$5,XEN26,0)),"")</f>
        <v/>
      </c>
    </row>
    <row r="28" spans="1:28 16368:16368" ht="6" customHeight="1" thickBot="1" x14ac:dyDescent="0.3">
      <c r="B28" s="65"/>
      <c r="C28" s="69"/>
      <c r="D28" s="69"/>
      <c r="E28" s="69"/>
      <c r="F28" s="69"/>
      <c r="G28" s="66"/>
      <c r="H28" s="888"/>
      <c r="I28" s="889"/>
      <c r="J28" s="889"/>
      <c r="K28" s="889"/>
      <c r="L28" s="889"/>
      <c r="M28" s="889"/>
      <c r="N28" s="889"/>
      <c r="O28" s="889"/>
      <c r="P28" s="889"/>
      <c r="Q28" s="889"/>
      <c r="R28" s="889"/>
      <c r="S28" s="889"/>
      <c r="T28" s="889"/>
      <c r="U28" s="889"/>
      <c r="V28" s="889"/>
      <c r="W28" s="890"/>
      <c r="X28" s="68"/>
      <c r="Y28" s="94"/>
      <c r="Z28" s="17"/>
    </row>
    <row r="29" spans="1:28 16368:16368" ht="15" customHeight="1" thickBot="1" x14ac:dyDescent="0.3">
      <c r="A29" s="737" t="str">
        <f ca="1">'Formulario OM'!A29</f>
        <v>USAR DATOS VARIABLES</v>
      </c>
      <c r="B29" s="65"/>
      <c r="C29" s="66"/>
      <c r="D29" s="66"/>
      <c r="E29" s="69"/>
      <c r="F29" s="215"/>
      <c r="G29" s="76">
        <f>'Datos OM'!AF1</f>
        <v>0</v>
      </c>
      <c r="H29" s="891"/>
      <c r="I29" s="892"/>
      <c r="J29" s="892"/>
      <c r="K29" s="892"/>
      <c r="L29" s="892"/>
      <c r="M29" s="892"/>
      <c r="N29" s="892"/>
      <c r="O29" s="892"/>
      <c r="P29" s="892"/>
      <c r="Q29" s="892"/>
      <c r="R29" s="892"/>
      <c r="S29" s="892"/>
      <c r="T29" s="892"/>
      <c r="U29" s="892"/>
      <c r="V29" s="892"/>
      <c r="W29" s="893"/>
      <c r="X29" s="180"/>
      <c r="Y29" s="198"/>
      <c r="Z29" s="300">
        <f>Z27+1</f>
        <v>13</v>
      </c>
      <c r="AA29" s="314"/>
      <c r="AB29" s="300">
        <f>AB27+1</f>
        <v>29</v>
      </c>
    </row>
    <row r="30" spans="1:28 16368:16368" ht="6" customHeight="1" thickTop="1" x14ac:dyDescent="0.25">
      <c r="A30" s="738"/>
      <c r="B30" s="65"/>
      <c r="C30" s="69"/>
      <c r="D30" s="69"/>
      <c r="E30" s="69"/>
      <c r="F30" s="77"/>
      <c r="G30" s="66"/>
      <c r="H30" s="76"/>
      <c r="I30" s="76"/>
      <c r="J30" s="70"/>
      <c r="K30" s="70"/>
      <c r="L30" s="70"/>
      <c r="M30" s="70"/>
      <c r="N30" s="70"/>
      <c r="O30" s="70"/>
      <c r="P30" s="70"/>
      <c r="Q30" s="70"/>
      <c r="R30" s="179"/>
      <c r="S30" s="179"/>
      <c r="T30" s="179"/>
      <c r="U30" s="179"/>
      <c r="V30" s="179"/>
      <c r="W30" s="179"/>
      <c r="X30" s="180"/>
      <c r="Y30" s="94"/>
      <c r="Z30" s="17"/>
    </row>
    <row r="31" spans="1:28 16368:16368" ht="15.75" thickBot="1" x14ac:dyDescent="0.3">
      <c r="A31" s="739"/>
      <c r="B31" s="65"/>
      <c r="C31" s="66"/>
      <c r="D31" s="66"/>
      <c r="E31" s="76"/>
      <c r="F31" s="77"/>
      <c r="G31" s="215"/>
      <c r="H31" s="265"/>
      <c r="I31" s="265"/>
      <c r="J31" s="265"/>
      <c r="K31" s="265"/>
      <c r="L31" s="265"/>
      <c r="M31" s="265"/>
      <c r="N31" s="265"/>
      <c r="O31" s="265"/>
      <c r="P31" s="265"/>
      <c r="Q31" s="265"/>
      <c r="R31" s="179"/>
      <c r="S31" s="697"/>
      <c r="T31" s="697"/>
      <c r="U31" s="697"/>
      <c r="V31" s="697"/>
      <c r="W31" s="697"/>
      <c r="X31" s="783"/>
      <c r="Y31" s="198"/>
      <c r="Z31" s="300">
        <f>Z29+1</f>
        <v>14</v>
      </c>
      <c r="AA31" s="314"/>
      <c r="AB31" s="300">
        <f>AB29+1</f>
        <v>30</v>
      </c>
    </row>
    <row r="32" spans="1:28 16368:16368" ht="6" customHeight="1" x14ac:dyDescent="0.25">
      <c r="A32" s="195"/>
      <c r="B32" s="65"/>
      <c r="C32" s="747" t="s">
        <v>138</v>
      </c>
      <c r="D32" s="747"/>
      <c r="E32" s="76"/>
      <c r="F32" s="77"/>
      <c r="G32" s="76"/>
      <c r="H32" s="76"/>
      <c r="I32" s="76"/>
      <c r="J32" s="260"/>
      <c r="K32" s="260"/>
      <c r="L32" s="260"/>
      <c r="M32" s="76"/>
      <c r="N32" s="260"/>
      <c r="O32" s="260"/>
      <c r="P32" s="260"/>
      <c r="Q32" s="260"/>
      <c r="R32" s="179"/>
      <c r="S32" s="697"/>
      <c r="T32" s="697"/>
      <c r="U32" s="697"/>
      <c r="V32" s="697"/>
      <c r="W32" s="697"/>
      <c r="X32" s="783"/>
      <c r="Y32" s="94"/>
    </row>
    <row r="33" spans="1:28" ht="15" customHeight="1" x14ac:dyDescent="0.25">
      <c r="A33" s="194" t="str">
        <f ca="1">'Formulario OM'!A33</f>
        <v>ACTIVAR</v>
      </c>
      <c r="B33" s="65"/>
      <c r="C33" s="747"/>
      <c r="D33" s="747"/>
      <c r="E33" s="76"/>
      <c r="F33" s="261"/>
      <c r="G33" s="884"/>
      <c r="H33" s="884"/>
      <c r="I33" s="884"/>
      <c r="J33" s="884"/>
      <c r="K33" s="884"/>
      <c r="L33" s="261"/>
      <c r="M33" s="884"/>
      <c r="N33" s="884"/>
      <c r="O33" s="884"/>
      <c r="P33" s="884"/>
      <c r="Q33" s="884"/>
      <c r="R33" s="179"/>
      <c r="S33" s="697"/>
      <c r="T33" s="697"/>
      <c r="U33" s="697"/>
      <c r="V33" s="697"/>
      <c r="W33" s="697"/>
      <c r="X33" s="783"/>
      <c r="Y33" s="198"/>
      <c r="Z33" s="300">
        <f>Z31+1</f>
        <v>15</v>
      </c>
      <c r="AA33" s="314"/>
      <c r="AB33" s="300">
        <f>AB31+1</f>
        <v>31</v>
      </c>
    </row>
    <row r="34" spans="1:28" ht="6" customHeight="1" thickBot="1" x14ac:dyDescent="0.3">
      <c r="A34" s="2"/>
      <c r="B34" s="65"/>
      <c r="C34" s="747"/>
      <c r="D34" s="747"/>
      <c r="E34" s="76"/>
      <c r="F34" s="77"/>
      <c r="G34" s="263"/>
      <c r="H34" s="263"/>
      <c r="I34" s="263"/>
      <c r="J34" s="262"/>
      <c r="K34" s="262"/>
      <c r="L34" s="262"/>
      <c r="M34" s="263"/>
      <c r="N34" s="262"/>
      <c r="O34" s="262"/>
      <c r="P34" s="262"/>
      <c r="Q34" s="262"/>
      <c r="R34" s="179"/>
      <c r="S34" s="697"/>
      <c r="T34" s="697"/>
      <c r="U34" s="697"/>
      <c r="V34" s="697"/>
      <c r="W34" s="697"/>
      <c r="X34" s="783"/>
      <c r="Y34" s="94"/>
    </row>
    <row r="35" spans="1:28" ht="15" customHeight="1" x14ac:dyDescent="0.25">
      <c r="A35" s="194" t="str">
        <f ca="1">'Formulario OM'!A35</f>
        <v>DESACTIVAR</v>
      </c>
      <c r="B35" s="65"/>
      <c r="C35" s="747"/>
      <c r="D35" s="747"/>
      <c r="E35" s="76"/>
      <c r="F35" s="261"/>
      <c r="G35" s="884"/>
      <c r="H35" s="884"/>
      <c r="I35" s="884"/>
      <c r="J35" s="884"/>
      <c r="K35" s="884"/>
      <c r="L35" s="261"/>
      <c r="M35" s="884"/>
      <c r="N35" s="884"/>
      <c r="O35" s="884"/>
      <c r="P35" s="884"/>
      <c r="Q35" s="884"/>
      <c r="R35" s="179"/>
      <c r="S35" s="697"/>
      <c r="T35" s="697"/>
      <c r="U35" s="697"/>
      <c r="V35" s="697"/>
      <c r="W35" s="697"/>
      <c r="X35" s="783"/>
      <c r="Y35" s="198"/>
      <c r="Z35" s="300">
        <f>Z33+1</f>
        <v>16</v>
      </c>
      <c r="AA35" s="314"/>
      <c r="AB35" s="300">
        <f>AB33+1</f>
        <v>32</v>
      </c>
    </row>
    <row r="36" spans="1:28" ht="9.9499999999999993" customHeight="1" thickBot="1" x14ac:dyDescent="0.3">
      <c r="A36" s="653" t="str">
        <f>IF(AB2&gt;0,AB2,"")</f>
        <v/>
      </c>
      <c r="B36" s="315"/>
      <c r="C36" s="336" t="str">
        <f>Version</f>
        <v xml:space="preserve">   V - 5.0 </v>
      </c>
      <c r="D36" s="72"/>
      <c r="E36" s="72"/>
      <c r="F36" s="233"/>
      <c r="G36" s="72"/>
      <c r="H36" s="72"/>
      <c r="I36" s="72"/>
      <c r="J36" s="72"/>
      <c r="K36" s="72"/>
      <c r="L36" s="72"/>
      <c r="M36" s="72"/>
      <c r="N36" s="72"/>
      <c r="O36" s="72"/>
      <c r="P36" s="72"/>
      <c r="Q36" s="72"/>
      <c r="R36" s="181"/>
      <c r="S36" s="784"/>
      <c r="T36" s="784"/>
      <c r="U36" s="784"/>
      <c r="V36" s="784"/>
      <c r="W36" s="784"/>
      <c r="X36" s="785"/>
      <c r="Y36" s="94"/>
    </row>
    <row r="37" spans="1:28" s="3" customFormat="1" ht="15.75" hidden="1" customHeight="1" thickTop="1" x14ac:dyDescent="0.25">
      <c r="G37" s="48">
        <v>701</v>
      </c>
      <c r="M37" s="302" t="b">
        <v>1</v>
      </c>
      <c r="N37" s="48" t="b">
        <f>Centrar_Tabla</f>
        <v>1</v>
      </c>
      <c r="Y37" s="6"/>
    </row>
    <row r="38" spans="1:28" s="3" customFormat="1" ht="15" hidden="1" customHeight="1" x14ac:dyDescent="0.25">
      <c r="A38" s="6"/>
      <c r="B38" s="281" t="s">
        <v>198</v>
      </c>
      <c r="C38" s="18"/>
      <c r="D38" s="18"/>
      <c r="E38" s="18"/>
      <c r="F38" s="282" t="str">
        <f ca="1">INDIRECT("Z_EN_"&amp;B38&amp;"_"&amp;IDIOMA)</f>
        <v>Formato de la Respuesta</v>
      </c>
      <c r="G38" s="271" t="s">
        <v>206</v>
      </c>
      <c r="H38" s="266" t="str">
        <f ca="1">INDIRECT("Z_EN_"&amp;G38&amp;"_"&amp;IDIOMA)</f>
        <v>Editor HTML</v>
      </c>
      <c r="I38" s="266"/>
      <c r="J38" s="286" t="s">
        <v>1199</v>
      </c>
      <c r="K38" s="266"/>
      <c r="L38" s="266"/>
      <c r="M38" s="266"/>
      <c r="N38" s="266"/>
      <c r="O38" s="267"/>
      <c r="P38" s="3">
        <v>5</v>
      </c>
      <c r="R38" s="284" t="s">
        <v>200</v>
      </c>
      <c r="S38" s="6" t="str">
        <f ca="1">INDIRECT("Z_EN_"&amp;R38&amp;"_"&amp;IDIOMA)</f>
        <v>Tamaño de la caja de entrada</v>
      </c>
      <c r="Y38" s="6"/>
    </row>
    <row r="39" spans="1:28" s="3" customFormat="1" ht="15" hidden="1" customHeight="1" x14ac:dyDescent="0.25">
      <c r="A39" s="6"/>
      <c r="G39" s="272" t="s">
        <v>207</v>
      </c>
      <c r="H39" s="6" t="str">
        <f t="shared" ref="H39:H44" ca="1" si="0">INDIRECT("Z_EN_"&amp;G39&amp;"_"&amp;IDIOMA)</f>
        <v>Editor HTML con selector de archivos</v>
      </c>
      <c r="I39" s="6"/>
      <c r="J39" s="287" t="s">
        <v>1200</v>
      </c>
      <c r="K39" s="6"/>
      <c r="L39" s="6"/>
      <c r="M39" s="6"/>
      <c r="N39" s="6"/>
      <c r="O39" s="268"/>
      <c r="P39" s="3">
        <v>10</v>
      </c>
      <c r="R39" s="284" t="s">
        <v>201</v>
      </c>
      <c r="S39" s="6" t="str">
        <f ca="1">INDIRECT("Z_EN_"&amp;R39&amp;"_"&amp;IDIOMA)</f>
        <v>líneas</v>
      </c>
      <c r="Y39" s="6"/>
    </row>
    <row r="40" spans="1:28" s="3" customFormat="1" ht="15" hidden="1" customHeight="1" x14ac:dyDescent="0.25">
      <c r="A40" s="6"/>
      <c r="G40" s="272" t="s">
        <v>208</v>
      </c>
      <c r="H40" s="6" t="str">
        <f t="shared" ca="1" si="0"/>
        <v>Texto sin formato</v>
      </c>
      <c r="I40" s="6"/>
      <c r="J40" s="287" t="s">
        <v>1201</v>
      </c>
      <c r="K40" s="6"/>
      <c r="L40" s="6"/>
      <c r="M40" s="6"/>
      <c r="N40" s="6"/>
      <c r="O40" s="268"/>
      <c r="P40" s="3">
        <v>15</v>
      </c>
      <c r="R40" s="284" t="s">
        <v>204</v>
      </c>
      <c r="S40" s="6" t="str">
        <f ca="1">INDIRECT("Z_EN_"&amp;R40&amp;"_"&amp;IDIOMA)</f>
        <v>Plantilla de Respuesta</v>
      </c>
      <c r="Y40" s="6"/>
    </row>
    <row r="41" spans="1:28" s="3" customFormat="1" ht="15.75" hidden="1" customHeight="1" x14ac:dyDescent="0.25">
      <c r="A41" s="199"/>
      <c r="G41" s="272" t="s">
        <v>209</v>
      </c>
      <c r="H41" s="6" t="str">
        <f t="shared" ca="1" si="0"/>
        <v>Texto sin formato, tipografía monoespaciada</v>
      </c>
      <c r="I41" s="6"/>
      <c r="J41" s="287" t="s">
        <v>1202</v>
      </c>
      <c r="K41" s="6"/>
      <c r="L41" s="6"/>
      <c r="M41" s="6"/>
      <c r="N41" s="6"/>
      <c r="O41" s="268"/>
      <c r="P41" s="3">
        <v>20</v>
      </c>
      <c r="R41" s="284" t="s">
        <v>205</v>
      </c>
      <c r="S41" s="6" t="str">
        <f ca="1">INDIRECT("Z_EN_"&amp;R41&amp;"_"&amp;IDIOMA)</f>
        <v>Información para el evaluador</v>
      </c>
      <c r="Y41" s="6"/>
    </row>
    <row r="42" spans="1:28" s="3" customFormat="1" ht="15" hidden="1" customHeight="1" x14ac:dyDescent="0.25">
      <c r="A42" s="6"/>
      <c r="G42" s="272" t="s">
        <v>210</v>
      </c>
      <c r="H42" s="6" t="str">
        <f t="shared" ca="1" si="0"/>
        <v>Sin texto</v>
      </c>
      <c r="I42" s="6"/>
      <c r="J42" s="287" t="s">
        <v>1203</v>
      </c>
      <c r="K42" s="6"/>
      <c r="L42" s="6"/>
      <c r="M42" s="6"/>
      <c r="N42" s="6"/>
      <c r="O42" s="268"/>
      <c r="P42" s="3">
        <v>25</v>
      </c>
      <c r="Y42" s="6"/>
    </row>
    <row r="43" spans="1:28" s="3" customFormat="1" ht="15" hidden="1" customHeight="1" x14ac:dyDescent="0.25">
      <c r="A43" s="6"/>
      <c r="B43" s="283" t="s">
        <v>199</v>
      </c>
      <c r="F43" s="282" t="str">
        <f ca="1">INDIRECT("Z_EN_"&amp;B43&amp;"_"&amp;IDIOMA)</f>
        <v>Requerir texto</v>
      </c>
      <c r="G43" s="271" t="s">
        <v>211</v>
      </c>
      <c r="H43" s="266" t="str">
        <f t="shared" ca="1" si="0"/>
        <v>Requerir al estudiante que introduzca texto</v>
      </c>
      <c r="I43" s="266"/>
      <c r="J43" s="286">
        <v>1</v>
      </c>
      <c r="K43" s="266"/>
      <c r="L43" s="266"/>
      <c r="M43" s="266"/>
      <c r="N43" s="266"/>
      <c r="O43" s="267"/>
      <c r="P43" s="3">
        <v>30</v>
      </c>
      <c r="Y43" s="6"/>
    </row>
    <row r="44" spans="1:28" s="3" customFormat="1" ht="15" hidden="1" customHeight="1" x14ac:dyDescent="0.25">
      <c r="A44" s="6"/>
      <c r="G44" s="273" t="s">
        <v>212</v>
      </c>
      <c r="H44" s="269" t="str">
        <f t="shared" ca="1" si="0"/>
        <v>El texto es opcional</v>
      </c>
      <c r="I44" s="269"/>
      <c r="J44" s="288">
        <v>0</v>
      </c>
      <c r="K44" s="269"/>
      <c r="L44" s="269"/>
      <c r="M44" s="269"/>
      <c r="N44" s="269"/>
      <c r="O44" s="270"/>
      <c r="P44" s="3">
        <v>35</v>
      </c>
      <c r="Y44" s="6"/>
    </row>
    <row r="45" spans="1:28" s="3" customFormat="1" ht="15" hidden="1" customHeight="1" x14ac:dyDescent="0.25">
      <c r="A45" s="6"/>
      <c r="B45" s="283" t="s">
        <v>202</v>
      </c>
      <c r="F45" s="282" t="str">
        <f ca="1">INDIRECT("Z_EN_"&amp;B45&amp;"_"&amp;IDIOMA)</f>
        <v>Permitir archivos adjuntos</v>
      </c>
      <c r="G45" s="276">
        <v>16</v>
      </c>
      <c r="H45" s="275" t="s">
        <v>1117</v>
      </c>
      <c r="I45" s="266"/>
      <c r="J45" s="286">
        <v>0</v>
      </c>
      <c r="K45" s="266"/>
      <c r="L45" s="266"/>
      <c r="M45" s="266"/>
      <c r="N45" s="266"/>
      <c r="O45" s="267"/>
      <c r="P45" s="3">
        <v>40</v>
      </c>
      <c r="Y45" s="6"/>
    </row>
    <row r="46" spans="1:28" s="3" customFormat="1" ht="15" hidden="1" customHeight="1" x14ac:dyDescent="0.25">
      <c r="B46" s="283"/>
      <c r="F46" s="282"/>
      <c r="G46" s="277"/>
      <c r="H46" s="274">
        <v>1</v>
      </c>
      <c r="I46" s="6"/>
      <c r="J46" s="287">
        <v>1</v>
      </c>
      <c r="K46" s="6"/>
      <c r="L46" s="6"/>
      <c r="M46" s="6"/>
      <c r="N46" s="6"/>
      <c r="O46" s="268"/>
      <c r="Y46" s="6"/>
    </row>
    <row r="47" spans="1:28" s="3" customFormat="1" ht="15" hidden="1" customHeight="1" x14ac:dyDescent="0.25">
      <c r="A47"/>
      <c r="F47" s="278"/>
      <c r="G47" s="277"/>
      <c r="H47" s="274">
        <v>2</v>
      </c>
      <c r="I47" s="6"/>
      <c r="J47" s="287">
        <v>2</v>
      </c>
      <c r="K47" s="6"/>
      <c r="L47" s="6"/>
      <c r="M47" s="6"/>
      <c r="N47" s="6"/>
      <c r="O47" s="268"/>
      <c r="Y47" s="6"/>
    </row>
    <row r="48" spans="1:28" s="3" customFormat="1" ht="15" hidden="1" customHeight="1" x14ac:dyDescent="0.25">
      <c r="A48"/>
      <c r="F48" s="278"/>
      <c r="G48" s="277"/>
      <c r="H48" s="274">
        <v>3</v>
      </c>
      <c r="I48" s="6"/>
      <c r="J48" s="287">
        <v>3</v>
      </c>
      <c r="K48" s="6"/>
      <c r="L48" s="6"/>
      <c r="M48" s="6"/>
      <c r="N48" s="6"/>
      <c r="O48" s="268"/>
      <c r="Y48" s="6"/>
    </row>
    <row r="49" spans="1:25" s="3" customFormat="1" ht="15" hidden="1" customHeight="1" x14ac:dyDescent="0.25">
      <c r="A49"/>
      <c r="F49" s="278"/>
      <c r="G49" s="272">
        <v>17</v>
      </c>
      <c r="H49" s="6" t="str">
        <f ca="1">INDIRECT("Z_EN_"&amp;G49&amp;"_"&amp;IDIOMA)</f>
        <v>Sin límites</v>
      </c>
      <c r="I49" s="6"/>
      <c r="J49" s="287">
        <v>-1</v>
      </c>
      <c r="K49" s="6"/>
      <c r="L49" s="6"/>
      <c r="M49" s="6"/>
      <c r="N49" s="6"/>
      <c r="O49" s="268"/>
      <c r="Y49" s="6"/>
    </row>
    <row r="50" spans="1:25" s="3" customFormat="1" ht="15" hidden="1" customHeight="1" x14ac:dyDescent="0.25">
      <c r="A50"/>
      <c r="B50" s="283" t="s">
        <v>203</v>
      </c>
      <c r="F50" s="282" t="str">
        <f ca="1">INDIRECT("Z_EN_"&amp;B50&amp;"_"&amp;IDIOMA)</f>
        <v>Archivos adjuntos requeridos</v>
      </c>
      <c r="G50" s="271">
        <v>18</v>
      </c>
      <c r="H50" s="266" t="str">
        <f ca="1">INDIRECT("Z_EN_"&amp;G50&amp;"_"&amp;IDIOMA)</f>
        <v>Los archivos adjuntos son opcionales</v>
      </c>
      <c r="I50" s="266"/>
      <c r="J50" s="286">
        <v>0</v>
      </c>
      <c r="K50" s="266"/>
      <c r="L50" s="266"/>
      <c r="M50" s="266"/>
      <c r="N50" s="266"/>
      <c r="O50" s="267"/>
      <c r="Y50" s="6"/>
    </row>
    <row r="51" spans="1:25" s="3" customFormat="1" ht="15" hidden="1" customHeight="1" x14ac:dyDescent="0.25">
      <c r="A51"/>
      <c r="G51" s="277"/>
      <c r="H51" s="274">
        <v>1</v>
      </c>
      <c r="I51" s="6"/>
      <c r="J51" s="287">
        <v>1</v>
      </c>
      <c r="K51" s="6"/>
      <c r="L51" s="6"/>
      <c r="M51" s="6"/>
      <c r="N51" s="6"/>
      <c r="O51" s="268"/>
      <c r="Y51" s="6"/>
    </row>
    <row r="52" spans="1:25" s="3" customFormat="1" ht="15" hidden="1" customHeight="1" x14ac:dyDescent="0.25">
      <c r="A52"/>
      <c r="G52" s="277"/>
      <c r="H52" s="274">
        <v>2</v>
      </c>
      <c r="I52" s="6"/>
      <c r="J52" s="287">
        <v>2</v>
      </c>
      <c r="K52" s="6"/>
      <c r="L52" s="6"/>
      <c r="M52" s="6"/>
      <c r="N52" s="6"/>
      <c r="O52" s="268"/>
      <c r="Y52" s="6"/>
    </row>
    <row r="53" spans="1:25" s="3" customFormat="1" ht="15" hidden="1" customHeight="1" x14ac:dyDescent="0.25">
      <c r="A53"/>
      <c r="G53" s="280"/>
      <c r="H53" s="279">
        <v>3</v>
      </c>
      <c r="I53" s="269"/>
      <c r="J53" s="288">
        <v>3</v>
      </c>
      <c r="K53" s="269"/>
      <c r="L53" s="269"/>
      <c r="M53" s="269"/>
      <c r="N53" s="269"/>
      <c r="O53" s="270"/>
      <c r="Y53" s="6"/>
    </row>
    <row r="54" spans="1:25" s="3" customFormat="1" ht="5.0999999999999996" customHeight="1" thickTop="1" x14ac:dyDescent="0.25">
      <c r="A54"/>
      <c r="Y54" s="6"/>
    </row>
    <row r="55" spans="1:25" s="3" customFormat="1" x14ac:dyDescent="0.25">
      <c r="A55"/>
      <c r="Y55" s="6"/>
    </row>
    <row r="56" spans="1:25" s="3" customFormat="1" hidden="1" x14ac:dyDescent="0.25">
      <c r="A56"/>
      <c r="Y56" s="6"/>
    </row>
    <row r="57" spans="1:25" s="3" customFormat="1" hidden="1" x14ac:dyDescent="0.25">
      <c r="A57"/>
      <c r="Y57" s="6"/>
    </row>
    <row r="58" spans="1:25" s="3" customFormat="1" hidden="1" x14ac:dyDescent="0.25">
      <c r="A58"/>
      <c r="Y58" s="6"/>
    </row>
    <row r="59" spans="1:25" s="3" customFormat="1" hidden="1" x14ac:dyDescent="0.25">
      <c r="A59"/>
      <c r="Y59" s="6"/>
    </row>
    <row r="60" spans="1:25" s="3" customFormat="1" hidden="1" x14ac:dyDescent="0.25">
      <c r="A60"/>
      <c r="Y60" s="6"/>
    </row>
    <row r="61" spans="1:25" s="3" customFormat="1" hidden="1" x14ac:dyDescent="0.25">
      <c r="A61"/>
      <c r="Y61" s="6"/>
    </row>
    <row r="62" spans="1:25" s="3" customFormat="1" hidden="1" x14ac:dyDescent="0.25">
      <c r="A62"/>
      <c r="Y62" s="6"/>
    </row>
    <row r="63" spans="1:25" s="3" customFormat="1" hidden="1" x14ac:dyDescent="0.25">
      <c r="A63"/>
      <c r="Y63" s="6"/>
    </row>
    <row r="64" spans="1:25" s="3" customFormat="1" hidden="1" x14ac:dyDescent="0.25">
      <c r="A64"/>
      <c r="Y64" s="6"/>
    </row>
    <row r="65" spans="1:25" s="3" customFormat="1" hidden="1" x14ac:dyDescent="0.25">
      <c r="A65"/>
      <c r="Y65" s="6"/>
    </row>
    <row r="66" spans="1:25" s="3" customFormat="1" hidden="1" x14ac:dyDescent="0.25">
      <c r="A66"/>
      <c r="Y66" s="6"/>
    </row>
    <row r="67" spans="1:25" s="3" customFormat="1" hidden="1" x14ac:dyDescent="0.25">
      <c r="A67"/>
      <c r="Y67" s="6"/>
    </row>
    <row r="68" spans="1:25" s="3" customFormat="1" hidden="1" x14ac:dyDescent="0.25">
      <c r="A68"/>
      <c r="Y68" s="6"/>
    </row>
    <row r="69" spans="1:25" s="3" customFormat="1" hidden="1" x14ac:dyDescent="0.25">
      <c r="A69"/>
      <c r="Y69" s="6"/>
    </row>
    <row r="70" spans="1:25" s="3" customFormat="1" hidden="1" x14ac:dyDescent="0.25">
      <c r="A70"/>
      <c r="Y70" s="6"/>
    </row>
    <row r="71" spans="1:25" s="3" customFormat="1" hidden="1" x14ac:dyDescent="0.25">
      <c r="A71"/>
      <c r="Y71" s="6"/>
    </row>
    <row r="72" spans="1:25" s="3" customFormat="1" hidden="1" x14ac:dyDescent="0.25">
      <c r="A72"/>
      <c r="Y72" s="6"/>
    </row>
  </sheetData>
  <sheetProtection algorithmName="SHA-512" hashValue="IEorWAmH+5EJjfr3U4bbsi1fZWuafENjYE93hSyFXNwbBkJhGt+PiGVDeJq83XF8XqtNEPcPDSXKDgZ+fTT6rw==" saltValue="wzCxa4ZNiXJlX/ksv/rRlg==" spinCount="100000" sheet="1" objects="1" scenarios="1" selectLockedCells="1"/>
  <mergeCells count="50">
    <mergeCell ref="I5:K5"/>
    <mergeCell ref="H11:W15"/>
    <mergeCell ref="D13:G13"/>
    <mergeCell ref="B12:C14"/>
    <mergeCell ref="B15:F15"/>
    <mergeCell ref="G14:G16"/>
    <mergeCell ref="R5:W5"/>
    <mergeCell ref="H7:M7"/>
    <mergeCell ref="V8:W8"/>
    <mergeCell ref="H9:M9"/>
    <mergeCell ref="V9:W9"/>
    <mergeCell ref="Q7:W7"/>
    <mergeCell ref="M4:M6"/>
    <mergeCell ref="N7:P7"/>
    <mergeCell ref="N5:Q5"/>
    <mergeCell ref="B5:G5"/>
    <mergeCell ref="A1:A3"/>
    <mergeCell ref="B1:K3"/>
    <mergeCell ref="Y1:Y3"/>
    <mergeCell ref="L2:M2"/>
    <mergeCell ref="N2:O2"/>
    <mergeCell ref="P2:Q2"/>
    <mergeCell ref="R2:S2"/>
    <mergeCell ref="T2:U2"/>
    <mergeCell ref="V2:W2"/>
    <mergeCell ref="A29:A31"/>
    <mergeCell ref="S31:X36"/>
    <mergeCell ref="C32:D35"/>
    <mergeCell ref="G33:K33"/>
    <mergeCell ref="H23:W25"/>
    <mergeCell ref="H27:W29"/>
    <mergeCell ref="M33:Q33"/>
    <mergeCell ref="G35:K35"/>
    <mergeCell ref="M35:Q35"/>
    <mergeCell ref="B23:G23"/>
    <mergeCell ref="B27:G27"/>
    <mergeCell ref="A25:A27"/>
    <mergeCell ref="Q21:W21"/>
    <mergeCell ref="B17:G17"/>
    <mergeCell ref="B19:G19"/>
    <mergeCell ref="B21:G21"/>
    <mergeCell ref="J21:P21"/>
    <mergeCell ref="P19:T19"/>
    <mergeCell ref="V19:W19"/>
    <mergeCell ref="B7:G7"/>
    <mergeCell ref="H17:O17"/>
    <mergeCell ref="H19:O19"/>
    <mergeCell ref="H21:I21"/>
    <mergeCell ref="B9:G9"/>
    <mergeCell ref="B11:G11"/>
  </mergeCells>
  <conditionalFormatting sqref="Q21 J21">
    <cfRule type="expression" dxfId="320" priority="10">
      <formula>$H$21="NO"</formula>
    </cfRule>
  </conditionalFormatting>
  <conditionalFormatting sqref="H19 B19 U19:V19 P19">
    <cfRule type="expression" dxfId="319" priority="9">
      <formula>$H$17="Sin texto"</formula>
    </cfRule>
  </conditionalFormatting>
  <conditionalFormatting sqref="H21:I21 Q21">
    <cfRule type="expression" dxfId="318" priority="8">
      <formula>$H$17="Sin texto"</formula>
    </cfRule>
  </conditionalFormatting>
  <conditionalFormatting sqref="H21:I21">
    <cfRule type="expression" dxfId="317" priority="7" stopIfTrue="1">
      <formula>AND($H$21=$H$45,$H$17=$H$42)</formula>
    </cfRule>
  </conditionalFormatting>
  <conditionalFormatting sqref="Q21">
    <cfRule type="expression" dxfId="316" priority="6" stopIfTrue="1">
      <formula>OR(AND($H$17=$H$42,$Q$21=$H$50),IF($H$50&lt;&gt;$Q$21,$Q$21&gt;$H$21))</formula>
    </cfRule>
  </conditionalFormatting>
  <conditionalFormatting sqref="D22:W22 H23:W23 B23 D24:W26 D28:W30 H27:W27 B27">
    <cfRule type="expression" dxfId="315" priority="5">
      <formula>$H$17=$H$42</formula>
    </cfRule>
  </conditionalFormatting>
  <conditionalFormatting sqref="AA2">
    <cfRule type="expression" dxfId="314" priority="2">
      <formula>$Z$2="OK"</formula>
    </cfRule>
  </conditionalFormatting>
  <conditionalFormatting sqref="B23 B27">
    <cfRule type="expression" dxfId="313" priority="1">
      <formula>$H$17=$H$42</formula>
    </cfRule>
  </conditionalFormatting>
  <dataValidations count="11">
    <dataValidation allowBlank="1" showErrorMessage="1" promptTitle="Retroalimentación" prompt="Escribe el comentario que quieres que aparezca para la respuesta incorrecta." sqref="H27"/>
    <dataValidation allowBlank="1" showErrorMessage="1" promptTitle="Retroalimentación" prompt="Escribe el comentario que quieres que aparezca para la respuesta correcta" sqref="H23"/>
    <dataValidation allowBlank="1" showErrorMessage="1" promptTitle="Enunciado de la pregunta" prompt="Escribe el enunciado de la pregunta. Si quieres poner CÓDIGOS ESPECIALES, pincha F2 o haz &quot;clic&quot; dos veces con el ratón." sqref="H11"/>
    <dataValidation allowBlank="1" showErrorMessage="1" promptTitle="Descripción" prompt="Escirbe lo que quieras que aparezca en el NOMBRE de la pregunta. Éste se formará con el PREFIJO puesto en Datos Generales + el número de la pregunta + la Descripción." sqref="H9:M9"/>
    <dataValidation allowBlank="1" showErrorMessage="1" promptTitle="Nº Pregunta" prompt="Número de la PREGUNTA que se está consultando. Si quires que el primer número de este banco de preguntas sea mayor (11, 21, 31...) incrementa el rango en la casilla Nº INICIAL del BANCO de PREGUNTAS." sqref="L5"/>
    <dataValidation type="whole" allowBlank="1" showInputMessage="1" showErrorMessage="1" sqref="H5">
      <formula1>1</formula1>
      <formula2>1000</formula2>
    </dataValidation>
    <dataValidation type="list" allowBlank="1" showErrorMessage="1" promptTitle="Respuestas" prompt="Escribe VERDADERO o FALSO" sqref="H17">
      <formula1>$H$38:$H$42</formula1>
    </dataValidation>
    <dataValidation type="list" showInputMessage="1" showErrorMessage="1" sqref="U19">
      <formula1>IF(FR_EN=$H$42,$H$37,$P$38:$P$45)</formula1>
    </dataValidation>
    <dataValidation type="list" showInputMessage="1" showErrorMessage="1" sqref="H21:I21">
      <formula1>IF(FR_EN=$H$42,$H$46:$H$49,$H$45:$H$49)</formula1>
    </dataValidation>
    <dataValidation type="list" showInputMessage="1" showErrorMessage="1" sqref="H19:O19">
      <formula1>IF(FR_EN=$H$42,$H$37,$H$43:$H$44)</formula1>
    </dataValidation>
    <dataValidation type="list" showInputMessage="1" showErrorMessage="1" sqref="Q21:W21">
      <formula1>IF(PA_EN=$H$45,$H$37,IF(FR_EN=$H$42,$H$51:$H$53,$H$50:$H$53))</formula1>
    </dataValidation>
  </dataValidations>
  <hyperlinks>
    <hyperlink ref="B1:K3" r:id="rId1" display="https://youtu.be/82WmbR3vKeQ"/>
  </hyperlinks>
  <printOptions horizontalCentered="1" verticalCentered="1"/>
  <pageMargins left="0.59055118110236227" right="0.59055118110236227" top="0.78740157480314965" bottom="0.78740157480314965" header="0.78740157480314965" footer="0.78740157480314965"/>
  <pageSetup paperSize="9" scale="84" orientation="landscape" horizontalDpi="1200" verticalDpi="1200" r:id="rId2"/>
  <headerFooter>
    <oddHeader>&amp;L&amp;G&amp;C&amp;"-,Negrita"&amp;12Elaborado por
MILAGROS HUERTA GÓMEZ DE MERODIO
(Universidad de Cádiz)&amp;R&amp;A</oddHeader>
    <oddFooter>&amp;C&amp;F&amp;RPg. &amp;P/&amp;N</oddFooter>
  </headerFooter>
  <drawing r:id="rId3"/>
  <legacyDrawing r:id="rId4"/>
  <legacyDrawingHF r:id="rId5"/>
  <mc:AlternateContent xmlns:mc="http://schemas.openxmlformats.org/markup-compatibility/2006">
    <mc:Choice Requires="x14">
      <controls>
        <mc:AlternateContent xmlns:mc="http://schemas.openxmlformats.org/markup-compatibility/2006">
          <mc:Choice Requires="x14">
            <control shapeId="32769" r:id="rId6" name="Contador 10">
              <controlPr defaultSize="0" autoPict="0" macro="[0]!Cambiar_N_I_Banco_Preguntas" altText="Para consultar los datos de cada pregunta.">
                <anchor moveWithCells="1" sizeWithCells="1">
                  <from>
                    <xdr:col>7</xdr:col>
                    <xdr:colOff>323850</xdr:colOff>
                    <xdr:row>3</xdr:row>
                    <xdr:rowOff>66675</xdr:rowOff>
                  </from>
                  <to>
                    <xdr:col>8</xdr:col>
                    <xdr:colOff>28575</xdr:colOff>
                    <xdr:row>5</xdr:row>
                    <xdr:rowOff>9525</xdr:rowOff>
                  </to>
                </anchor>
              </controlPr>
            </control>
          </mc:Choice>
        </mc:AlternateContent>
        <mc:AlternateContent xmlns:mc="http://schemas.openxmlformats.org/markup-compatibility/2006">
          <mc:Choice Requires="x14">
            <control shapeId="32770" r:id="rId7" name="Contador 100">
              <controlPr defaultSize="0" autoPict="0" macro="[0]!Cambiar_N_I_Banco_Preguntas" altText="Para consultar los datos de cada pregunta.">
                <anchor moveWithCells="1" sizeWithCells="1">
                  <from>
                    <xdr:col>8</xdr:col>
                    <xdr:colOff>28575</xdr:colOff>
                    <xdr:row>3</xdr:row>
                    <xdr:rowOff>66675</xdr:rowOff>
                  </from>
                  <to>
                    <xdr:col>8</xdr:col>
                    <xdr:colOff>114300</xdr:colOff>
                    <xdr:row>5</xdr:row>
                    <xdr:rowOff>9525</xdr:rowOff>
                  </to>
                </anchor>
              </controlPr>
            </control>
          </mc:Choice>
        </mc:AlternateContent>
        <mc:AlternateContent xmlns:mc="http://schemas.openxmlformats.org/markup-compatibility/2006">
          <mc:Choice Requires="x14">
            <control shapeId="32771" r:id="rId8" name="Contador 1">
              <controlPr defaultSize="0" autoPict="0" macro="[0]!Ver_Datos_Preguntas" altText="Para consultar los datos de cada pregunta.">
                <anchor moveWithCells="1" sizeWithCells="1">
                  <from>
                    <xdr:col>12</xdr:col>
                    <xdr:colOff>0</xdr:colOff>
                    <xdr:row>4</xdr:row>
                    <xdr:rowOff>0</xdr:rowOff>
                  </from>
                  <to>
                    <xdr:col>12</xdr:col>
                    <xdr:colOff>85725</xdr:colOff>
                    <xdr:row>5</xdr:row>
                    <xdr:rowOff>19050</xdr:rowOff>
                  </to>
                </anchor>
              </controlPr>
            </control>
          </mc:Choice>
        </mc:AlternateContent>
        <mc:AlternateContent xmlns:mc="http://schemas.openxmlformats.org/markup-compatibility/2006">
          <mc:Choice Requires="x14">
            <control shapeId="32772" r:id="rId9" name="Box PREGUNTAS">
              <controlPr defaultSize="0" autoFill="0" autoLine="0" autoPict="0">
                <anchor moveWithCells="1">
                  <from>
                    <xdr:col>12</xdr:col>
                    <xdr:colOff>85725</xdr:colOff>
                    <xdr:row>4</xdr:row>
                    <xdr:rowOff>9525</xdr:rowOff>
                  </from>
                  <to>
                    <xdr:col>12</xdr:col>
                    <xdr:colOff>323850</xdr:colOff>
                    <xdr:row>5</xdr:row>
                    <xdr:rowOff>19050</xdr:rowOff>
                  </to>
                </anchor>
              </controlPr>
            </control>
          </mc:Choice>
        </mc:AlternateContent>
      </controls>
    </mc:Choice>
  </mc:AlternateContent>
</worksheet>
</file>

<file path=xl/worksheets/sheet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Hoja_27">
    <tabColor rgb="FFE87B00"/>
    <pageSetUpPr autoPageBreaks="0" fitToPage="1"/>
  </sheetPr>
  <dimension ref="A1:AM6"/>
  <sheetViews>
    <sheetView showGridLines="0" showRowColHeaders="0" zoomScale="140" zoomScaleNormal="140" workbookViewId="0">
      <pane xSplit="7" ySplit="4" topLeftCell="H6" activePane="bottomRight" state="frozen"/>
      <selection activeCell="H4" sqref="H4"/>
      <selection pane="topRight" activeCell="H4" sqref="H4"/>
      <selection pane="bottomLeft" activeCell="H4" sqref="H4"/>
      <selection pane="bottomRight" activeCell="G6" sqref="G6"/>
    </sheetView>
  </sheetViews>
  <sheetFormatPr baseColWidth="10" defaultColWidth="0" defaultRowHeight="15" x14ac:dyDescent="0.25"/>
  <cols>
    <col min="1" max="1" width="9.7109375" style="14" customWidth="1"/>
    <col min="2" max="3" width="3.7109375" style="11" hidden="1" customWidth="1"/>
    <col min="4" max="5" width="3.7109375" style="15" hidden="1" customWidth="1"/>
    <col min="6" max="6" width="11.28515625" style="15" customWidth="1"/>
    <col min="7" max="7" width="64.5703125" style="11" customWidth="1"/>
    <col min="8" max="13" width="12.5703125" style="11" customWidth="1"/>
    <col min="14" max="14" width="30.7109375" style="11" customWidth="1"/>
    <col min="15" max="31" width="14.28515625" style="11" hidden="1" customWidth="1"/>
    <col min="32" max="35" width="0" style="11" hidden="1" customWidth="1"/>
    <col min="36" max="36" width="11.42578125" style="11" customWidth="1"/>
    <col min="37" max="39" width="0" style="11" hidden="1" customWidth="1"/>
    <col min="40" max="16384" width="11.42578125" style="11" hidden="1"/>
  </cols>
  <sheetData>
    <row r="1" spans="1:36" s="12" customFormat="1" ht="39.950000000000003" customHeight="1" x14ac:dyDescent="0.25">
      <c r="A1" s="317" t="str">
        <f>Version</f>
        <v xml:space="preserve">   V - 5.0 </v>
      </c>
      <c r="B1" s="207"/>
      <c r="C1" s="208"/>
      <c r="D1" s="316"/>
      <c r="E1" s="316"/>
      <c r="F1" s="319" t="str">
        <f ca="1">'Datos OM'!F1</f>
        <v>DATOS 
GENERALES
FORMULARIO</v>
      </c>
      <c r="G1" s="579" t="str">
        <f ca="1">'Datos OM'!G1</f>
        <v>INSERTAR PREGUNTA
BORRAR PREGUNTA</v>
      </c>
      <c r="H1" s="321">
        <f>COUNTA(Tabla_EN[Enunciado])</f>
        <v>0</v>
      </c>
      <c r="I1" s="320" t="str">
        <f ca="1">INDIRECT("Z_BP_01_"&amp;IDIOMA)</f>
        <v>Preguntas Almacenadas</v>
      </c>
    </row>
    <row r="2" spans="1:36" s="13" customFormat="1" ht="50.1" customHeight="1" thickBot="1" x14ac:dyDescent="0.3">
      <c r="A2" s="354" t="str">
        <f ca="1">'Datos OM'!A2</f>
        <v>Nombre de la pregunta</v>
      </c>
      <c r="B2" s="346" t="s">
        <v>1847</v>
      </c>
      <c r="C2" s="503"/>
      <c r="D2" s="504"/>
      <c r="E2" s="504"/>
      <c r="F2" s="368" t="str">
        <f ca="1">'Datos OM'!F2</f>
        <v>Descripción</v>
      </c>
      <c r="G2" s="358" t="str">
        <f ca="1">'Formulario EN'!B1&amp;"
"&amp;'Formulario OM'!B11</f>
        <v>FastTest PlugIn - Ensayo
Enunciado de la pregunta</v>
      </c>
      <c r="H2" s="480" t="str">
        <f ca="1">'Formulario EN'!B17</f>
        <v>Formato de la Respuesta</v>
      </c>
      <c r="I2" s="481" t="str">
        <f ca="1">'Formulario EN'!B19</f>
        <v>Requerir texto</v>
      </c>
      <c r="J2" s="482" t="str">
        <f ca="1">'Formulario EN'!P19</f>
        <v>Tamaño de la caja de entrada</v>
      </c>
      <c r="K2" s="483" t="str">
        <f ca="1">'Formulario EN'!B21</f>
        <v>Permitir archivos adjuntos</v>
      </c>
      <c r="L2" s="484" t="str">
        <f ca="1">'Formulario EN'!J21</f>
        <v>Archivos adjuntos requeridos</v>
      </c>
      <c r="M2" s="485" t="str">
        <f ca="1">'Formulario EN'!B23</f>
        <v>Plantilla de Respuesta</v>
      </c>
      <c r="N2" s="480" t="str">
        <f ca="1">'Formulario EN'!B27</f>
        <v>Información para el evaluador</v>
      </c>
      <c r="O2" s="481">
        <f>'Formulario EN'!G31</f>
        <v>0</v>
      </c>
      <c r="P2" s="482"/>
      <c r="Q2" s="483"/>
      <c r="R2" s="484"/>
      <c r="S2" s="485"/>
      <c r="T2" s="485"/>
      <c r="U2" s="485"/>
      <c r="V2" s="485"/>
      <c r="W2" s="485"/>
      <c r="X2" s="485"/>
      <c r="Y2" s="485"/>
      <c r="Z2" s="485"/>
      <c r="AA2" s="485"/>
      <c r="AB2" s="485"/>
      <c r="AC2" s="485"/>
      <c r="AD2" s="485"/>
      <c r="AE2" s="485"/>
      <c r="AF2" s="515" t="str">
        <f ca="1">'Datos OM'!AF2</f>
        <v>PISTA: 1</v>
      </c>
      <c r="AG2" s="516" t="str">
        <f ca="1">'Datos OM'!AG2</f>
        <v>PISTA: 2</v>
      </c>
      <c r="AH2" s="517" t="str">
        <f ca="1">'Datos OM'!AH2</f>
        <v>PISTA: 3</v>
      </c>
      <c r="AI2" s="518" t="str">
        <f ca="1">'Datos OM'!AI2</f>
        <v>PISTA: 4</v>
      </c>
      <c r="AJ2" s="482" t="s">
        <v>1314</v>
      </c>
    </row>
    <row r="3" spans="1:36" s="473" customFormat="1" ht="12.75" hidden="1" thickTop="1" x14ac:dyDescent="0.25">
      <c r="A3" s="459" t="str">
        <f ca="1">IFERROR(IF(INDIRECT("F"&amp;PREGUNTA_ACTUAL-(N_I_EN)+N_I_Tabla&amp;"C"&amp;COLUMN(),FALSE)="","",INDIRECT("F"&amp;PREGUNTA_ACTUAL-(N_I_EN)+N_I_Tabla&amp;"C"&amp;COLUMN(),FALSE)),"")</f>
        <v/>
      </c>
      <c r="B3" s="459" t="str">
        <f ca="1">IFERROR(INDIRECT("F"&amp;PREGUNTA_ACTUAL-(N_I_EN)+N_I_Tabla&amp;"C"&amp;COLUMN(),FALSE),"")</f>
        <v/>
      </c>
      <c r="C3" s="459" t="str">
        <f ca="1">IFERROR(INDIRECT("F"&amp;PREGUNTA_ACTUAL-(N_I_EN)+N_I_Tabla&amp;"C"&amp;COLUMN(),FALSE),"")</f>
        <v/>
      </c>
      <c r="D3" s="459" t="str">
        <f ca="1">IFERROR(INDIRECT("F"&amp;PREGUNTA_ACTUAL-(N_I_EN)+N_I_Tabla&amp;"C"&amp;COLUMN(),FALSE),"")</f>
        <v/>
      </c>
      <c r="E3" s="459" t="str">
        <f ca="1">IFERROR(INDIRECT("F"&amp;PREGUNTA_ACTUAL-(N_I_EN)+N_I_Tabla&amp;"C"&amp;COLUMN(),FALSE),"")</f>
        <v/>
      </c>
      <c r="F3" s="459" t="str">
        <f t="shared" ref="F3:AJ3" ca="1" si="0">IFERROR(IF(INDIRECT("F"&amp;PREGUNTA_ACTUAL-(N_I_EN)+N_I_Tabla&amp;"C"&amp;COLUMN(),FALSE)="","",INDIRECT("F"&amp;PREGUNTA_ACTUAL-(N_I_EN)+N_I_Tabla&amp;"C"&amp;COLUMN(),FALSE)),"")</f>
        <v/>
      </c>
      <c r="G3" s="459" t="str">
        <f t="shared" ca="1" si="0"/>
        <v/>
      </c>
      <c r="H3" s="459" t="str">
        <f t="shared" ca="1" si="0"/>
        <v/>
      </c>
      <c r="I3" s="459" t="str">
        <f t="shared" ca="1" si="0"/>
        <v/>
      </c>
      <c r="J3" s="459" t="str">
        <f t="shared" ca="1" si="0"/>
        <v/>
      </c>
      <c r="K3" s="459" t="str">
        <f t="shared" ca="1" si="0"/>
        <v/>
      </c>
      <c r="L3" s="459" t="str">
        <f t="shared" ca="1" si="0"/>
        <v/>
      </c>
      <c r="M3" s="459" t="str">
        <f t="shared" ca="1" si="0"/>
        <v/>
      </c>
      <c r="N3" s="459" t="str">
        <f t="shared" ca="1" si="0"/>
        <v/>
      </c>
      <c r="O3" s="459" t="str">
        <f t="shared" ca="1" si="0"/>
        <v/>
      </c>
      <c r="P3" s="459" t="str">
        <f t="shared" ca="1" si="0"/>
        <v/>
      </c>
      <c r="Q3" s="459" t="str">
        <f t="shared" ca="1" si="0"/>
        <v/>
      </c>
      <c r="R3" s="459" t="str">
        <f t="shared" ca="1" si="0"/>
        <v/>
      </c>
      <c r="S3" s="459" t="str">
        <f t="shared" ca="1" si="0"/>
        <v/>
      </c>
      <c r="T3" s="459" t="str">
        <f t="shared" ca="1" si="0"/>
        <v/>
      </c>
      <c r="U3" s="459" t="str">
        <f t="shared" ca="1" si="0"/>
        <v/>
      </c>
      <c r="V3" s="459" t="str">
        <f t="shared" ca="1" si="0"/>
        <v/>
      </c>
      <c r="W3" s="459" t="str">
        <f t="shared" ca="1" si="0"/>
        <v/>
      </c>
      <c r="X3" s="459" t="str">
        <f t="shared" ca="1" si="0"/>
        <v/>
      </c>
      <c r="Y3" s="459" t="str">
        <f t="shared" ca="1" si="0"/>
        <v/>
      </c>
      <c r="Z3" s="459" t="str">
        <f t="shared" ca="1" si="0"/>
        <v/>
      </c>
      <c r="AA3" s="459" t="str">
        <f t="shared" ca="1" si="0"/>
        <v/>
      </c>
      <c r="AB3" s="459" t="str">
        <f t="shared" ca="1" si="0"/>
        <v/>
      </c>
      <c r="AC3" s="459" t="str">
        <f t="shared" ca="1" si="0"/>
        <v/>
      </c>
      <c r="AD3" s="459" t="str">
        <f t="shared" ca="1" si="0"/>
        <v/>
      </c>
      <c r="AE3" s="459" t="str">
        <f t="shared" ca="1" si="0"/>
        <v/>
      </c>
      <c r="AF3" s="459" t="str">
        <f t="shared" ca="1" si="0"/>
        <v/>
      </c>
      <c r="AG3" s="459" t="str">
        <f t="shared" ca="1" si="0"/>
        <v/>
      </c>
      <c r="AH3" s="459" t="str">
        <f t="shared" ca="1" si="0"/>
        <v/>
      </c>
      <c r="AI3" s="459" t="str">
        <f t="shared" ca="1" si="0"/>
        <v/>
      </c>
      <c r="AJ3" s="459" t="str">
        <f t="shared" ca="1" si="0"/>
        <v/>
      </c>
    </row>
    <row r="4" spans="1:36" s="472" customFormat="1" ht="12" hidden="1" x14ac:dyDescent="0.25">
      <c r="A4" s="142">
        <v>701</v>
      </c>
      <c r="B4" s="471">
        <f>N_I_Tabla</f>
        <v>6</v>
      </c>
      <c r="C4" s="470"/>
      <c r="D4" s="469"/>
      <c r="E4" s="147"/>
      <c r="F4" s="148" t="str">
        <f>IF('Formulario EN'!H9="","",'Formulario EN'!H9)</f>
        <v/>
      </c>
      <c r="G4" s="144" t="str">
        <f>IF('Formulario EN'!H11="","",'Formulario EN'!H11)</f>
        <v/>
      </c>
      <c r="H4" s="150" t="str">
        <f>IF('Formulario EN'!H17="","",'Formulario EN'!H17)</f>
        <v/>
      </c>
      <c r="I4" s="151" t="str">
        <f>IF('Formulario EN'!H19="","",'Formulario EN'!H19)</f>
        <v/>
      </c>
      <c r="J4" s="152" t="str">
        <f>IF('Formulario EN'!U19="","",'Formulario EN'!U19)</f>
        <v/>
      </c>
      <c r="K4" s="153" t="str">
        <f>IF('Formulario EN'!H21="","",'Formulario EN'!H21)</f>
        <v/>
      </c>
      <c r="L4" s="154" t="str">
        <f>IF('Formulario EN'!Q21="","",'Formulario EN'!Q21)</f>
        <v/>
      </c>
      <c r="M4" s="155" t="str">
        <f>IF('Formulario EN'!H23="","",'Formulario EN'!H23)</f>
        <v/>
      </c>
      <c r="N4" s="150" t="str">
        <f>IF('Formulario EN'!H27="","",'Formulario EN'!H27)</f>
        <v/>
      </c>
      <c r="O4" s="151" t="str">
        <f>IF('Formulario EN'!H31="","",'Formulario EN'!H31)</f>
        <v/>
      </c>
      <c r="P4" s="152"/>
      <c r="Q4" s="153"/>
      <c r="R4" s="154"/>
      <c r="S4" s="155"/>
      <c r="T4" s="155"/>
      <c r="U4" s="155"/>
      <c r="V4" s="155"/>
      <c r="W4" s="155"/>
      <c r="X4" s="155"/>
      <c r="Y4" s="155"/>
      <c r="Z4" s="155"/>
      <c r="AA4" s="155"/>
      <c r="AB4" s="155"/>
      <c r="AC4" s="155"/>
      <c r="AD4" s="155"/>
      <c r="AE4" s="155"/>
      <c r="AF4" s="156"/>
      <c r="AG4" s="157"/>
      <c r="AH4" s="158"/>
      <c r="AI4" s="159"/>
      <c r="AJ4" s="152" t="str">
        <f>IF('Formulario EN'!Q7="","",'Formulario EN'!Q7)</f>
        <v/>
      </c>
    </row>
    <row r="5" spans="1:36" s="12" customFormat="1" hidden="1" x14ac:dyDescent="0.25">
      <c r="A5" s="145" t="s">
        <v>1702</v>
      </c>
      <c r="B5" s="502" t="s">
        <v>18169</v>
      </c>
      <c r="C5" s="505" t="s">
        <v>18199</v>
      </c>
      <c r="D5" s="464" t="s">
        <v>18167</v>
      </c>
      <c r="E5" s="464" t="s">
        <v>18168</v>
      </c>
      <c r="F5" s="148" t="s">
        <v>1856</v>
      </c>
      <c r="G5" s="144" t="s">
        <v>24</v>
      </c>
      <c r="H5" s="150" t="s">
        <v>18200</v>
      </c>
      <c r="I5" s="151" t="s">
        <v>18201</v>
      </c>
      <c r="J5" s="152" t="s">
        <v>18202</v>
      </c>
      <c r="K5" s="153" t="s">
        <v>18203</v>
      </c>
      <c r="L5" s="154" t="s">
        <v>18204</v>
      </c>
      <c r="M5" s="155" t="s">
        <v>18205</v>
      </c>
      <c r="N5" s="150" t="s">
        <v>18206</v>
      </c>
      <c r="O5" s="151" t="s">
        <v>597</v>
      </c>
      <c r="P5" s="152" t="s">
        <v>858</v>
      </c>
      <c r="Q5" s="153" t="s">
        <v>856</v>
      </c>
      <c r="R5" s="154" t="s">
        <v>859</v>
      </c>
      <c r="S5" s="155" t="s">
        <v>857</v>
      </c>
      <c r="T5" s="155" t="s">
        <v>1689</v>
      </c>
      <c r="U5" s="155" t="s">
        <v>1807</v>
      </c>
      <c r="V5" s="155" t="s">
        <v>1808</v>
      </c>
      <c r="W5" s="155" t="s">
        <v>1809</v>
      </c>
      <c r="X5" s="155" t="s">
        <v>1810</v>
      </c>
      <c r="Y5" s="155" t="s">
        <v>207</v>
      </c>
      <c r="Z5" s="155" t="s">
        <v>208</v>
      </c>
      <c r="AA5" s="155" t="s">
        <v>209</v>
      </c>
      <c r="AB5" s="155" t="s">
        <v>210</v>
      </c>
      <c r="AC5" s="155" t="s">
        <v>211</v>
      </c>
      <c r="AD5" s="155" t="s">
        <v>212</v>
      </c>
      <c r="AE5" s="155" t="s">
        <v>213</v>
      </c>
      <c r="AF5" s="156" t="s">
        <v>1606</v>
      </c>
      <c r="AG5" s="157" t="s">
        <v>1607</v>
      </c>
      <c r="AH5" s="158" t="s">
        <v>1608</v>
      </c>
      <c r="AI5" s="159" t="s">
        <v>1609</v>
      </c>
      <c r="AJ5" s="152" t="s">
        <v>1314</v>
      </c>
    </row>
    <row r="6" spans="1:36" ht="15.75" thickTop="1" x14ac:dyDescent="0.25">
      <c r="A6" s="616" t="str">
        <f>IFERROR(IF(Tabla_EN[[#This Row],[Enunciado]]="","",PREF_PREGUNTA&amp;IF(PREF_PREGUNTA="",""," - ")&amp;
IF(n_preg_ON_EN=TRUE,IF((N_I_EN+ROW()-N_I_Tabla)&gt;99,
IF((N_I_EN+ROW()-N_I_Tabla)&lt;100,"0",""),"")&amp;
IF((N_I_EN+ROW()-N_I_Tabla)&lt;10,"0","")&amp;(N_I_EN+ROW()-N_I_Tabla),""))&amp;
IF(Tabla_EN[[#This Row],[Descripcion]]&lt;&gt;""," "&amp;Tabla_EN[[#This Row],[Descripcion]],""),"")</f>
        <v/>
      </c>
      <c r="B6" s="638"/>
      <c r="C6" s="639" t="str">
        <f>Tabla_EN[[#This Row],[FORM RESP]]&amp;" "&amp;Tabla_EN[[#This Row],[TEXTO]]&amp;" "&amp;Tabla_EN[[#This Row],[CAJA]]&amp;" "&amp;Tabla_EN[[#This Row],[ARCHIVOS]]&amp;" "&amp;Tabla_EN[[#This Row],[ADJUNTOS]]&amp;" "&amp;Tabla_EN[[#This Row],[PLANTILLA]]&amp;" "&amp;Tabla_EN[[#This Row],[INFO]]&amp;" "&amp;Tabla_EN[[#This Row],[Imagen]]</f>
        <v xml:space="preserve">       </v>
      </c>
      <c r="D6" s="619"/>
      <c r="E6" s="619"/>
      <c r="F6" s="640"/>
      <c r="G6" s="623"/>
      <c r="H6" s="641"/>
      <c r="I6" s="600"/>
      <c r="J6" s="612"/>
      <c r="K6" s="642"/>
      <c r="L6" s="643"/>
      <c r="M6" s="644"/>
      <c r="N6" s="641"/>
      <c r="O6" s="600"/>
      <c r="P6" s="601"/>
      <c r="Q6" s="602"/>
      <c r="R6" s="603"/>
      <c r="S6" s="604"/>
      <c r="T6" s="604"/>
      <c r="U6" s="604"/>
      <c r="V6" s="604"/>
      <c r="W6" s="604"/>
      <c r="X6" s="604"/>
      <c r="Y6" s="604"/>
      <c r="Z6" s="604"/>
      <c r="AA6" s="604"/>
      <c r="AB6" s="604"/>
      <c r="AC6" s="604"/>
      <c r="AD6" s="604"/>
      <c r="AE6" s="604"/>
      <c r="AF6" s="605"/>
      <c r="AG6" s="606"/>
      <c r="AH6" s="607"/>
      <c r="AI6" s="608"/>
      <c r="AJ6" s="601"/>
    </row>
  </sheetData>
  <sheetProtection algorithmName="SHA-512" hashValue="X820U1RWzLtERddwAxBcU1zFaQXmejZUlscdz9dbloFnM9Wiq9JPnS8dPBaVKBdzK6Koy+pjNKsJqhWVQaltfA==" saltValue="JP7JXWwEc5xqUxej5dv7uQ==" spinCount="100000" sheet="1" objects="1" scenarios="1" selectLockedCells="1"/>
  <conditionalFormatting sqref="F4:AI4 F2:AJ2 D6:AJ6">
    <cfRule type="cellIs" dxfId="312" priority="231" operator="equal">
      <formula>""</formula>
    </cfRule>
    <cfRule type="cellIs" dxfId="311" priority="232" operator="equal">
      <formula>0</formula>
    </cfRule>
  </conditionalFormatting>
  <conditionalFormatting sqref="AJ4">
    <cfRule type="cellIs" dxfId="310" priority="154" operator="equal">
      <formula>""</formula>
    </cfRule>
    <cfRule type="cellIs" dxfId="309" priority="155" operator="equal">
      <formula>0</formula>
    </cfRule>
  </conditionalFormatting>
  <conditionalFormatting sqref="B5:E5">
    <cfRule type="cellIs" dxfId="308" priority="7" operator="equal">
      <formula>""</formula>
    </cfRule>
    <cfRule type="cellIs" dxfId="307" priority="8" operator="equal">
      <formula>0</formula>
    </cfRule>
  </conditionalFormatting>
  <conditionalFormatting sqref="F5:AI5">
    <cfRule type="cellIs" dxfId="306" priority="5" operator="equal">
      <formula>""</formula>
    </cfRule>
    <cfRule type="cellIs" dxfId="305" priority="6" operator="equal">
      <formula>0</formula>
    </cfRule>
  </conditionalFormatting>
  <conditionalFormatting sqref="AJ5">
    <cfRule type="cellIs" dxfId="304" priority="3" operator="equal">
      <formula>""</formula>
    </cfRule>
    <cfRule type="cellIs" dxfId="303" priority="4" operator="equal">
      <formula>0</formula>
    </cfRule>
  </conditionalFormatting>
  <conditionalFormatting sqref="E4">
    <cfRule type="cellIs" dxfId="302" priority="1" stopIfTrue="1" operator="equal">
      <formula>""</formula>
    </cfRule>
    <cfRule type="cellIs" dxfId="301" priority="2" operator="equal">
      <formula>0</formula>
    </cfRule>
  </conditionalFormatting>
  <dataValidations count="1">
    <dataValidation allowBlank="1" showInputMessage="1" showErrorMessage="1" errorTitle="Error" error="Debes introducir un número válido. _x000a_Rellena primero las respuestas._x000a__x000a_Pulsa ESC para continuar." sqref="C6"/>
  </dataValidations>
  <pageMargins left="0.70866141732283472" right="0.70866141732283472" top="0.74803149606299213" bottom="0.74803149606299213" header="0.31496062992125984" footer="0.31496062992125984"/>
  <pageSetup paperSize="9" scale="44" fitToHeight="47" orientation="landscape" r:id="rId1"/>
  <drawing r:id="rId2"/>
  <tableParts count="1">
    <tablePart r:id="rId3"/>
  </tableParts>
</worksheet>
</file>

<file path=xl/worksheets/sheet1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Hoja_18">
    <tabColor rgb="FF005877"/>
    <pageSetUpPr fitToPage="1"/>
  </sheetPr>
  <dimension ref="A1:ZA139"/>
  <sheetViews>
    <sheetView showGridLines="0" showRowColHeaders="0" zoomScale="140" zoomScaleNormal="140" workbookViewId="0">
      <pane xSplit="38" ySplit="73" topLeftCell="AM74" activePane="bottomRight" state="frozen"/>
      <selection activeCell="H4" sqref="H4"/>
      <selection pane="topRight" activeCell="H4" sqref="H4"/>
      <selection pane="bottomLeft" activeCell="H4" sqref="H4"/>
      <selection pane="bottomRight" activeCell="H9" sqref="H9:M9"/>
    </sheetView>
  </sheetViews>
  <sheetFormatPr baseColWidth="10" defaultColWidth="0" defaultRowHeight="15" zeroHeight="1" x14ac:dyDescent="0.25"/>
  <cols>
    <col min="1" max="1" width="10.7109375" customWidth="1"/>
    <col min="2" max="2" width="2.7109375" style="4" customWidth="1"/>
    <col min="3" max="23" width="5.7109375" style="4" customWidth="1"/>
    <col min="24" max="24" width="2.7109375" style="4" customWidth="1"/>
    <col min="25" max="25" width="10.7109375" style="93" customWidth="1"/>
    <col min="26" max="26" width="2.7109375" style="4" customWidth="1"/>
    <col min="27" max="27" width="10.7109375" style="4" customWidth="1"/>
    <col min="28" max="28" width="2.7109375" style="4" customWidth="1"/>
    <col min="29" max="677" width="2.7109375" style="4" hidden="1" customWidth="1"/>
    <col min="678" max="16384" width="11.42578125" style="4" hidden="1"/>
  </cols>
  <sheetData>
    <row r="1" spans="1:34" ht="2.25" customHeight="1" thickTop="1" x14ac:dyDescent="0.25">
      <c r="A1" s="737" t="str">
        <f ca="1">'Formulario OM'!A1</f>
        <v>CÓDIGOS 
ESPECIALES</v>
      </c>
      <c r="B1" s="776" t="str">
        <f ca="1">APP&amp;" - " &amp;Tipo_8</f>
        <v>FastTest PlugIn - Cloze</v>
      </c>
      <c r="C1" s="777"/>
      <c r="D1" s="777"/>
      <c r="E1" s="777"/>
      <c r="F1" s="777"/>
      <c r="G1" s="777"/>
      <c r="H1" s="777"/>
      <c r="I1" s="777"/>
      <c r="J1" s="777"/>
      <c r="K1" s="777"/>
      <c r="L1" s="172"/>
      <c r="M1" s="172"/>
      <c r="N1" s="172"/>
      <c r="O1" s="172"/>
      <c r="P1" s="172"/>
      <c r="Q1" s="172"/>
      <c r="R1" s="172"/>
      <c r="S1" s="172"/>
      <c r="T1" s="172"/>
      <c r="U1" s="172"/>
      <c r="V1" s="172"/>
      <c r="W1" s="172"/>
      <c r="X1" s="173"/>
      <c r="Y1" s="713" t="str">
        <f ca="1">'DATOS GENERALES'!Y1</f>
        <v>NO USAR CORTAR
[Ctrl + X]</v>
      </c>
      <c r="AB1" s="4">
        <f>COUNTA(Q7,H9,Q9,H11,G33,M33,G35,M35)</f>
        <v>0</v>
      </c>
      <c r="AC1" s="590" t="str">
        <f>IFERROR(HLOOKUP(AC4,$AB$4:AB4,1,0),"OK")</f>
        <v>OK</v>
      </c>
      <c r="AD1" s="590"/>
      <c r="AE1" s="590"/>
      <c r="AF1" s="590"/>
      <c r="AG1" s="590"/>
    </row>
    <row r="2" spans="1:34" ht="24.95" customHeight="1" x14ac:dyDescent="0.25">
      <c r="A2" s="738"/>
      <c r="B2" s="778"/>
      <c r="C2" s="779"/>
      <c r="D2" s="779"/>
      <c r="E2" s="779"/>
      <c r="F2" s="779"/>
      <c r="G2" s="779"/>
      <c r="H2" s="779"/>
      <c r="I2" s="779"/>
      <c r="J2" s="779"/>
      <c r="K2" s="779"/>
      <c r="L2" s="760" t="str">
        <f ca="1">'Formulario OM'!L2</f>
        <v>DATOS 
GENERALES</v>
      </c>
      <c r="M2" s="761">
        <f>'Formulario OM'!M2</f>
        <v>0</v>
      </c>
      <c r="N2" s="803" t="str">
        <f ca="1">'Formulario OM'!N2</f>
        <v>BANCO 
PREGUNTAS</v>
      </c>
      <c r="O2" s="804">
        <f>'Formulario OM'!O2</f>
        <v>0</v>
      </c>
      <c r="P2" s="805" t="str">
        <f ca="1">'Formulario OM'!P2</f>
        <v>LIMPIAR 
DATOS</v>
      </c>
      <c r="Q2" s="804">
        <f>'Formulario OM'!Q2</f>
        <v>0</v>
      </c>
      <c r="R2" s="805" t="str">
        <f ca="1">'Formulario OM'!R2</f>
        <v>GUARDAR 
PREGUNTAS</v>
      </c>
      <c r="S2" s="804">
        <f>'Formulario OM'!S2</f>
        <v>0</v>
      </c>
      <c r="T2" s="805" t="str">
        <f ca="1">'Formulario OM'!T2</f>
        <v>BORRAR 
PREGUNTAS</v>
      </c>
      <c r="U2" s="804">
        <f>'Formulario OM'!U2</f>
        <v>0</v>
      </c>
      <c r="V2" s="805" t="str">
        <f ca="1">'Formulario OM'!V2</f>
        <v>DAR 
FORMATO</v>
      </c>
      <c r="W2" s="806">
        <f>'Formulario OM'!W2</f>
        <v>0</v>
      </c>
      <c r="X2" s="211" t="s">
        <v>129</v>
      </c>
      <c r="Y2" s="714"/>
      <c r="Z2" s="300" t="s">
        <v>1310</v>
      </c>
      <c r="AA2" s="313" t="str">
        <f ca="1">'Formulario OM'!AA2</f>
        <v>BORRAR VARIABLES</v>
      </c>
      <c r="AB2" s="581">
        <f>COUNTA(Y5:Y35)+COUNTA(AA5:AA35)</f>
        <v>0</v>
      </c>
      <c r="AC2" s="590">
        <f>COUNTA(AC5:AC36)</f>
        <v>0</v>
      </c>
      <c r="AD2" s="590"/>
      <c r="AE2" s="590"/>
      <c r="AF2" s="590"/>
      <c r="AG2" s="590"/>
      <c r="AH2" s="580"/>
    </row>
    <row r="3" spans="1:34" ht="2.25" customHeight="1" thickBot="1" x14ac:dyDescent="0.3">
      <c r="A3" s="739"/>
      <c r="B3" s="778"/>
      <c r="C3" s="779"/>
      <c r="D3" s="779"/>
      <c r="E3" s="779"/>
      <c r="F3" s="779"/>
      <c r="G3" s="779"/>
      <c r="H3" s="779"/>
      <c r="I3" s="779"/>
      <c r="J3" s="779"/>
      <c r="K3" s="779"/>
      <c r="L3" s="187"/>
      <c r="M3" s="188"/>
      <c r="N3" s="189"/>
      <c r="O3" s="190"/>
      <c r="P3" s="189"/>
      <c r="Q3" s="190"/>
      <c r="R3" s="189"/>
      <c r="S3" s="190"/>
      <c r="T3" s="189"/>
      <c r="U3" s="190"/>
      <c r="V3" s="189"/>
      <c r="W3" s="190"/>
      <c r="X3" s="191"/>
      <c r="Y3" s="715"/>
      <c r="AB3" s="583" t="s">
        <v>18754</v>
      </c>
      <c r="AC3" s="590">
        <f>COUNTA(AC39:AC79)</f>
        <v>0</v>
      </c>
      <c r="AD3" s="590"/>
      <c r="AE3" s="590"/>
      <c r="AF3" s="590"/>
      <c r="AG3" s="590"/>
    </row>
    <row r="4" spans="1:34" ht="6" customHeight="1" thickBot="1" x14ac:dyDescent="0.3">
      <c r="A4" s="192"/>
      <c r="B4" s="75"/>
      <c r="C4" s="77"/>
      <c r="D4" s="77"/>
      <c r="E4" s="77"/>
      <c r="F4" s="77"/>
      <c r="G4" s="77"/>
      <c r="H4" s="78"/>
      <c r="I4" s="79"/>
      <c r="J4" s="79"/>
      <c r="K4" s="79"/>
      <c r="L4" s="79"/>
      <c r="M4" s="845"/>
      <c r="N4" s="63"/>
      <c r="O4" s="63"/>
      <c r="P4" s="63"/>
      <c r="Q4" s="63"/>
      <c r="R4" s="79"/>
      <c r="S4" s="79"/>
      <c r="T4" s="78"/>
      <c r="U4" s="78"/>
      <c r="V4" s="78"/>
      <c r="W4" s="78"/>
      <c r="X4" s="80"/>
      <c r="Y4" s="196"/>
      <c r="AB4" s="583" t="s">
        <v>18755</v>
      </c>
      <c r="AC4" s="590">
        <f>COLUMN()+COUNTA(AD4:XFD4)</f>
        <v>29</v>
      </c>
      <c r="AD4" s="590"/>
      <c r="AE4" s="590"/>
      <c r="AF4" s="590"/>
    </row>
    <row r="5" spans="1:34" ht="15" customHeight="1" x14ac:dyDescent="0.25">
      <c r="A5" s="194" t="str">
        <f ca="1">'Formulario OM'!A5</f>
        <v>FÓRMULA</v>
      </c>
      <c r="B5" s="781" t="str">
        <f ca="1">INDIRECT("Z_OM_01_"&amp;IDIOMA)</f>
        <v>Nº Inicial del Banco de Preguntas</v>
      </c>
      <c r="C5" s="782"/>
      <c r="D5" s="782"/>
      <c r="E5" s="782"/>
      <c r="F5" s="782"/>
      <c r="G5" s="782"/>
      <c r="H5" s="328">
        <f>'Datos CL'!A4</f>
        <v>801</v>
      </c>
      <c r="I5" s="700" t="str">
        <f ca="1">'Formulario OM'!I5</f>
        <v>Pregunta Nº</v>
      </c>
      <c r="J5" s="700"/>
      <c r="K5" s="700"/>
      <c r="L5" s="39">
        <f>G37</f>
        <v>801</v>
      </c>
      <c r="M5" s="846"/>
      <c r="N5" s="757" t="str">
        <f ca="1">INDIRECT("Z_TX_88_"&amp;IDIOMA)&amp;" ("&amp;AC4-COLUMN(AC2)&amp;")"</f>
        <v>ALMACENAR FORMULAS (0)</v>
      </c>
      <c r="O5" s="758"/>
      <c r="P5" s="758"/>
      <c r="Q5" s="759"/>
      <c r="R5" s="746" t="str">
        <f ca="1">INDIRECT("Z_DG_15_"&amp;IDIOMA)&amp;": "&amp;P_min_CL&amp;IF(P_max_CL=0,""," - "&amp;P_max_CL)</f>
        <v>Rango de preguntas almacenadas: 0</v>
      </c>
      <c r="S5" s="746"/>
      <c r="T5" s="746"/>
      <c r="U5" s="746"/>
      <c r="V5" s="746"/>
      <c r="W5" s="746"/>
      <c r="X5" s="68"/>
      <c r="Y5" s="198"/>
      <c r="Z5" s="300">
        <v>1</v>
      </c>
      <c r="AA5" s="314"/>
      <c r="AB5" s="300">
        <f>Z35+1</f>
        <v>17</v>
      </c>
    </row>
    <row r="6" spans="1:34" ht="6" customHeight="1" thickBot="1" x14ac:dyDescent="0.3">
      <c r="A6" s="19"/>
      <c r="B6" s="60"/>
      <c r="C6" s="61"/>
      <c r="D6" s="61"/>
      <c r="E6" s="61"/>
      <c r="F6" s="61"/>
      <c r="G6" s="61"/>
      <c r="H6" s="62"/>
      <c r="I6" s="63"/>
      <c r="J6" s="63"/>
      <c r="K6" s="63"/>
      <c r="L6" s="63"/>
      <c r="M6" s="846"/>
      <c r="N6" s="63"/>
      <c r="O6" s="63"/>
      <c r="P6" s="63"/>
      <c r="Q6" s="63"/>
      <c r="R6" s="63"/>
      <c r="S6" s="73"/>
      <c r="T6" s="73"/>
      <c r="U6" s="73"/>
      <c r="V6" s="62"/>
      <c r="W6" s="62"/>
      <c r="X6" s="64"/>
      <c r="Y6" s="197"/>
    </row>
    <row r="7" spans="1:34" ht="15" customHeight="1" thickTop="1" thickBot="1" x14ac:dyDescent="0.3">
      <c r="A7" s="194" t="str">
        <f ca="1">'Formulario OM'!A7</f>
        <v>SUPERÍNDICE</v>
      </c>
      <c r="B7" s="781" t="str">
        <f ca="1">INDIRECT("Z_OM_04_"&amp;IDIOMA)</f>
        <v>Nombre de la pregunta</v>
      </c>
      <c r="C7" s="782"/>
      <c r="D7" s="782"/>
      <c r="E7" s="782"/>
      <c r="F7" s="782"/>
      <c r="G7" s="782"/>
      <c r="H7" s="772" t="str">
        <f ca="1">IFERROR(INDIRECT("'Datos CL'!a"&amp;(L5-H5+N_I_Tabla)),"")</f>
        <v/>
      </c>
      <c r="I7" s="772"/>
      <c r="J7" s="772"/>
      <c r="K7" s="772"/>
      <c r="L7" s="772"/>
      <c r="M7" s="772"/>
      <c r="N7" s="700" t="str">
        <f ca="1">'Formulario OM'!N7</f>
        <v>Imagen</v>
      </c>
      <c r="O7" s="700"/>
      <c r="P7" s="700"/>
      <c r="Q7" s="768"/>
      <c r="R7" s="769"/>
      <c r="S7" s="769"/>
      <c r="T7" s="769"/>
      <c r="U7" s="769"/>
      <c r="V7" s="769"/>
      <c r="W7" s="770"/>
      <c r="X7" s="68"/>
      <c r="Y7" s="198"/>
      <c r="Z7" s="300">
        <f>Z5+1</f>
        <v>2</v>
      </c>
      <c r="AA7" s="314"/>
      <c r="AB7" s="300">
        <f>AB5+1</f>
        <v>18</v>
      </c>
    </row>
    <row r="8" spans="1:34" ht="6" customHeight="1" thickTop="1" x14ac:dyDescent="0.25">
      <c r="A8" s="20"/>
      <c r="B8" s="60"/>
      <c r="C8" s="61"/>
      <c r="D8" s="61"/>
      <c r="E8" s="61"/>
      <c r="F8" s="61"/>
      <c r="G8" s="63"/>
      <c r="H8" s="63"/>
      <c r="I8" s="62"/>
      <c r="J8" s="62"/>
      <c r="K8" s="62"/>
      <c r="L8" s="62"/>
      <c r="M8" s="63"/>
      <c r="N8" s="63"/>
      <c r="O8" s="62"/>
      <c r="P8" s="67"/>
      <c r="Q8" s="63"/>
      <c r="R8" s="73"/>
      <c r="S8" s="73"/>
      <c r="T8" s="73"/>
      <c r="U8" s="73"/>
      <c r="V8" s="910"/>
      <c r="W8" s="910"/>
      <c r="X8" s="64"/>
      <c r="Y8" s="94"/>
    </row>
    <row r="9" spans="1:34" ht="15" customHeight="1" x14ac:dyDescent="0.25">
      <c r="A9" s="194" t="str">
        <f ca="1">'Formulario OM'!A9</f>
        <v>SUBÍNDICE</v>
      </c>
      <c r="B9" s="702" t="str">
        <f ca="1">INDIRECT("Z_OM_05_"&amp;IDIOMA)</f>
        <v>Descripción</v>
      </c>
      <c r="C9" s="700"/>
      <c r="D9" s="700"/>
      <c r="E9" s="700"/>
      <c r="F9" s="700"/>
      <c r="G9" s="700"/>
      <c r="H9" s="911"/>
      <c r="I9" s="911"/>
      <c r="J9" s="911"/>
      <c r="K9" s="911"/>
      <c r="L9" s="911"/>
      <c r="M9" s="911"/>
      <c r="N9" s="700" t="str">
        <f ca="1">INDIRECT("Z_TX_74_"&amp;IDIOMA)</f>
        <v>Ancho RC</v>
      </c>
      <c r="O9" s="700"/>
      <c r="P9" s="700"/>
      <c r="Q9" s="582"/>
      <c r="R9" s="73"/>
      <c r="S9" s="73"/>
      <c r="T9" s="73"/>
      <c r="U9" s="73"/>
      <c r="V9" s="910"/>
      <c r="W9" s="910"/>
      <c r="X9" s="68"/>
      <c r="Y9" s="198"/>
      <c r="Z9" s="300">
        <f>Z7+1</f>
        <v>3</v>
      </c>
      <c r="AA9" s="314"/>
      <c r="AB9" s="300">
        <f>AB7+1</f>
        <v>19</v>
      </c>
    </row>
    <row r="10" spans="1:34" ht="6" customHeight="1" thickBot="1" x14ac:dyDescent="0.3">
      <c r="A10" s="19"/>
      <c r="B10" s="60"/>
      <c r="C10" s="61"/>
      <c r="D10" s="61"/>
      <c r="E10" s="61"/>
      <c r="F10" s="61"/>
      <c r="G10" s="62"/>
      <c r="H10" s="62"/>
      <c r="I10" s="63"/>
      <c r="J10" s="63"/>
      <c r="K10" s="63"/>
      <c r="L10" s="63"/>
      <c r="M10" s="63"/>
      <c r="N10" s="63"/>
      <c r="O10" s="63"/>
      <c r="P10" s="63"/>
      <c r="Q10" s="63"/>
      <c r="R10" s="63"/>
      <c r="S10" s="63"/>
      <c r="T10" s="62"/>
      <c r="U10" s="62"/>
      <c r="V10" s="62"/>
      <c r="W10" s="62"/>
      <c r="X10" s="64"/>
      <c r="Y10" s="94"/>
    </row>
    <row r="11" spans="1:34" ht="15" customHeight="1" thickTop="1" x14ac:dyDescent="0.25">
      <c r="A11" s="194" t="str">
        <f ca="1">'Formulario OM'!A11</f>
        <v>SALTO LÍNEA</v>
      </c>
      <c r="B11" s="702" t="str">
        <f ca="1">INDIRECT("Z_OM_07_"&amp;IDIOMA)</f>
        <v>Enunciado de la pregunta</v>
      </c>
      <c r="C11" s="700"/>
      <c r="D11" s="700"/>
      <c r="E11" s="700"/>
      <c r="F11" s="700"/>
      <c r="G11" s="700"/>
      <c r="H11" s="899"/>
      <c r="I11" s="900"/>
      <c r="J11" s="900"/>
      <c r="K11" s="900"/>
      <c r="L11" s="900"/>
      <c r="M11" s="900"/>
      <c r="N11" s="900"/>
      <c r="O11" s="900"/>
      <c r="P11" s="900"/>
      <c r="Q11" s="900"/>
      <c r="R11" s="900"/>
      <c r="S11" s="900"/>
      <c r="T11" s="900"/>
      <c r="U11" s="900"/>
      <c r="V11" s="900"/>
      <c r="W11" s="901"/>
      <c r="X11" s="68"/>
      <c r="Y11" s="198"/>
      <c r="Z11" s="300">
        <f>Z9+1</f>
        <v>4</v>
      </c>
      <c r="AA11" s="314"/>
      <c r="AB11" s="300">
        <f>AB9+1</f>
        <v>20</v>
      </c>
    </row>
    <row r="12" spans="1:34" ht="6" customHeight="1" thickBot="1" x14ac:dyDescent="0.3">
      <c r="A12" s="2"/>
      <c r="B12" s="753"/>
      <c r="C12" s="754"/>
      <c r="D12" s="61"/>
      <c r="E12" s="77"/>
      <c r="F12" s="77"/>
      <c r="G12" s="330"/>
      <c r="H12" s="902"/>
      <c r="I12" s="903"/>
      <c r="J12" s="903"/>
      <c r="K12" s="903"/>
      <c r="L12" s="903"/>
      <c r="M12" s="903"/>
      <c r="N12" s="903"/>
      <c r="O12" s="903"/>
      <c r="P12" s="903"/>
      <c r="Q12" s="903"/>
      <c r="R12" s="903"/>
      <c r="S12" s="903"/>
      <c r="T12" s="903"/>
      <c r="U12" s="903"/>
      <c r="V12" s="903"/>
      <c r="W12" s="904"/>
      <c r="X12" s="64"/>
      <c r="Y12" s="94"/>
    </row>
    <row r="13" spans="1:34" ht="15" customHeight="1" x14ac:dyDescent="0.25">
      <c r="A13" s="194" t="str">
        <f ca="1">'Formulario OM'!A13</f>
        <v>CONCATENAR</v>
      </c>
      <c r="B13" s="753"/>
      <c r="C13" s="754"/>
      <c r="D13" s="908" t="str">
        <f>'DATOS GENERALES'!C11</f>
        <v>Moodle
 Editor.
(HTML)</v>
      </c>
      <c r="E13" s="908"/>
      <c r="F13" s="908"/>
      <c r="G13" s="908"/>
      <c r="H13" s="902"/>
      <c r="I13" s="903"/>
      <c r="J13" s="903"/>
      <c r="K13" s="903"/>
      <c r="L13" s="903"/>
      <c r="M13" s="903"/>
      <c r="N13" s="903"/>
      <c r="O13" s="903"/>
      <c r="P13" s="903"/>
      <c r="Q13" s="903"/>
      <c r="R13" s="903"/>
      <c r="S13" s="903"/>
      <c r="T13" s="903"/>
      <c r="U13" s="903"/>
      <c r="V13" s="903"/>
      <c r="W13" s="904"/>
      <c r="X13" s="68"/>
      <c r="Y13" s="198"/>
      <c r="Z13" s="300">
        <f>Z11+1</f>
        <v>5</v>
      </c>
      <c r="AA13" s="314"/>
      <c r="AB13" s="300">
        <f>AB11+1</f>
        <v>21</v>
      </c>
    </row>
    <row r="14" spans="1:34" ht="6" customHeight="1" x14ac:dyDescent="0.25">
      <c r="B14" s="753"/>
      <c r="C14" s="754"/>
      <c r="D14" s="61"/>
      <c r="E14" s="77"/>
      <c r="F14" s="77"/>
      <c r="G14" s="752"/>
      <c r="H14" s="902"/>
      <c r="I14" s="903"/>
      <c r="J14" s="903"/>
      <c r="K14" s="903"/>
      <c r="L14" s="903"/>
      <c r="M14" s="903"/>
      <c r="N14" s="903"/>
      <c r="O14" s="903"/>
      <c r="P14" s="903"/>
      <c r="Q14" s="903"/>
      <c r="R14" s="903"/>
      <c r="S14" s="903"/>
      <c r="T14" s="903"/>
      <c r="U14" s="903"/>
      <c r="V14" s="903"/>
      <c r="W14" s="904"/>
      <c r="X14" s="64"/>
      <c r="Y14" s="94"/>
    </row>
    <row r="15" spans="1:34" ht="15" customHeight="1" x14ac:dyDescent="0.25">
      <c r="A15" s="194" t="str">
        <f ca="1">'Formulario OM'!A15</f>
        <v>NEGRITA</v>
      </c>
      <c r="B15" s="702"/>
      <c r="C15" s="700"/>
      <c r="D15" s="700"/>
      <c r="E15" s="700"/>
      <c r="F15" s="700"/>
      <c r="G15" s="752"/>
      <c r="H15" s="902"/>
      <c r="I15" s="903"/>
      <c r="J15" s="903"/>
      <c r="K15" s="903"/>
      <c r="L15" s="903"/>
      <c r="M15" s="903"/>
      <c r="N15" s="903"/>
      <c r="O15" s="903"/>
      <c r="P15" s="903"/>
      <c r="Q15" s="903"/>
      <c r="R15" s="903"/>
      <c r="S15" s="903"/>
      <c r="T15" s="903"/>
      <c r="U15" s="903"/>
      <c r="V15" s="903"/>
      <c r="W15" s="904"/>
      <c r="X15" s="68"/>
      <c r="Y15" s="198"/>
      <c r="Z15" s="300">
        <f>Z13+1</f>
        <v>6</v>
      </c>
      <c r="AA15" s="314"/>
      <c r="AB15" s="300">
        <f>AB13+1</f>
        <v>22</v>
      </c>
    </row>
    <row r="16" spans="1:34" ht="6" customHeight="1" x14ac:dyDescent="0.25">
      <c r="B16" s="60"/>
      <c r="C16" s="61"/>
      <c r="D16" s="61"/>
      <c r="E16" s="61"/>
      <c r="F16" s="61"/>
      <c r="G16" s="752"/>
      <c r="H16" s="902"/>
      <c r="I16" s="903"/>
      <c r="J16" s="903"/>
      <c r="K16" s="903"/>
      <c r="L16" s="903"/>
      <c r="M16" s="903"/>
      <c r="N16" s="903"/>
      <c r="O16" s="903"/>
      <c r="P16" s="903"/>
      <c r="Q16" s="903"/>
      <c r="R16" s="903"/>
      <c r="S16" s="903"/>
      <c r="T16" s="903"/>
      <c r="U16" s="903"/>
      <c r="V16" s="903"/>
      <c r="W16" s="904"/>
      <c r="X16" s="64"/>
      <c r="Y16" s="94"/>
    </row>
    <row r="17" spans="1:28" ht="15" customHeight="1" x14ac:dyDescent="0.25">
      <c r="A17" s="194" t="str">
        <f ca="1">'Formulario OM'!A17</f>
        <v>ESPACIOS (+1)</v>
      </c>
      <c r="B17" s="65"/>
      <c r="C17" s="780" t="str">
        <f ca="1">INDIRECT("Z_DG_40_"&amp;IDIOMA)</f>
        <v>INFORMACIÓN Códigos CLOZE</v>
      </c>
      <c r="D17" s="780"/>
      <c r="E17" s="780"/>
      <c r="F17" s="780"/>
      <c r="G17" s="780"/>
      <c r="H17" s="902"/>
      <c r="I17" s="903"/>
      <c r="J17" s="903"/>
      <c r="K17" s="903"/>
      <c r="L17" s="903"/>
      <c r="M17" s="903"/>
      <c r="N17" s="903"/>
      <c r="O17" s="903"/>
      <c r="P17" s="903"/>
      <c r="Q17" s="903"/>
      <c r="R17" s="903"/>
      <c r="S17" s="903"/>
      <c r="T17" s="903"/>
      <c r="U17" s="903"/>
      <c r="V17" s="903"/>
      <c r="W17" s="904"/>
      <c r="X17" s="68"/>
      <c r="Y17" s="198"/>
      <c r="Z17" s="300">
        <f>Z15+1</f>
        <v>7</v>
      </c>
      <c r="AA17" s="314"/>
      <c r="AB17" s="300">
        <f>AB15+1</f>
        <v>23</v>
      </c>
    </row>
    <row r="18" spans="1:28" ht="6" customHeight="1" x14ac:dyDescent="0.25">
      <c r="B18" s="60"/>
      <c r="C18" s="61"/>
      <c r="D18" s="61"/>
      <c r="E18" s="61"/>
      <c r="F18" s="61"/>
      <c r="G18" s="61"/>
      <c r="H18" s="902"/>
      <c r="I18" s="903"/>
      <c r="J18" s="903"/>
      <c r="K18" s="903"/>
      <c r="L18" s="903"/>
      <c r="M18" s="903"/>
      <c r="N18" s="903"/>
      <c r="O18" s="903"/>
      <c r="P18" s="903"/>
      <c r="Q18" s="903"/>
      <c r="R18" s="903"/>
      <c r="S18" s="903"/>
      <c r="T18" s="903"/>
      <c r="U18" s="903"/>
      <c r="V18" s="903"/>
      <c r="W18" s="904"/>
      <c r="X18" s="64"/>
      <c r="Y18" s="94"/>
    </row>
    <row r="19" spans="1:28" ht="15.75" customHeight="1" x14ac:dyDescent="0.25">
      <c r="A19" s="194" t="str">
        <f ca="1">'Formulario OM'!A19</f>
        <v>TEXTO ROJO</v>
      </c>
      <c r="B19" s="65"/>
      <c r="C19" s="66"/>
      <c r="D19" s="66"/>
      <c r="E19" s="909" t="str">
        <f ca="1">INDIRECT("Z_DG_41_"&amp;IDIOMA)</f>
        <v>OPCIÓN MÚLTIPLE</v>
      </c>
      <c r="F19" s="909"/>
      <c r="G19" s="66"/>
      <c r="H19" s="902"/>
      <c r="I19" s="903"/>
      <c r="J19" s="903"/>
      <c r="K19" s="903"/>
      <c r="L19" s="903"/>
      <c r="M19" s="903"/>
      <c r="N19" s="903"/>
      <c r="O19" s="903"/>
      <c r="P19" s="903"/>
      <c r="Q19" s="903"/>
      <c r="R19" s="903"/>
      <c r="S19" s="903"/>
      <c r="T19" s="903"/>
      <c r="U19" s="903"/>
      <c r="V19" s="903"/>
      <c r="W19" s="904"/>
      <c r="X19" s="68"/>
      <c r="Y19" s="198"/>
      <c r="Z19" s="300">
        <f>Z17+1</f>
        <v>8</v>
      </c>
      <c r="AA19" s="314"/>
      <c r="AB19" s="300">
        <f>AB17+1</f>
        <v>24</v>
      </c>
    </row>
    <row r="20" spans="1:28" ht="6" customHeight="1" x14ac:dyDescent="0.25">
      <c r="A20" s="195"/>
      <c r="B20" s="60"/>
      <c r="C20" s="61"/>
      <c r="D20" s="61"/>
      <c r="E20" s="909"/>
      <c r="F20" s="909"/>
      <c r="G20" s="61"/>
      <c r="H20" s="902"/>
      <c r="I20" s="903"/>
      <c r="J20" s="903"/>
      <c r="K20" s="903"/>
      <c r="L20" s="903"/>
      <c r="M20" s="903"/>
      <c r="N20" s="903"/>
      <c r="O20" s="903"/>
      <c r="P20" s="903"/>
      <c r="Q20" s="903"/>
      <c r="R20" s="903"/>
      <c r="S20" s="903"/>
      <c r="T20" s="903"/>
      <c r="U20" s="903"/>
      <c r="V20" s="903"/>
      <c r="W20" s="904"/>
      <c r="X20" s="64"/>
      <c r="Y20" s="94"/>
    </row>
    <row r="21" spans="1:28" ht="15" customHeight="1" x14ac:dyDescent="0.25">
      <c r="A21" s="194" t="str">
        <f ca="1">'Formulario OM'!A21</f>
        <v>TEXTO AZUL</v>
      </c>
      <c r="B21" s="65"/>
      <c r="C21" s="66"/>
      <c r="D21" s="66"/>
      <c r="E21" s="909"/>
      <c r="F21" s="909"/>
      <c r="G21" s="66"/>
      <c r="H21" s="902"/>
      <c r="I21" s="903"/>
      <c r="J21" s="903"/>
      <c r="K21" s="903"/>
      <c r="L21" s="903"/>
      <c r="M21" s="903"/>
      <c r="N21" s="903"/>
      <c r="O21" s="903"/>
      <c r="P21" s="903"/>
      <c r="Q21" s="903"/>
      <c r="R21" s="903"/>
      <c r="S21" s="903"/>
      <c r="T21" s="903"/>
      <c r="U21" s="903"/>
      <c r="V21" s="903"/>
      <c r="W21" s="904"/>
      <c r="X21" s="68"/>
      <c r="Y21" s="198"/>
      <c r="Z21" s="300">
        <f>Z19+1</f>
        <v>9</v>
      </c>
      <c r="AA21" s="314"/>
      <c r="AB21" s="300">
        <f>AB19+1</f>
        <v>25</v>
      </c>
    </row>
    <row r="22" spans="1:28" ht="6" customHeight="1" x14ac:dyDescent="0.25">
      <c r="B22" s="60"/>
      <c r="C22" s="61"/>
      <c r="D22" s="61"/>
      <c r="E22" s="61"/>
      <c r="F22" s="61"/>
      <c r="G22" s="61"/>
      <c r="H22" s="902"/>
      <c r="I22" s="903"/>
      <c r="J22" s="903"/>
      <c r="K22" s="903"/>
      <c r="L22" s="903"/>
      <c r="M22" s="903"/>
      <c r="N22" s="903"/>
      <c r="O22" s="903"/>
      <c r="P22" s="903"/>
      <c r="Q22" s="903"/>
      <c r="R22" s="903"/>
      <c r="S22" s="903"/>
      <c r="T22" s="903"/>
      <c r="U22" s="903"/>
      <c r="V22" s="903"/>
      <c r="W22" s="904"/>
      <c r="X22" s="64"/>
      <c r="Y22" s="94"/>
      <c r="Z22" s="17"/>
    </row>
    <row r="23" spans="1:28" ht="15" customHeight="1" x14ac:dyDescent="0.25">
      <c r="A23" s="194" t="str">
        <f ca="1">'Formulario OM'!A23</f>
        <v>OTRO COLOR</v>
      </c>
      <c r="B23" s="65"/>
      <c r="C23" s="66"/>
      <c r="D23" s="66"/>
      <c r="E23" s="909" t="str">
        <f ca="1">INDIRECT("Z_DG_42_"&amp;IDIOMA)</f>
        <v>RESPUESTA CORTA</v>
      </c>
      <c r="F23" s="909"/>
      <c r="G23" s="66"/>
      <c r="H23" s="902"/>
      <c r="I23" s="903"/>
      <c r="J23" s="903"/>
      <c r="K23" s="903"/>
      <c r="L23" s="903"/>
      <c r="M23" s="903"/>
      <c r="N23" s="903"/>
      <c r="O23" s="903"/>
      <c r="P23" s="903"/>
      <c r="Q23" s="903"/>
      <c r="R23" s="903"/>
      <c r="S23" s="903"/>
      <c r="T23" s="903"/>
      <c r="U23" s="903"/>
      <c r="V23" s="903"/>
      <c r="W23" s="904"/>
      <c r="X23" s="68"/>
      <c r="Y23" s="198"/>
      <c r="Z23" s="300">
        <f>Z21+1</f>
        <v>10</v>
      </c>
      <c r="AA23" s="314"/>
      <c r="AB23" s="300">
        <f>AB21+1</f>
        <v>26</v>
      </c>
    </row>
    <row r="24" spans="1:28" ht="6" customHeight="1" thickBot="1" x14ac:dyDescent="0.3">
      <c r="B24" s="65"/>
      <c r="C24" s="66"/>
      <c r="D24" s="66"/>
      <c r="E24" s="909"/>
      <c r="F24" s="909"/>
      <c r="G24" s="66"/>
      <c r="H24" s="902"/>
      <c r="I24" s="903"/>
      <c r="J24" s="903"/>
      <c r="K24" s="903"/>
      <c r="L24" s="903"/>
      <c r="M24" s="903"/>
      <c r="N24" s="903"/>
      <c r="O24" s="903"/>
      <c r="P24" s="903"/>
      <c r="Q24" s="903"/>
      <c r="R24" s="903"/>
      <c r="S24" s="903"/>
      <c r="T24" s="903"/>
      <c r="U24" s="903"/>
      <c r="V24" s="903"/>
      <c r="W24" s="904"/>
      <c r="X24" s="68"/>
      <c r="Y24" s="4"/>
      <c r="Z24" s="17"/>
    </row>
    <row r="25" spans="1:28" ht="15" customHeight="1" x14ac:dyDescent="0.25">
      <c r="A25" s="737" t="str">
        <f ca="1">'Formulario OM'!A25</f>
        <v>INSERTAR
IMÁGENES</v>
      </c>
      <c r="B25" s="65"/>
      <c r="C25" s="66"/>
      <c r="D25" s="66"/>
      <c r="E25" s="909"/>
      <c r="F25" s="909"/>
      <c r="G25" s="66"/>
      <c r="H25" s="902"/>
      <c r="I25" s="903"/>
      <c r="J25" s="903"/>
      <c r="K25" s="903"/>
      <c r="L25" s="903"/>
      <c r="M25" s="903"/>
      <c r="N25" s="903"/>
      <c r="O25" s="903"/>
      <c r="P25" s="903"/>
      <c r="Q25" s="903"/>
      <c r="R25" s="903"/>
      <c r="S25" s="903"/>
      <c r="T25" s="903"/>
      <c r="U25" s="903"/>
      <c r="V25" s="903"/>
      <c r="W25" s="904"/>
      <c r="X25" s="68"/>
      <c r="Y25" s="198"/>
      <c r="Z25" s="300">
        <f>Z23+1</f>
        <v>11</v>
      </c>
      <c r="AA25" s="314"/>
      <c r="AB25" s="300">
        <f>AB23+1</f>
        <v>27</v>
      </c>
    </row>
    <row r="26" spans="1:28" ht="6" customHeight="1" x14ac:dyDescent="0.25">
      <c r="A26" s="738"/>
      <c r="B26" s="65"/>
      <c r="C26" s="69"/>
      <c r="D26" s="69"/>
      <c r="E26" s="69"/>
      <c r="F26" s="69"/>
      <c r="G26" s="66"/>
      <c r="H26" s="902"/>
      <c r="I26" s="903"/>
      <c r="J26" s="903"/>
      <c r="K26" s="903"/>
      <c r="L26" s="903"/>
      <c r="M26" s="903"/>
      <c r="N26" s="903"/>
      <c r="O26" s="903"/>
      <c r="P26" s="903"/>
      <c r="Q26" s="903"/>
      <c r="R26" s="903"/>
      <c r="S26" s="903"/>
      <c r="T26" s="903"/>
      <c r="U26" s="903"/>
      <c r="V26" s="903"/>
      <c r="W26" s="904"/>
      <c r="X26" s="68"/>
      <c r="Y26" s="94"/>
      <c r="Z26" s="17"/>
    </row>
    <row r="27" spans="1:28" ht="15" customHeight="1" thickBot="1" x14ac:dyDescent="0.3">
      <c r="A27" s="739"/>
      <c r="B27" s="65"/>
      <c r="C27" s="69"/>
      <c r="D27" s="69"/>
      <c r="E27" s="909" t="str">
        <f ca="1">INDIRECT("Z_DG_43_"&amp;IDIOMA)</f>
        <v>NUMÉRICA</v>
      </c>
      <c r="F27" s="909"/>
      <c r="G27" s="66"/>
      <c r="H27" s="902"/>
      <c r="I27" s="903"/>
      <c r="J27" s="903"/>
      <c r="K27" s="903"/>
      <c r="L27" s="903"/>
      <c r="M27" s="903"/>
      <c r="N27" s="903"/>
      <c r="O27" s="903"/>
      <c r="P27" s="903"/>
      <c r="Q27" s="903"/>
      <c r="R27" s="903"/>
      <c r="S27" s="903"/>
      <c r="T27" s="903"/>
      <c r="U27" s="903"/>
      <c r="V27" s="903"/>
      <c r="W27" s="904"/>
      <c r="X27" s="68"/>
      <c r="Y27" s="198"/>
      <c r="Z27" s="300">
        <f>Z25+1</f>
        <v>12</v>
      </c>
      <c r="AA27" s="314"/>
      <c r="AB27" s="300">
        <f>AB25+1</f>
        <v>28</v>
      </c>
    </row>
    <row r="28" spans="1:28" ht="6" customHeight="1" thickBot="1" x14ac:dyDescent="0.3">
      <c r="B28" s="65"/>
      <c r="C28" s="69"/>
      <c r="D28" s="69"/>
      <c r="E28" s="909"/>
      <c r="F28" s="909"/>
      <c r="G28" s="66"/>
      <c r="H28" s="902"/>
      <c r="I28" s="903"/>
      <c r="J28" s="903"/>
      <c r="K28" s="903"/>
      <c r="L28" s="903"/>
      <c r="M28" s="903"/>
      <c r="N28" s="903"/>
      <c r="O28" s="903"/>
      <c r="P28" s="903"/>
      <c r="Q28" s="903"/>
      <c r="R28" s="903"/>
      <c r="S28" s="903"/>
      <c r="T28" s="903"/>
      <c r="U28" s="903"/>
      <c r="V28" s="903"/>
      <c r="W28" s="904"/>
      <c r="X28" s="68"/>
      <c r="Y28" s="94"/>
      <c r="Z28" s="17"/>
    </row>
    <row r="29" spans="1:28" ht="15" customHeight="1" thickBot="1" x14ac:dyDescent="0.3">
      <c r="A29" s="737" t="str">
        <f ca="1">'Formulario OM'!A29</f>
        <v>USAR DATOS VARIABLES</v>
      </c>
      <c r="B29" s="65"/>
      <c r="C29" s="66"/>
      <c r="D29" s="66"/>
      <c r="E29" s="909"/>
      <c r="F29" s="909"/>
      <c r="G29" s="76"/>
      <c r="H29" s="905"/>
      <c r="I29" s="906"/>
      <c r="J29" s="906"/>
      <c r="K29" s="906"/>
      <c r="L29" s="906"/>
      <c r="M29" s="906"/>
      <c r="N29" s="906"/>
      <c r="O29" s="906"/>
      <c r="P29" s="906"/>
      <c r="Q29" s="906"/>
      <c r="R29" s="906"/>
      <c r="S29" s="906"/>
      <c r="T29" s="906"/>
      <c r="U29" s="906"/>
      <c r="V29" s="906"/>
      <c r="W29" s="907"/>
      <c r="X29" s="180"/>
      <c r="Y29" s="198"/>
      <c r="Z29" s="300">
        <f>Z27+1</f>
        <v>13</v>
      </c>
      <c r="AA29" s="314"/>
      <c r="AB29" s="300">
        <f>AB27+1</f>
        <v>29</v>
      </c>
    </row>
    <row r="30" spans="1:28" ht="6" customHeight="1" thickTop="1" x14ac:dyDescent="0.25">
      <c r="A30" s="738"/>
      <c r="B30" s="65"/>
      <c r="C30" s="69"/>
      <c r="D30" s="69"/>
      <c r="E30" s="69"/>
      <c r="F30" s="77">
        <v>1</v>
      </c>
      <c r="G30" s="66"/>
      <c r="H30" s="76"/>
      <c r="I30" s="76"/>
      <c r="J30" s="70"/>
      <c r="K30" s="70"/>
      <c r="L30" s="70"/>
      <c r="M30" s="70"/>
      <c r="N30" s="70"/>
      <c r="O30" s="70"/>
      <c r="P30" s="70"/>
      <c r="Q30" s="70"/>
      <c r="R30" s="179"/>
      <c r="S30" s="179"/>
      <c r="T30" s="179"/>
      <c r="U30" s="179"/>
      <c r="V30" s="179"/>
      <c r="W30" s="179"/>
      <c r="X30" s="180"/>
      <c r="Y30" s="94"/>
      <c r="Z30" s="17"/>
    </row>
    <row r="31" spans="1:28" ht="15.75" thickBot="1" x14ac:dyDescent="0.3">
      <c r="A31" s="739"/>
      <c r="B31" s="65"/>
      <c r="C31" s="66"/>
      <c r="D31" s="66"/>
      <c r="E31" s="69"/>
      <c r="F31" s="77">
        <v>1</v>
      </c>
      <c r="G31" s="795" t="str">
        <f ca="1">INDIRECT("Z_OM_11_"&amp;IDIOMA)</f>
        <v>PISTA</v>
      </c>
      <c r="H31" s="795"/>
      <c r="I31" s="795"/>
      <c r="J31" s="795"/>
      <c r="K31" s="795"/>
      <c r="L31" s="795"/>
      <c r="M31" s="795"/>
      <c r="N31" s="795"/>
      <c r="O31" s="795"/>
      <c r="P31" s="795"/>
      <c r="Q31" s="795"/>
      <c r="R31" s="179"/>
      <c r="S31" s="697"/>
      <c r="T31" s="697"/>
      <c r="U31" s="697"/>
      <c r="V31" s="697"/>
      <c r="W31" s="697"/>
      <c r="X31" s="783"/>
      <c r="Y31" s="198"/>
      <c r="Z31" s="300">
        <f>Z29+1</f>
        <v>14</v>
      </c>
      <c r="AA31" s="314"/>
      <c r="AB31" s="300">
        <f>AB29+1</f>
        <v>30</v>
      </c>
    </row>
    <row r="32" spans="1:28" ht="6" customHeight="1" thickBot="1" x14ac:dyDescent="0.3">
      <c r="A32" s="660"/>
      <c r="B32" s="65"/>
      <c r="C32" s="747" t="s">
        <v>138</v>
      </c>
      <c r="D32" s="747"/>
      <c r="E32" s="69"/>
      <c r="F32" s="77"/>
      <c r="G32" s="76"/>
      <c r="H32" s="76"/>
      <c r="I32" s="76"/>
      <c r="J32" s="70"/>
      <c r="K32" s="70"/>
      <c r="L32" s="70"/>
      <c r="M32" s="76"/>
      <c r="N32" s="70"/>
      <c r="O32" s="70"/>
      <c r="P32" s="70"/>
      <c r="Q32" s="70"/>
      <c r="R32" s="179"/>
      <c r="S32" s="697"/>
      <c r="T32" s="697"/>
      <c r="U32" s="697"/>
      <c r="V32" s="697"/>
      <c r="W32" s="697"/>
      <c r="X32" s="783"/>
      <c r="Y32" s="94"/>
    </row>
    <row r="33" spans="1:28" ht="15" customHeight="1" thickTop="1" thickBot="1" x14ac:dyDescent="0.3">
      <c r="A33" s="194" t="str">
        <f ca="1">'Formulario OM'!A33</f>
        <v>ACTIVAR</v>
      </c>
      <c r="B33" s="65"/>
      <c r="C33" s="747"/>
      <c r="D33" s="747"/>
      <c r="E33" s="69"/>
      <c r="F33" s="215" t="s">
        <v>858</v>
      </c>
      <c r="G33" s="762"/>
      <c r="H33" s="763"/>
      <c r="I33" s="763"/>
      <c r="J33" s="763"/>
      <c r="K33" s="764"/>
      <c r="L33" s="215" t="s">
        <v>856</v>
      </c>
      <c r="M33" s="762"/>
      <c r="N33" s="763"/>
      <c r="O33" s="763"/>
      <c r="P33" s="763"/>
      <c r="Q33" s="764"/>
      <c r="R33" s="179"/>
      <c r="S33" s="697"/>
      <c r="T33" s="697"/>
      <c r="U33" s="697"/>
      <c r="V33" s="697"/>
      <c r="W33" s="697"/>
      <c r="X33" s="783"/>
      <c r="Y33" s="198"/>
      <c r="Z33" s="300">
        <f>Z31+1</f>
        <v>15</v>
      </c>
      <c r="AA33" s="314"/>
      <c r="AB33" s="300">
        <f>AB31+1</f>
        <v>31</v>
      </c>
    </row>
    <row r="34" spans="1:28" ht="6" customHeight="1" thickTop="1" thickBot="1" x14ac:dyDescent="0.3">
      <c r="A34" s="2"/>
      <c r="B34" s="65"/>
      <c r="C34" s="747"/>
      <c r="D34" s="747"/>
      <c r="E34" s="69"/>
      <c r="F34" s="77"/>
      <c r="G34" s="76">
        <f>M32+1</f>
        <v>1</v>
      </c>
      <c r="H34" s="76"/>
      <c r="I34" s="76"/>
      <c r="J34" s="70"/>
      <c r="K34" s="70"/>
      <c r="L34" s="70"/>
      <c r="M34" s="76">
        <f>G34+1</f>
        <v>2</v>
      </c>
      <c r="N34" s="71"/>
      <c r="O34" s="71"/>
      <c r="P34" s="71"/>
      <c r="Q34" s="71"/>
      <c r="R34" s="179"/>
      <c r="S34" s="697"/>
      <c r="T34" s="697"/>
      <c r="U34" s="697"/>
      <c r="V34" s="697"/>
      <c r="W34" s="697"/>
      <c r="X34" s="783"/>
      <c r="Y34" s="94"/>
    </row>
    <row r="35" spans="1:28" ht="15" customHeight="1" thickTop="1" thickBot="1" x14ac:dyDescent="0.3">
      <c r="A35" s="194" t="str">
        <f ca="1">'Formulario OM'!A35</f>
        <v>DESACTIVAR</v>
      </c>
      <c r="B35" s="65"/>
      <c r="C35" s="747"/>
      <c r="D35" s="747"/>
      <c r="E35" s="69"/>
      <c r="F35" s="215" t="s">
        <v>859</v>
      </c>
      <c r="G35" s="896"/>
      <c r="H35" s="897"/>
      <c r="I35" s="897"/>
      <c r="J35" s="897"/>
      <c r="K35" s="898"/>
      <c r="L35" s="215" t="s">
        <v>857</v>
      </c>
      <c r="M35" s="896"/>
      <c r="N35" s="897"/>
      <c r="O35" s="897"/>
      <c r="P35" s="897"/>
      <c r="Q35" s="898"/>
      <c r="R35" s="179"/>
      <c r="S35" s="697"/>
      <c r="T35" s="697"/>
      <c r="U35" s="697"/>
      <c r="V35" s="697"/>
      <c r="W35" s="697"/>
      <c r="X35" s="783"/>
      <c r="Y35" s="198"/>
      <c r="Z35" s="300">
        <f>Z33+1</f>
        <v>16</v>
      </c>
      <c r="AA35" s="314"/>
      <c r="AB35" s="300">
        <f>AB33+1</f>
        <v>32</v>
      </c>
    </row>
    <row r="36" spans="1:28" ht="9.9499999999999993" customHeight="1" thickTop="1" thickBot="1" x14ac:dyDescent="0.3">
      <c r="A36" s="653" t="str">
        <f>IF(AB2&gt;0,AB2,"")</f>
        <v/>
      </c>
      <c r="B36" s="315"/>
      <c r="C36" s="336" t="str">
        <f>Version</f>
        <v xml:space="preserve">   V - 5.0 </v>
      </c>
      <c r="D36" s="72"/>
      <c r="E36" s="72"/>
      <c r="F36" s="233">
        <v>4</v>
      </c>
      <c r="G36" s="72"/>
      <c r="H36" s="72"/>
      <c r="I36" s="72"/>
      <c r="J36" s="72"/>
      <c r="K36" s="72"/>
      <c r="L36" s="72"/>
      <c r="M36" s="72"/>
      <c r="N36" s="72"/>
      <c r="O36" s="72"/>
      <c r="P36" s="72"/>
      <c r="Q36" s="72"/>
      <c r="R36" s="181"/>
      <c r="S36" s="784"/>
      <c r="T36" s="784"/>
      <c r="U36" s="784"/>
      <c r="V36" s="784"/>
      <c r="W36" s="784"/>
      <c r="X36" s="785"/>
      <c r="Y36" s="94"/>
    </row>
    <row r="37" spans="1:28" s="3" customFormat="1" ht="15.75" hidden="1" customHeight="1" thickTop="1" x14ac:dyDescent="0.25">
      <c r="G37" s="48">
        <v>801</v>
      </c>
      <c r="M37" s="302" t="b">
        <v>1</v>
      </c>
      <c r="N37" s="302" t="b">
        <f>Centrar_Tabla</f>
        <v>1</v>
      </c>
      <c r="Y37" s="6"/>
    </row>
    <row r="38" spans="1:28" s="3" customFormat="1" ht="5.0999999999999996" customHeight="1" thickTop="1" x14ac:dyDescent="0.25">
      <c r="A38" s="6"/>
      <c r="B38" s="18"/>
      <c r="C38" s="18"/>
      <c r="D38" s="18"/>
      <c r="E38" s="18"/>
      <c r="F38" s="18"/>
      <c r="G38" s="18"/>
      <c r="Y38" s="6"/>
    </row>
    <row r="39" spans="1:28" s="3" customFormat="1" x14ac:dyDescent="0.25">
      <c r="A39" s="6"/>
      <c r="Y39" s="6"/>
    </row>
    <row r="40" spans="1:28" s="3" customFormat="1" hidden="1" x14ac:dyDescent="0.25">
      <c r="A40" s="6"/>
      <c r="Y40" s="6"/>
    </row>
    <row r="41" spans="1:28" s="3" customFormat="1" ht="15.75" hidden="1" x14ac:dyDescent="0.25">
      <c r="A41" s="199"/>
      <c r="Y41" s="6"/>
    </row>
    <row r="42" spans="1:28" s="3" customFormat="1" hidden="1" x14ac:dyDescent="0.25">
      <c r="A42" s="6"/>
      <c r="Y42" s="6"/>
    </row>
    <row r="43" spans="1:28" s="3" customFormat="1" hidden="1" x14ac:dyDescent="0.25">
      <c r="A43" s="6"/>
      <c r="Y43" s="6"/>
    </row>
    <row r="44" spans="1:28" s="3" customFormat="1" hidden="1" x14ac:dyDescent="0.25">
      <c r="A44" s="6"/>
      <c r="Y44" s="6"/>
    </row>
    <row r="45" spans="1:28" s="3" customFormat="1" ht="15.75" hidden="1" customHeight="1" x14ac:dyDescent="0.25">
      <c r="A45" s="6"/>
      <c r="Y45" s="6"/>
    </row>
    <row r="46" spans="1:28" s="3" customFormat="1" ht="15" hidden="1" customHeight="1" x14ac:dyDescent="0.25">
      <c r="Y46" s="6"/>
    </row>
    <row r="47" spans="1:28" s="3" customFormat="1" ht="15" hidden="1" customHeight="1" x14ac:dyDescent="0.25">
      <c r="A47"/>
      <c r="Y47" s="6"/>
    </row>
    <row r="48" spans="1:28" s="3" customFormat="1" ht="15" hidden="1" customHeight="1" x14ac:dyDescent="0.25">
      <c r="A48"/>
      <c r="Y48" s="6"/>
    </row>
    <row r="49" spans="1:25" s="3" customFormat="1" ht="15" hidden="1" customHeight="1" x14ac:dyDescent="0.25">
      <c r="A49"/>
      <c r="Y49" s="6"/>
    </row>
    <row r="50" spans="1:25" s="3" customFormat="1" ht="15" hidden="1" customHeight="1" x14ac:dyDescent="0.25">
      <c r="A50"/>
      <c r="Y50" s="6"/>
    </row>
    <row r="51" spans="1:25" s="3" customFormat="1" ht="15" hidden="1" customHeight="1" x14ac:dyDescent="0.25">
      <c r="A51"/>
      <c r="Y51" s="6"/>
    </row>
    <row r="52" spans="1:25" s="3" customFormat="1" ht="15" hidden="1" customHeight="1" x14ac:dyDescent="0.25">
      <c r="A52"/>
      <c r="Y52" s="6"/>
    </row>
    <row r="53" spans="1:25" s="3" customFormat="1" ht="15" hidden="1" customHeight="1" x14ac:dyDescent="0.25">
      <c r="A53"/>
      <c r="Y53" s="6"/>
    </row>
    <row r="54" spans="1:25" s="3" customFormat="1" ht="15" hidden="1" customHeight="1" x14ac:dyDescent="0.25">
      <c r="A54"/>
      <c r="Y54" s="6"/>
    </row>
    <row r="55" spans="1:25" s="3" customFormat="1" ht="15" hidden="1" customHeight="1" x14ac:dyDescent="0.25">
      <c r="A55"/>
      <c r="Y55" s="6"/>
    </row>
    <row r="56" spans="1:25" s="3" customFormat="1" ht="15" hidden="1" customHeight="1" x14ac:dyDescent="0.25">
      <c r="A56"/>
      <c r="Y56" s="6"/>
    </row>
    <row r="57" spans="1:25" s="3" customFormat="1" ht="15" hidden="1" customHeight="1" x14ac:dyDescent="0.25">
      <c r="A57"/>
      <c r="Y57" s="6"/>
    </row>
    <row r="58" spans="1:25" s="3" customFormat="1" ht="15" hidden="1" customHeight="1" x14ac:dyDescent="0.25">
      <c r="A58"/>
      <c r="Y58" s="6"/>
    </row>
    <row r="59" spans="1:25" s="3" customFormat="1" ht="15" hidden="1" customHeight="1" x14ac:dyDescent="0.25">
      <c r="A59"/>
      <c r="Y59" s="6"/>
    </row>
    <row r="60" spans="1:25" s="3" customFormat="1" ht="15" hidden="1" customHeight="1" x14ac:dyDescent="0.25">
      <c r="A60"/>
      <c r="Y60" s="6"/>
    </row>
    <row r="61" spans="1:25" s="3" customFormat="1" ht="15" hidden="1" customHeight="1" x14ac:dyDescent="0.25">
      <c r="A61"/>
      <c r="Y61" s="6"/>
    </row>
    <row r="62" spans="1:25" s="3" customFormat="1" ht="15" hidden="1" customHeight="1" x14ac:dyDescent="0.25">
      <c r="A62"/>
      <c r="Y62" s="6"/>
    </row>
    <row r="63" spans="1:25" s="3" customFormat="1" ht="15.75" hidden="1" customHeight="1" x14ac:dyDescent="0.25">
      <c r="A63"/>
      <c r="Y63" s="6"/>
    </row>
    <row r="64" spans="1:25" s="3" customFormat="1" hidden="1" x14ac:dyDescent="0.25">
      <c r="A64"/>
      <c r="Y64" s="6"/>
    </row>
    <row r="65" spans="1:25" s="3" customFormat="1" hidden="1" x14ac:dyDescent="0.25">
      <c r="A65"/>
      <c r="Y65" s="6"/>
    </row>
    <row r="66" spans="1:25" s="3" customFormat="1" hidden="1" x14ac:dyDescent="0.25">
      <c r="A66"/>
      <c r="Y66" s="6"/>
    </row>
    <row r="67" spans="1:25" s="3" customFormat="1" hidden="1" x14ac:dyDescent="0.25">
      <c r="A67"/>
      <c r="Y67" s="6"/>
    </row>
    <row r="68" spans="1:25" s="3" customFormat="1" hidden="1" x14ac:dyDescent="0.25">
      <c r="A68"/>
      <c r="Y68" s="6"/>
    </row>
    <row r="69" spans="1:25" s="3" customFormat="1" hidden="1" x14ac:dyDescent="0.25">
      <c r="A69"/>
      <c r="Y69" s="6"/>
    </row>
    <row r="70" spans="1:25" s="3" customFormat="1" hidden="1" x14ac:dyDescent="0.25">
      <c r="A70"/>
      <c r="Y70" s="6"/>
    </row>
    <row r="71" spans="1:25" s="3" customFormat="1" hidden="1" x14ac:dyDescent="0.25">
      <c r="A71"/>
      <c r="Y71" s="6"/>
    </row>
    <row r="72" spans="1:25" s="3" customFormat="1" hidden="1" x14ac:dyDescent="0.25">
      <c r="A72"/>
      <c r="Y72" s="6"/>
    </row>
    <row r="73" spans="1:25" hidden="1" x14ac:dyDescent="0.25"/>
    <row r="74" spans="1:25" hidden="1" x14ac:dyDescent="0.25"/>
    <row r="75" spans="1:25" hidden="1" x14ac:dyDescent="0.25"/>
    <row r="76" spans="1:25" hidden="1" x14ac:dyDescent="0.25"/>
    <row r="77" spans="1:25" hidden="1" x14ac:dyDescent="0.25"/>
    <row r="78" spans="1:25" hidden="1" x14ac:dyDescent="0.25"/>
    <row r="79" spans="1:25" hidden="1" x14ac:dyDescent="0.25"/>
    <row r="80" spans="1:25" hidden="1" x14ac:dyDescent="0.25"/>
    <row r="81" hidden="1" x14ac:dyDescent="0.25"/>
    <row r="82" hidden="1" x14ac:dyDescent="0.25"/>
    <row r="83" hidden="1" x14ac:dyDescent="0.25"/>
    <row r="84" hidden="1" x14ac:dyDescent="0.25"/>
    <row r="85" hidden="1" x14ac:dyDescent="0.25"/>
    <row r="86" hidden="1" x14ac:dyDescent="0.25"/>
    <row r="87" hidden="1" x14ac:dyDescent="0.25"/>
    <row r="88" hidden="1" x14ac:dyDescent="0.25"/>
    <row r="89" hidden="1" x14ac:dyDescent="0.25"/>
    <row r="90" hidden="1" x14ac:dyDescent="0.25"/>
    <row r="91" hidden="1" x14ac:dyDescent="0.25"/>
    <row r="92" hidden="1" x14ac:dyDescent="0.25"/>
    <row r="93" hidden="1" x14ac:dyDescent="0.25"/>
    <row r="94" hidden="1" x14ac:dyDescent="0.25"/>
    <row r="95" hidden="1" x14ac:dyDescent="0.25"/>
    <row r="96" hidden="1" x14ac:dyDescent="0.25"/>
    <row r="97" hidden="1" x14ac:dyDescent="0.25"/>
    <row r="98" hidden="1" x14ac:dyDescent="0.25"/>
    <row r="99" hidden="1" x14ac:dyDescent="0.25"/>
    <row r="100" hidden="1" x14ac:dyDescent="0.25"/>
    <row r="101" hidden="1" x14ac:dyDescent="0.25"/>
    <row r="102" hidden="1" x14ac:dyDescent="0.25"/>
    <row r="103" hidden="1" x14ac:dyDescent="0.25"/>
    <row r="104" hidden="1" x14ac:dyDescent="0.25"/>
    <row r="105" hidden="1" x14ac:dyDescent="0.25"/>
    <row r="106" hidden="1" x14ac:dyDescent="0.25"/>
    <row r="107" hidden="1" x14ac:dyDescent="0.25"/>
    <row r="108" hidden="1" x14ac:dyDescent="0.25"/>
    <row r="109" hidden="1" x14ac:dyDescent="0.25"/>
    <row r="110" hidden="1" x14ac:dyDescent="0.25"/>
    <row r="111" hidden="1" x14ac:dyDescent="0.25"/>
    <row r="112" hidden="1" x14ac:dyDescent="0.25"/>
    <row r="113" hidden="1" x14ac:dyDescent="0.25"/>
    <row r="114" hidden="1" x14ac:dyDescent="0.25"/>
    <row r="115" hidden="1" x14ac:dyDescent="0.25"/>
    <row r="116" hidden="1" x14ac:dyDescent="0.25"/>
    <row r="117" hidden="1" x14ac:dyDescent="0.25"/>
    <row r="118" hidden="1" x14ac:dyDescent="0.25"/>
    <row r="119" hidden="1" x14ac:dyDescent="0.25"/>
    <row r="120" hidden="1" x14ac:dyDescent="0.25"/>
    <row r="121" hidden="1" x14ac:dyDescent="0.25"/>
    <row r="122" hidden="1" x14ac:dyDescent="0.25"/>
    <row r="123" hidden="1" x14ac:dyDescent="0.25"/>
    <row r="124" hidden="1" x14ac:dyDescent="0.25"/>
    <row r="125" hidden="1" x14ac:dyDescent="0.25"/>
    <row r="126" hidden="1" x14ac:dyDescent="0.25"/>
    <row r="127" hidden="1" x14ac:dyDescent="0.25"/>
    <row r="128" hidden="1" x14ac:dyDescent="0.25"/>
    <row r="129" hidden="1" x14ac:dyDescent="0.25"/>
    <row r="130" hidden="1" x14ac:dyDescent="0.25"/>
    <row r="131" hidden="1" x14ac:dyDescent="0.25"/>
    <row r="132" hidden="1" x14ac:dyDescent="0.25"/>
    <row r="133" hidden="1" x14ac:dyDescent="0.25"/>
    <row r="134" hidden="1" x14ac:dyDescent="0.25"/>
    <row r="135" hidden="1" x14ac:dyDescent="0.25"/>
    <row r="136" hidden="1" x14ac:dyDescent="0.25"/>
    <row r="137" hidden="1" x14ac:dyDescent="0.25"/>
    <row r="138" hidden="1" x14ac:dyDescent="0.25"/>
    <row r="139" hidden="1" x14ac:dyDescent="0.25"/>
  </sheetData>
  <sheetProtection algorithmName="SHA-512" hashValue="FTDJqS6p8accSt4eYzKX6vpO/59xEiCC32txhsUOIJkGS+26edtUbVKlDFT3xVw1Eno9gC03khQTQHA8P9B5WA==" saltValue="+TwBjqWdDUKytgfZt3zTVw==" spinCount="100000" sheet="1" objects="1" scenarios="1" selectLockedCells="1"/>
  <dataConsolidate/>
  <mergeCells count="42">
    <mergeCell ref="E23:F25"/>
    <mergeCell ref="E19:F21"/>
    <mergeCell ref="B5:G5"/>
    <mergeCell ref="B7:G7"/>
    <mergeCell ref="B9:G9"/>
    <mergeCell ref="B11:G11"/>
    <mergeCell ref="N7:P7"/>
    <mergeCell ref="R5:W5"/>
    <mergeCell ref="H7:M7"/>
    <mergeCell ref="V8:W8"/>
    <mergeCell ref="H9:M9"/>
    <mergeCell ref="N9:P9"/>
    <mergeCell ref="Q7:W7"/>
    <mergeCell ref="V9:W9"/>
    <mergeCell ref="M4:M6"/>
    <mergeCell ref="I5:K5"/>
    <mergeCell ref="N5:Q5"/>
    <mergeCell ref="A1:A3"/>
    <mergeCell ref="B1:K3"/>
    <mergeCell ref="Y1:Y3"/>
    <mergeCell ref="L2:M2"/>
    <mergeCell ref="N2:O2"/>
    <mergeCell ref="P2:Q2"/>
    <mergeCell ref="R2:S2"/>
    <mergeCell ref="T2:U2"/>
    <mergeCell ref="V2:W2"/>
    <mergeCell ref="A25:A27"/>
    <mergeCell ref="A29:A31"/>
    <mergeCell ref="G31:Q31"/>
    <mergeCell ref="S31:X36"/>
    <mergeCell ref="C32:D35"/>
    <mergeCell ref="G33:K33"/>
    <mergeCell ref="M33:Q33"/>
    <mergeCell ref="G35:K35"/>
    <mergeCell ref="M35:Q35"/>
    <mergeCell ref="H11:W29"/>
    <mergeCell ref="C17:G17"/>
    <mergeCell ref="D13:G13"/>
    <mergeCell ref="B12:C14"/>
    <mergeCell ref="B15:F15"/>
    <mergeCell ref="G14:G16"/>
    <mergeCell ref="E27:F29"/>
  </mergeCells>
  <conditionalFormatting sqref="AA2">
    <cfRule type="expression" dxfId="263" priority="1">
      <formula>$Z$2="OK"</formula>
    </cfRule>
  </conditionalFormatting>
  <dataValidations count="3">
    <dataValidation allowBlank="1" showErrorMessage="1" promptTitle="Descripción" prompt="Escirbe lo que quieras que aparezca en el NOMBRE de la pregunta. Éste se formará con el PREFIJO puesto en Datos Generales + el número de la pregunta + la Descripción." sqref="H9"/>
    <dataValidation allowBlank="1" showErrorMessage="1" promptTitle="Nº Pregunta" prompt="Número de la PREGUNTA que se está consultando. Si quires que el primer número de este banco de preguntas sea mayor (11, 21, 31...) incrementa el rango en la casilla Nº INICIAL del BANCO de PREGUNTAS." sqref="L5"/>
    <dataValidation type="whole" allowBlank="1" showInputMessage="1" showErrorMessage="1" sqref="H5">
      <formula1>1</formula1>
      <formula2>1000</formula2>
    </dataValidation>
  </dataValidations>
  <hyperlinks>
    <hyperlink ref="B1:K3" r:id="rId1" display="https://youtu.be/82WmbR3vKeQ"/>
  </hyperlinks>
  <printOptions horizontalCentered="1" verticalCentered="1"/>
  <pageMargins left="0.59055118110236227" right="0.59055118110236227" top="0.78740157480314965" bottom="0.78740157480314965" header="0.78740157480314965" footer="0.78740157480314965"/>
  <pageSetup paperSize="9" scale="10" orientation="landscape" horizontalDpi="1200" verticalDpi="1200" r:id="rId2"/>
  <headerFooter>
    <oddHeader>&amp;L&amp;G&amp;C&amp;"-,Negrita"&amp;12Elaborado por
MILAGROS HUERTA GÓMEZ DE MERODIO
(Universidad de Cádiz)&amp;R&amp;A</oddHeader>
    <oddFooter>&amp;C&amp;F&amp;RPg. &amp;P/&amp;N</oddFooter>
  </headerFooter>
  <drawing r:id="rId3"/>
  <legacyDrawing r:id="rId4"/>
  <legacyDrawingHF r:id="rId5"/>
  <mc:AlternateContent xmlns:mc="http://schemas.openxmlformats.org/markup-compatibility/2006">
    <mc:Choice Requires="x14">
      <controls>
        <mc:AlternateContent xmlns:mc="http://schemas.openxmlformats.org/markup-compatibility/2006">
          <mc:Choice Requires="x14">
            <control shapeId="65537" r:id="rId6" name="Contador 10">
              <controlPr defaultSize="0" autoPict="0" macro="[0]!Cambiar_N_I_Banco_Preguntas" altText="Para consultar los datos de cada pregunta.">
                <anchor moveWithCells="1" sizeWithCells="1">
                  <from>
                    <xdr:col>7</xdr:col>
                    <xdr:colOff>323850</xdr:colOff>
                    <xdr:row>3</xdr:row>
                    <xdr:rowOff>66675</xdr:rowOff>
                  </from>
                  <to>
                    <xdr:col>8</xdr:col>
                    <xdr:colOff>28575</xdr:colOff>
                    <xdr:row>5</xdr:row>
                    <xdr:rowOff>9525</xdr:rowOff>
                  </to>
                </anchor>
              </controlPr>
            </control>
          </mc:Choice>
        </mc:AlternateContent>
        <mc:AlternateContent xmlns:mc="http://schemas.openxmlformats.org/markup-compatibility/2006">
          <mc:Choice Requires="x14">
            <control shapeId="65538" r:id="rId7" name="Contador 100">
              <controlPr defaultSize="0" autoPict="0" macro="[0]!Cambiar_N_I_Banco_Preguntas" altText="Para consultar los datos de cada pregunta.">
                <anchor moveWithCells="1" sizeWithCells="1">
                  <from>
                    <xdr:col>8</xdr:col>
                    <xdr:colOff>28575</xdr:colOff>
                    <xdr:row>3</xdr:row>
                    <xdr:rowOff>66675</xdr:rowOff>
                  </from>
                  <to>
                    <xdr:col>8</xdr:col>
                    <xdr:colOff>114300</xdr:colOff>
                    <xdr:row>5</xdr:row>
                    <xdr:rowOff>9525</xdr:rowOff>
                  </to>
                </anchor>
              </controlPr>
            </control>
          </mc:Choice>
        </mc:AlternateContent>
        <mc:AlternateContent xmlns:mc="http://schemas.openxmlformats.org/markup-compatibility/2006">
          <mc:Choice Requires="x14">
            <control shapeId="65542" r:id="rId8" name="Contador 1">
              <controlPr defaultSize="0" autoPict="0" macro="[0]!Ver_Datos_Preguntas" altText="Para consultar los datos de cada pregunta.">
                <anchor moveWithCells="1" sizeWithCells="1">
                  <from>
                    <xdr:col>12</xdr:col>
                    <xdr:colOff>0</xdr:colOff>
                    <xdr:row>4</xdr:row>
                    <xdr:rowOff>0</xdr:rowOff>
                  </from>
                  <to>
                    <xdr:col>12</xdr:col>
                    <xdr:colOff>85725</xdr:colOff>
                    <xdr:row>5</xdr:row>
                    <xdr:rowOff>19050</xdr:rowOff>
                  </to>
                </anchor>
              </controlPr>
            </control>
          </mc:Choice>
        </mc:AlternateContent>
        <mc:AlternateContent xmlns:mc="http://schemas.openxmlformats.org/markup-compatibility/2006">
          <mc:Choice Requires="x14">
            <control shapeId="65543" r:id="rId9" name="Box PREGUNTAS">
              <controlPr defaultSize="0" autoFill="0" autoLine="0" autoPict="0">
                <anchor moveWithCells="1">
                  <from>
                    <xdr:col>12</xdr:col>
                    <xdr:colOff>85725</xdr:colOff>
                    <xdr:row>4</xdr:row>
                    <xdr:rowOff>9525</xdr:rowOff>
                  </from>
                  <to>
                    <xdr:col>12</xdr:col>
                    <xdr:colOff>323850</xdr:colOff>
                    <xdr:row>5</xdr:row>
                    <xdr:rowOff>9525</xdr:rowOff>
                  </to>
                </anchor>
              </controlPr>
            </control>
          </mc:Choice>
        </mc:AlternateContent>
      </controls>
    </mc:Choice>
  </mc:AlternateContent>
</worksheet>
</file>

<file path=xl/worksheets/sheet1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Hoja_28">
    <tabColor rgb="FFE87B00"/>
    <pageSetUpPr autoPageBreaks="0" fitToPage="1"/>
  </sheetPr>
  <dimension ref="A1:AM6"/>
  <sheetViews>
    <sheetView showGridLines="0" showRowColHeaders="0" zoomScale="140" zoomScaleNormal="140" workbookViewId="0">
      <pane xSplit="7" ySplit="4" topLeftCell="AI5" activePane="bottomRight" state="frozen"/>
      <selection activeCell="H4" sqref="H4"/>
      <selection pane="topRight" activeCell="H4" sqref="H4"/>
      <selection pane="bottomLeft" activeCell="H4" sqref="H4"/>
      <selection pane="bottomRight" activeCell="F6" sqref="F6"/>
    </sheetView>
  </sheetViews>
  <sheetFormatPr baseColWidth="10" defaultColWidth="0" defaultRowHeight="15" x14ac:dyDescent="0.25"/>
  <cols>
    <col min="1" max="1" width="9.85546875" style="14" customWidth="1"/>
    <col min="2" max="3" width="3.7109375" style="11" hidden="1" customWidth="1"/>
    <col min="4" max="5" width="3.7109375" style="15" hidden="1" customWidth="1"/>
    <col min="6" max="6" width="9.85546875" style="15" customWidth="1"/>
    <col min="7" max="7" width="114.5703125" style="11" customWidth="1"/>
    <col min="8" max="8" width="9.85546875" style="11" customWidth="1"/>
    <col min="9" max="31" width="5.7109375" style="11" hidden="1" customWidth="1"/>
    <col min="32" max="36" width="11.42578125" style="11" customWidth="1"/>
    <col min="37" max="39" width="0" style="11" hidden="1" customWidth="1"/>
    <col min="40" max="16384" width="11.42578125" style="11" hidden="1"/>
  </cols>
  <sheetData>
    <row r="1" spans="1:36" s="12" customFormat="1" ht="39.950000000000003" customHeight="1" x14ac:dyDescent="0.25">
      <c r="A1" s="317" t="str">
        <f>Version</f>
        <v xml:space="preserve">   V - 5.0 </v>
      </c>
      <c r="B1" s="207"/>
      <c r="C1" s="208"/>
      <c r="D1" s="316"/>
      <c r="E1" s="316"/>
      <c r="F1" s="319" t="str">
        <f ca="1">'Datos OM'!F1</f>
        <v>DATOS 
GENERALES
FORMULARIO</v>
      </c>
      <c r="G1" s="579" t="str">
        <f ca="1">'Datos OM'!G1</f>
        <v>INSERTAR PREGUNTA
BORRAR PREGUNTA</v>
      </c>
      <c r="H1" s="321">
        <f>COUNTA(Tabla_CL[Columna1])</f>
        <v>0</v>
      </c>
      <c r="I1" s="318"/>
      <c r="AF1" s="320" t="str">
        <f ca="1">INDIRECT("Z_BP_01_"&amp;IDIOMA)</f>
        <v>Preguntas Almacenadas</v>
      </c>
    </row>
    <row r="2" spans="1:36" s="13" customFormat="1" ht="36" x14ac:dyDescent="0.25">
      <c r="A2" s="353" t="str">
        <f ca="1">'Datos OM'!A2</f>
        <v>Nombre de la pregunta</v>
      </c>
      <c r="B2" s="240"/>
      <c r="C2" s="142"/>
      <c r="D2" s="143"/>
      <c r="E2" s="143"/>
      <c r="F2" s="392" t="str">
        <f ca="1">'Datos OM'!F2</f>
        <v>Descripción</v>
      </c>
      <c r="G2" s="393" t="str">
        <f ca="1">'Formulario CL'!B1&amp;"
"&amp;'Formulario OM'!B11</f>
        <v>FastTest PlugIn - Cloze
Enunciado de la pregunta</v>
      </c>
      <c r="H2" s="394" t="str">
        <f ca="1">INDIRECT("Z_TX_74_"&amp;IDIOMA)</f>
        <v>Ancho RC</v>
      </c>
      <c r="I2" s="395"/>
      <c r="J2" s="395"/>
      <c r="K2" s="396"/>
      <c r="L2" s="397"/>
      <c r="M2" s="398"/>
      <c r="N2" s="399"/>
      <c r="O2" s="400"/>
      <c r="P2" s="401"/>
      <c r="Q2" s="396"/>
      <c r="R2" s="397"/>
      <c r="S2" s="398"/>
      <c r="T2" s="398"/>
      <c r="U2" s="398"/>
      <c r="V2" s="398"/>
      <c r="W2" s="398"/>
      <c r="X2" s="398"/>
      <c r="Y2" s="398"/>
      <c r="Z2" s="398"/>
      <c r="AA2" s="398"/>
      <c r="AB2" s="398"/>
      <c r="AC2" s="398"/>
      <c r="AD2" s="398"/>
      <c r="AE2" s="398"/>
      <c r="AF2" s="402" t="str">
        <f ca="1">'Datos OM'!AF2</f>
        <v>PISTA: 1</v>
      </c>
      <c r="AG2" s="403" t="str">
        <f ca="1">'Datos OM'!AG2</f>
        <v>PISTA: 2</v>
      </c>
      <c r="AH2" s="404" t="str">
        <f ca="1">'Datos OM'!AH2</f>
        <v>PISTA: 3</v>
      </c>
      <c r="AI2" s="405" t="str">
        <f ca="1">'Datos OM'!AI2</f>
        <v>PISTA: 4</v>
      </c>
      <c r="AJ2" s="401" t="s">
        <v>1314</v>
      </c>
    </row>
    <row r="3" spans="1:36" s="473" customFormat="1" ht="12" hidden="1" x14ac:dyDescent="0.25">
      <c r="A3" s="459" t="str">
        <f ca="1">IFERROR(IF(INDIRECT("F"&amp;PREGUNTA_ACTUAL-(N_I_CL)+N_I_Tabla&amp;"C"&amp;COLUMN(),FALSE)="","",INDIRECT("F"&amp;PREGUNTA_ACTUAL-(N_I_CL)+N_I_Tabla&amp;"C"&amp;COLUMN(),FALSE)),"")</f>
        <v/>
      </c>
      <c r="B3" s="459" t="str">
        <f ca="1">IFERROR(INDIRECT("F"&amp;PREGUNTA_ACTUAL-(N_I_CL)+N_I_Tabla&amp;"C"&amp;COLUMN(),FALSE),"")</f>
        <v/>
      </c>
      <c r="C3" s="459" t="str">
        <f ca="1">IFERROR(INDIRECT("F"&amp;PREGUNTA_ACTUAL-(N_I_CL)+N_I_Tabla&amp;"C"&amp;COLUMN(),FALSE),"")</f>
        <v/>
      </c>
      <c r="D3" s="459" t="str">
        <f ca="1">IFERROR(INDIRECT("F"&amp;PREGUNTA_ACTUAL-(N_I_CL)+N_I_Tabla&amp;"C"&amp;COLUMN(),FALSE),"")</f>
        <v/>
      </c>
      <c r="E3" s="459" t="str">
        <f ca="1">IFERROR(INDIRECT("F"&amp;PREGUNTA_ACTUAL-(N_I_CL)+N_I_Tabla&amp;"C"&amp;COLUMN(),FALSE),"")</f>
        <v/>
      </c>
      <c r="F3" s="459" t="str">
        <f t="shared" ref="F3:AJ3" ca="1" si="0">IFERROR(IF(INDIRECT("F"&amp;PREGUNTA_ACTUAL-(N_I_CL)+N_I_Tabla&amp;"C"&amp;COLUMN(),FALSE)="","",INDIRECT("F"&amp;PREGUNTA_ACTUAL-(N_I_CL)+N_I_Tabla&amp;"C"&amp;COLUMN(),FALSE)),"")</f>
        <v/>
      </c>
      <c r="G3" s="459" t="str">
        <f t="shared" ca="1" si="0"/>
        <v/>
      </c>
      <c r="H3" s="459" t="str">
        <f t="shared" ca="1" si="0"/>
        <v/>
      </c>
      <c r="I3" s="459" t="str">
        <f t="shared" ca="1" si="0"/>
        <v/>
      </c>
      <c r="J3" s="459" t="str">
        <f t="shared" ca="1" si="0"/>
        <v/>
      </c>
      <c r="K3" s="459" t="str">
        <f t="shared" ca="1" si="0"/>
        <v/>
      </c>
      <c r="L3" s="459" t="str">
        <f t="shared" ca="1" si="0"/>
        <v/>
      </c>
      <c r="M3" s="459" t="str">
        <f t="shared" ca="1" si="0"/>
        <v/>
      </c>
      <c r="N3" s="459" t="str">
        <f t="shared" ca="1" si="0"/>
        <v/>
      </c>
      <c r="O3" s="459" t="str">
        <f t="shared" ca="1" si="0"/>
        <v/>
      </c>
      <c r="P3" s="459" t="str">
        <f t="shared" ca="1" si="0"/>
        <v/>
      </c>
      <c r="Q3" s="459" t="str">
        <f t="shared" ca="1" si="0"/>
        <v/>
      </c>
      <c r="R3" s="459" t="str">
        <f t="shared" ca="1" si="0"/>
        <v/>
      </c>
      <c r="S3" s="459" t="str">
        <f t="shared" ca="1" si="0"/>
        <v/>
      </c>
      <c r="T3" s="459" t="str">
        <f t="shared" ca="1" si="0"/>
        <v/>
      </c>
      <c r="U3" s="459" t="str">
        <f t="shared" ca="1" si="0"/>
        <v/>
      </c>
      <c r="V3" s="459" t="str">
        <f t="shared" ca="1" si="0"/>
        <v/>
      </c>
      <c r="W3" s="459" t="str">
        <f t="shared" ca="1" si="0"/>
        <v/>
      </c>
      <c r="X3" s="459" t="str">
        <f t="shared" ca="1" si="0"/>
        <v/>
      </c>
      <c r="Y3" s="459" t="str">
        <f t="shared" ca="1" si="0"/>
        <v/>
      </c>
      <c r="Z3" s="459" t="str">
        <f t="shared" ca="1" si="0"/>
        <v/>
      </c>
      <c r="AA3" s="459" t="str">
        <f t="shared" ca="1" si="0"/>
        <v/>
      </c>
      <c r="AB3" s="459" t="str">
        <f t="shared" ca="1" si="0"/>
        <v/>
      </c>
      <c r="AC3" s="459" t="str">
        <f t="shared" ca="1" si="0"/>
        <v/>
      </c>
      <c r="AD3" s="459" t="str">
        <f t="shared" ca="1" si="0"/>
        <v/>
      </c>
      <c r="AE3" s="459" t="str">
        <f t="shared" ca="1" si="0"/>
        <v/>
      </c>
      <c r="AF3" s="459" t="str">
        <f t="shared" ca="1" si="0"/>
        <v/>
      </c>
      <c r="AG3" s="459" t="str">
        <f t="shared" ca="1" si="0"/>
        <v/>
      </c>
      <c r="AH3" s="459" t="str">
        <f t="shared" ca="1" si="0"/>
        <v/>
      </c>
      <c r="AI3" s="459" t="str">
        <f t="shared" ca="1" si="0"/>
        <v/>
      </c>
      <c r="AJ3" s="459" t="str">
        <f t="shared" ca="1" si="0"/>
        <v/>
      </c>
    </row>
    <row r="4" spans="1:36" s="472" customFormat="1" ht="12" hidden="1" x14ac:dyDescent="0.25">
      <c r="A4" s="142">
        <v>801</v>
      </c>
      <c r="B4" s="471">
        <f>N_I_Tabla</f>
        <v>6</v>
      </c>
      <c r="C4" s="479"/>
      <c r="D4" s="469"/>
      <c r="E4" s="147"/>
      <c r="F4" s="148" t="str">
        <f>IF('Formulario CL'!H9="","",'Formulario CL'!H9)</f>
        <v/>
      </c>
      <c r="G4" s="293" t="str">
        <f>IF('Formulario CL'!H11="","",'Formulario CL'!H11)</f>
        <v/>
      </c>
      <c r="H4" s="312" t="str">
        <f>IF('Formulario CL'!Q9="","",'Formulario CL'!Q9)</f>
        <v/>
      </c>
      <c r="I4" s="294"/>
      <c r="J4" s="294"/>
      <c r="K4" s="153"/>
      <c r="L4" s="154"/>
      <c r="M4" s="155"/>
      <c r="N4" s="150"/>
      <c r="O4" s="151"/>
      <c r="P4" s="152"/>
      <c r="Q4" s="153"/>
      <c r="R4" s="154"/>
      <c r="S4" s="155"/>
      <c r="T4" s="155"/>
      <c r="U4" s="155"/>
      <c r="V4" s="155"/>
      <c r="W4" s="155"/>
      <c r="X4" s="155"/>
      <c r="Y4" s="155"/>
      <c r="Z4" s="155"/>
      <c r="AA4" s="155"/>
      <c r="AB4" s="155"/>
      <c r="AC4" s="155"/>
      <c r="AD4" s="155"/>
      <c r="AE4" s="155"/>
      <c r="AF4" s="156" t="str">
        <f>IF('Formulario CL'!G33="","",'Formulario CL'!G33)</f>
        <v/>
      </c>
      <c r="AG4" s="157" t="str">
        <f>IF('Formulario CL'!M33="","",'Formulario CL'!M33)</f>
        <v/>
      </c>
      <c r="AH4" s="158" t="str">
        <f>IF('Formulario CL'!G35="","",'Formulario CL'!G35)</f>
        <v/>
      </c>
      <c r="AI4" s="159" t="str">
        <f>IF('Formulario CL'!M35="","",'Formulario CL'!M35)</f>
        <v/>
      </c>
      <c r="AJ4" s="152" t="str">
        <f>IF('Formulario CL'!Q7="","",'Formulario CL'!Q7)</f>
        <v/>
      </c>
    </row>
    <row r="5" spans="1:36" s="12" customFormat="1" hidden="1" x14ac:dyDescent="0.25">
      <c r="A5" s="145" t="s">
        <v>1702</v>
      </c>
      <c r="B5" s="463" t="s">
        <v>18169</v>
      </c>
      <c r="C5" s="464" t="s">
        <v>18166</v>
      </c>
      <c r="D5" s="464" t="s">
        <v>18167</v>
      </c>
      <c r="E5" s="464" t="s">
        <v>18168</v>
      </c>
      <c r="F5" s="148" t="s">
        <v>1856</v>
      </c>
      <c r="G5" s="293" t="s">
        <v>1706</v>
      </c>
      <c r="H5" s="312" t="s">
        <v>1284</v>
      </c>
      <c r="I5" s="294" t="s">
        <v>18192</v>
      </c>
      <c r="J5" s="294" t="s">
        <v>18170</v>
      </c>
      <c r="K5" s="153" t="s">
        <v>18171</v>
      </c>
      <c r="L5" s="154" t="s">
        <v>18172</v>
      </c>
      <c r="M5" s="155" t="s">
        <v>18173</v>
      </c>
      <c r="N5" s="150" t="s">
        <v>18174</v>
      </c>
      <c r="O5" s="151" t="s">
        <v>18175</v>
      </c>
      <c r="P5" s="152" t="s">
        <v>18176</v>
      </c>
      <c r="Q5" s="153" t="s">
        <v>18177</v>
      </c>
      <c r="R5" s="154" t="s">
        <v>18178</v>
      </c>
      <c r="S5" s="155" t="s">
        <v>18179</v>
      </c>
      <c r="T5" s="155" t="s">
        <v>18180</v>
      </c>
      <c r="U5" s="155" t="s">
        <v>18181</v>
      </c>
      <c r="V5" s="155" t="s">
        <v>18182</v>
      </c>
      <c r="W5" s="155" t="s">
        <v>18183</v>
      </c>
      <c r="X5" s="155" t="s">
        <v>18184</v>
      </c>
      <c r="Y5" s="155" t="s">
        <v>18185</v>
      </c>
      <c r="Z5" s="155" t="s">
        <v>18186</v>
      </c>
      <c r="AA5" s="155" t="s">
        <v>18187</v>
      </c>
      <c r="AB5" s="155" t="s">
        <v>18188</v>
      </c>
      <c r="AC5" s="155" t="s">
        <v>18189</v>
      </c>
      <c r="AD5" s="155" t="s">
        <v>18190</v>
      </c>
      <c r="AE5" s="155" t="s">
        <v>18191</v>
      </c>
      <c r="AF5" s="156" t="s">
        <v>1606</v>
      </c>
      <c r="AG5" s="157" t="s">
        <v>1607</v>
      </c>
      <c r="AH5" s="158" t="s">
        <v>1608</v>
      </c>
      <c r="AI5" s="159" t="s">
        <v>1609</v>
      </c>
      <c r="AJ5" s="152" t="s">
        <v>1314</v>
      </c>
    </row>
    <row r="6" spans="1:36" x14ac:dyDescent="0.25">
      <c r="A6" s="655" t="str">
        <f>IFERROR(IF(Tabla_CL[[#This Row],[Columna1]]="","",PREF_PREGUNTA&amp;IF(PREF_PREGUNTA="",""," - ")&amp;
IF(n_preg_ON_CL=TRUE,IF((N_I_EN+ROW()-N_I_Tabla)&gt;99,
IF((N_I_CL+ROW()-N_I_Tabla)&lt;100,"0",""),"")&amp;
IF((N_I_CL+ROW()-N_I_Tabla)&lt;10,"0","")&amp;(N_I_CL+ROW()-N_I_Tabla),""))&amp;
IF(Tabla_CL[[#This Row],[Descripcion]]&lt;&gt;""," "&amp;Tabla_CL[[#This Row],[Descripcion]],""),"")</f>
        <v/>
      </c>
      <c r="B6" s="656"/>
      <c r="C6" s="146"/>
      <c r="D6" s="147"/>
      <c r="E6" s="147"/>
      <c r="F6" s="148"/>
      <c r="G6" s="657"/>
      <c r="H6" s="658"/>
      <c r="I6" s="659"/>
      <c r="J6" s="659"/>
      <c r="K6" s="153"/>
      <c r="L6" s="154"/>
      <c r="M6" s="155"/>
      <c r="N6" s="150"/>
      <c r="O6" s="151"/>
      <c r="P6" s="152"/>
      <c r="Q6" s="153"/>
      <c r="R6" s="154"/>
      <c r="S6" s="155"/>
      <c r="T6" s="155"/>
      <c r="U6" s="155"/>
      <c r="V6" s="155"/>
      <c r="W6" s="155"/>
      <c r="X6" s="155"/>
      <c r="Y6" s="155"/>
      <c r="Z6" s="155"/>
      <c r="AA6" s="155"/>
      <c r="AB6" s="155"/>
      <c r="AC6" s="155"/>
      <c r="AD6" s="155"/>
      <c r="AE6" s="155"/>
      <c r="AF6" s="156"/>
      <c r="AG6" s="157"/>
      <c r="AH6" s="158"/>
      <c r="AI6" s="159"/>
      <c r="AJ6" s="152"/>
    </row>
  </sheetData>
  <sheetProtection algorithmName="SHA-512" hashValue="flPNLhoSXQ/rOb2mqKz7kdpXfGzLL7WAuBdqxZmzaajjB67r+AkmHCVv/xAQSeJUehTQ+Pg+z74RhXfjd/TOuQ==" saltValue="y+o0rPqVV3wnIxYXFsewGQ==" spinCount="100000" sheet="1" objects="1" scenarios="1" selectLockedCells="1"/>
  <conditionalFormatting sqref="K4:AI4 K2:AJ2 F4:G4 B2:G2 K6:AJ6 B6:G6">
    <cfRule type="cellIs" dxfId="262" priority="352" operator="equal">
      <formula>""</formula>
    </cfRule>
    <cfRule type="cellIs" dxfId="261" priority="353" operator="equal">
      <formula>0</formula>
    </cfRule>
  </conditionalFormatting>
  <conditionalFormatting sqref="H4 H2 H6">
    <cfRule type="cellIs" dxfId="260" priority="286" operator="equal">
      <formula>""</formula>
    </cfRule>
  </conditionalFormatting>
  <conditionalFormatting sqref="AJ4">
    <cfRule type="cellIs" dxfId="259" priority="229" operator="equal">
      <formula>""</formula>
    </cfRule>
    <cfRule type="cellIs" dxfId="258" priority="230" operator="equal">
      <formula>0</formula>
    </cfRule>
  </conditionalFormatting>
  <conditionalFormatting sqref="K5:AJ5 F5:G5">
    <cfRule type="cellIs" dxfId="257" priority="6" operator="equal">
      <formula>""</formula>
    </cfRule>
    <cfRule type="cellIs" dxfId="256" priority="7" operator="equal">
      <formula>0</formula>
    </cfRule>
  </conditionalFormatting>
  <conditionalFormatting sqref="H5">
    <cfRule type="cellIs" dxfId="255" priority="5" operator="equal">
      <formula>""</formula>
    </cfRule>
  </conditionalFormatting>
  <conditionalFormatting sqref="E4">
    <cfRule type="cellIs" dxfId="254" priority="3" stopIfTrue="1" operator="equal">
      <formula>""</formula>
    </cfRule>
    <cfRule type="cellIs" dxfId="253" priority="4" operator="equal">
      <formula>0</formula>
    </cfRule>
  </conditionalFormatting>
  <conditionalFormatting sqref="B5:E5">
    <cfRule type="cellIs" dxfId="252" priority="1" operator="equal">
      <formula>""</formula>
    </cfRule>
    <cfRule type="cellIs" dxfId="251" priority="2" operator="equal">
      <formula>0</formula>
    </cfRule>
  </conditionalFormatting>
  <dataValidations disablePrompts="1" count="1">
    <dataValidation type="whole" allowBlank="1" showInputMessage="1" showErrorMessage="1" errorTitle="Error" error="Debes introducir un número válido. _x000a_Rellena primero las respuestas._x000a__x000a_Pulsa ESC para continuar." sqref="C6">
      <formula1>1</formula1>
      <formula2>IF(C_SIMPLE="true",1,MIN(5,COUNTA(H6:M6)))</formula2>
    </dataValidation>
  </dataValidations>
  <pageMargins left="0.70866141732283472" right="0.70866141732283472" top="0.74803149606299213" bottom="0.74803149606299213" header="0.31496062992125984" footer="0.31496062992125984"/>
  <pageSetup paperSize="9" scale="44" fitToHeight="47" orientation="landscape" r:id="rId1"/>
  <drawing r:id="rId2"/>
  <tableParts count="1">
    <tablePart r:id="rId3"/>
  </tableParts>
</worksheet>
</file>

<file path=xl/worksheets/sheet2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Hoja_31"/>
  <dimension ref="A1:G64"/>
  <sheetViews>
    <sheetView showGridLines="0" showRowColHeaders="0" zoomScale="170" zoomScaleNormal="170" workbookViewId="0">
      <pane ySplit="2" topLeftCell="A3" activePane="bottomLeft" state="frozen"/>
      <selection activeCell="A4" sqref="A4:XFD105"/>
      <selection pane="bottomLeft" activeCell="A2" sqref="A2"/>
    </sheetView>
  </sheetViews>
  <sheetFormatPr baseColWidth="10" defaultColWidth="0" defaultRowHeight="15" x14ac:dyDescent="0.25"/>
  <cols>
    <col min="1" max="1" width="90.7109375" style="306" customWidth="1"/>
    <col min="2" max="2" width="15.7109375" style="22" hidden="1" customWidth="1"/>
    <col min="3" max="3" width="15.7109375" style="306" hidden="1" customWidth="1"/>
    <col min="4" max="4" width="16.28515625" style="306" hidden="1" customWidth="1"/>
    <col min="5" max="6" width="10.85546875" style="306" hidden="1" customWidth="1"/>
    <col min="7" max="7" width="2.7109375" style="306" customWidth="1"/>
    <col min="8" max="16384" width="10.85546875" style="306" hidden="1"/>
  </cols>
  <sheetData>
    <row r="1" spans="1:3" x14ac:dyDescent="0.25">
      <c r="A1" s="306" t="str">
        <f>"&lt;!-- question: "&amp;PREGUNTA_ACTUAL&amp;"  --&gt;"</f>
        <v>&lt;!-- question: 1  --&gt;</v>
      </c>
      <c r="B1" s="33">
        <f ca="1">COUNTA(A:A)-COUNTIF(A:A,"BORRAR")</f>
        <v>28</v>
      </c>
    </row>
    <row r="2" spans="1:3" x14ac:dyDescent="0.25">
      <c r="A2" s="561" t="s">
        <v>25</v>
      </c>
      <c r="B2" s="34" t="s">
        <v>26</v>
      </c>
    </row>
    <row r="3" spans="1:3" x14ac:dyDescent="0.25">
      <c r="A3" s="306" t="s">
        <v>27</v>
      </c>
    </row>
    <row r="4" spans="1:3" x14ac:dyDescent="0.25">
      <c r="A4" s="306" t="str">
        <f ca="1">"      &lt;text&gt;"&amp;B4&amp;"&lt;/text&gt;"</f>
        <v xml:space="preserve">      &lt;text&gt;&lt;/text&gt;</v>
      </c>
      <c r="B4" s="24" t="str">
        <f ca="1">NOMBRE_OM</f>
        <v/>
      </c>
      <c r="C4" s="306" t="s">
        <v>28</v>
      </c>
    </row>
    <row r="5" spans="1:3" x14ac:dyDescent="0.25">
      <c r="A5" s="306" t="s">
        <v>29</v>
      </c>
    </row>
    <row r="6" spans="1:3" x14ac:dyDescent="0.25">
      <c r="A6" s="306" t="s">
        <v>30</v>
      </c>
    </row>
    <row r="7" spans="1:3" x14ac:dyDescent="0.25">
      <c r="A7" s="306" t="str">
        <f ca="1">"      &lt;text&gt;&lt;![CDATA[&lt;p&gt;"&amp;B7&amp;"&lt;/p&gt;]]&gt;&lt;/text&gt;"</f>
        <v xml:space="preserve">      &lt;text&gt;&lt;![CDATA[&lt;p&gt;&lt;p style="text-align: center;"&gt;&lt;/p&gt;]]&gt;&lt;/text&gt;</v>
      </c>
      <c r="B7" s="29" t="str">
        <f ca="1">IF(Centrar_Tabla_OM=TRUE,B8,"")&amp;IF(IMG_OM="","",IMG_OM&amp;"&lt;/p&gt;")&amp;ENUNCIADO_OM&amp;C7</f>
        <v>&lt;p style="text-align: center;"&gt;</v>
      </c>
      <c r="C7" s="563" t="str">
        <f ca="1">IF(Marcar_RI=INDIRECT("Z_TX_71_"&amp;IDIOMA),"","&lt;p&gt;&lt;p&gt;&lt;em&gt;"&amp;Marcar_RI_TEXTO&amp;"&lt;/em&gt;")</f>
        <v/>
      </c>
    </row>
    <row r="8" spans="1:3" x14ac:dyDescent="0.25">
      <c r="A8" s="306" t="s">
        <v>31</v>
      </c>
      <c r="B8" s="22" t="s">
        <v>1323</v>
      </c>
    </row>
    <row r="9" spans="1:3" x14ac:dyDescent="0.25">
      <c r="A9" s="306" t="s">
        <v>32</v>
      </c>
      <c r="B9" s="25" t="s">
        <v>33</v>
      </c>
    </row>
    <row r="10" spans="1:3" x14ac:dyDescent="0.25">
      <c r="A10" s="306" t="str">
        <f>"      &lt;text&gt;&lt;![CDATA[&lt;p&gt;"&amp;B10&amp;"&lt;/p&gt;]]&gt;&lt;/text&gt;"</f>
        <v xml:space="preserve">      &lt;text&gt;&lt;![CDATA[&lt;p&gt;0&lt;/p&gt;]]&gt;&lt;/text&gt;</v>
      </c>
      <c r="B10" s="22">
        <f>Retroalim_GENERAL</f>
        <v>0</v>
      </c>
    </row>
    <row r="11" spans="1:3" x14ac:dyDescent="0.25">
      <c r="A11" s="306" t="s">
        <v>34</v>
      </c>
    </row>
    <row r="12" spans="1:3" x14ac:dyDescent="0.25">
      <c r="A12" s="306" t="str">
        <f>"    &lt;defaultgrade&gt;"&amp;B12&amp;"&lt;/defaultgrade&gt;"</f>
        <v xml:space="preserve">    &lt;defaultgrade&gt;1&lt;/defaultgrade&gt;</v>
      </c>
      <c r="B12" s="26">
        <f>PUNTUACION</f>
        <v>1</v>
      </c>
      <c r="C12" s="306" t="s">
        <v>35</v>
      </c>
    </row>
    <row r="13" spans="1:3" x14ac:dyDescent="0.25">
      <c r="A13" s="306" t="str">
        <f>"    &lt;penalty&gt;"&amp;REPLACE(B13,2,1,".")&amp;"&lt;/penalty&gt;"</f>
        <v xml:space="preserve">    &lt;penalty&gt;0.333333333333333&lt;/penalty&gt;</v>
      </c>
      <c r="B13" s="27">
        <f>PENALIZACION</f>
        <v>0.33333333333333331</v>
      </c>
      <c r="C13" s="306" t="s">
        <v>36</v>
      </c>
    </row>
    <row r="14" spans="1:3" x14ac:dyDescent="0.25">
      <c r="A14" s="306" t="str">
        <f>"    &lt;hidden&gt;"&amp;B14&amp;"&lt;/hidden&gt;"</f>
        <v xml:space="preserve">    &lt;hidden&gt;0&lt;/hidden&gt;</v>
      </c>
      <c r="B14" s="24">
        <f>Oculto</f>
        <v>0</v>
      </c>
      <c r="C14" s="306" t="s">
        <v>37</v>
      </c>
    </row>
    <row r="15" spans="1:3" x14ac:dyDescent="0.25">
      <c r="A15" s="306" t="str">
        <f>"    &lt;idnumber&gt;"&amp;B15&amp;"&lt;/idnumber&gt;"</f>
        <v xml:space="preserve">    &lt;idnumber&gt;&lt;/idnumber&gt;</v>
      </c>
      <c r="B15" s="22" t="str">
        <f>IF(CONTRASEN_A="","",CONTRASEN_A)</f>
        <v/>
      </c>
      <c r="C15" s="306" t="s">
        <v>38</v>
      </c>
    </row>
    <row r="16" spans="1:3" x14ac:dyDescent="0.25">
      <c r="A16" s="306" t="str">
        <f>"    &lt;single&gt;"&amp;B16&amp;"&lt;/single&gt;"</f>
        <v xml:space="preserve">    &lt;single&gt;true&lt;/single&gt;</v>
      </c>
      <c r="B16" s="24" t="s">
        <v>12</v>
      </c>
      <c r="C16" s="306" t="s">
        <v>39</v>
      </c>
    </row>
    <row r="17" spans="1:7" x14ac:dyDescent="0.25">
      <c r="A17" s="306" t="str">
        <f>"    &lt;shuffleanswers&gt;"&amp;B17&amp;"&lt;/shuffleanswers&gt;"</f>
        <v xml:space="preserve">    &lt;shuffleanswers&gt;true&lt;/shuffleanswers&gt;</v>
      </c>
      <c r="B17" s="24" t="str">
        <f>BARAJAR_R</f>
        <v>true</v>
      </c>
      <c r="C17" s="339" t="s">
        <v>40</v>
      </c>
    </row>
    <row r="18" spans="1:7" x14ac:dyDescent="0.25">
      <c r="A18" s="306" t="str">
        <f>"    &lt;answernumbering&gt;"&amp;B18&amp;"&lt;/answernumbering&gt;"</f>
        <v xml:space="preserve">    &lt;answernumbering&gt;abc&lt;/answernumbering&gt;</v>
      </c>
      <c r="B18" s="22" t="str">
        <f>NUMERAR_R</f>
        <v>abc</v>
      </c>
      <c r="C18" s="306" t="s">
        <v>41</v>
      </c>
    </row>
    <row r="19" spans="1:7" x14ac:dyDescent="0.25">
      <c r="A19" s="306" t="s">
        <v>42</v>
      </c>
    </row>
    <row r="20" spans="1:7" x14ac:dyDescent="0.25">
      <c r="A20" s="306" t="str">
        <f>"      &lt;text&gt;&lt;![CDATA[&lt;p&gt;"&amp;B20&amp;"&lt;/p&gt;]]&gt;&lt;/text&gt;"</f>
        <v xml:space="preserve">      &lt;text&gt;&lt;![CDATA[&lt;p&gt;0&lt;/p&gt;]]&gt;&lt;/text&gt;</v>
      </c>
      <c r="B20" s="24">
        <f>R_CORRECTA</f>
        <v>0</v>
      </c>
    </row>
    <row r="21" spans="1:7" x14ac:dyDescent="0.25">
      <c r="A21" s="306" t="s">
        <v>43</v>
      </c>
    </row>
    <row r="22" spans="1:7" x14ac:dyDescent="0.25">
      <c r="A22" s="306" t="s">
        <v>44</v>
      </c>
    </row>
    <row r="23" spans="1:7" x14ac:dyDescent="0.25">
      <c r="A23" s="306" t="str">
        <f>"      &lt;text&gt;&lt;![CDATA[&lt;p&gt;"&amp;B23&amp;"&lt;/p&gt;]]&gt;&lt;/text&gt;"</f>
        <v xml:space="preserve">      &lt;text&gt;&lt;![CDATA[&lt;p&gt;0&lt;/p&gt;]]&gt;&lt;/text&gt;</v>
      </c>
      <c r="B23" s="24">
        <f>R_Par_CORRECTA</f>
        <v>0</v>
      </c>
    </row>
    <row r="24" spans="1:7" x14ac:dyDescent="0.25">
      <c r="A24" s="306" t="s">
        <v>45</v>
      </c>
    </row>
    <row r="25" spans="1:7" x14ac:dyDescent="0.25">
      <c r="A25" s="306" t="s">
        <v>46</v>
      </c>
      <c r="C25" s="561"/>
    </row>
    <row r="26" spans="1:7" x14ac:dyDescent="0.25">
      <c r="A26" s="306" t="str">
        <f>"      &lt;text&gt;&lt;![CDATA[&lt;p&gt;"&amp;B26&amp;"&lt;/p&gt;]]&gt;&lt;/text&gt;"</f>
        <v xml:space="preserve">      &lt;text&gt;&lt;![CDATA[&lt;p&gt;0&lt;/p&gt;]]&gt;&lt;/text&gt;</v>
      </c>
      <c r="B26" s="24">
        <f>R_INCORRECTA</f>
        <v>0</v>
      </c>
    </row>
    <row r="27" spans="1:7" x14ac:dyDescent="0.25">
      <c r="A27" s="306" t="s">
        <v>47</v>
      </c>
      <c r="B27" s="28" t="s">
        <v>1022</v>
      </c>
      <c r="D27" s="33" t="str">
        <f ca="1">IF(Marcar_RI=INDIRECT("Z_TX_72_"&amp;IDIOMA),"OK","NO")</f>
        <v>NO</v>
      </c>
      <c r="E27" s="33" t="str">
        <f ca="1">IF(Marcar_RI=INDIRECT("Z_TX_73_"&amp;IDIOMA),"OK","NO")</f>
        <v>NO</v>
      </c>
      <c r="F27" s="33" t="str">
        <f ca="1">IF(OR(Marcar_RI=INDIRECT("Z_TX_72_"&amp;IDIOMA),Marcar_RI=INDIRECT("Z_TX_73_"&amp;IDIOMA)),"OK","NO")</f>
        <v>NO</v>
      </c>
    </row>
    <row r="28" spans="1:7" x14ac:dyDescent="0.25">
      <c r="A28" s="305" t="s">
        <v>49</v>
      </c>
      <c r="B28" s="31">
        <v>1</v>
      </c>
      <c r="C28" s="31" t="str">
        <f ca="1">IFERROR(FIND(",",B29,1),"")</f>
        <v/>
      </c>
      <c r="D28" s="307" t="s">
        <v>1276</v>
      </c>
      <c r="E28" s="308" t="s">
        <v>1278</v>
      </c>
      <c r="F28" s="306" t="s">
        <v>1277</v>
      </c>
    </row>
    <row r="29" spans="1:7" x14ac:dyDescent="0.25">
      <c r="A29" s="544" t="str">
        <f ca="1">IF(B30&lt;&gt;"",$C$29&amp;IF(C28&lt;&gt;"",REPLACE(B29,C28,1,"."),B29)&amp;$C$30,"BORRAR")</f>
        <v>BORRAR</v>
      </c>
      <c r="B29" s="29" t="str">
        <f ca="1">INDIRECT("PUNTOS_"&amp;B28&amp;"_OM")</f>
        <v/>
      </c>
      <c r="C29" s="561" t="s">
        <v>50</v>
      </c>
    </row>
    <row r="30" spans="1:7" x14ac:dyDescent="0.25">
      <c r="A30" s="306" t="str">
        <f ca="1">IF(A29="BORRAR","BORRAR","      &lt;text&gt;&lt;![CDATA["&amp;B30&amp;"]]&gt;&lt;/text&gt;")</f>
        <v>BORRAR</v>
      </c>
      <c r="B30" s="24" t="str">
        <f ca="1">D30&amp;E30&amp;INDIRECT("RESPUESTA_"&amp;B28&amp;"_OM")&amp;F30</f>
        <v/>
      </c>
      <c r="C30" s="561" t="s">
        <v>51</v>
      </c>
      <c r="D30" s="307" t="str">
        <f ca="1">IF(INDIRECT("RESPUESTA_"&amp;B28&amp;"_OM")="","",IF($D$27="OK",$D$28,""))</f>
        <v/>
      </c>
      <c r="E30" s="308" t="str">
        <f ca="1">IF(INDIRECT("RESPUESTA_"&amp;B28&amp;"_OM")="","",IF($E$27="OK",$E$28,""))</f>
        <v/>
      </c>
      <c r="F30" s="306" t="str">
        <f ca="1">IF(INDIRECT("RESPUESTA_"&amp;B28&amp;"_OM")="","",IF($F$27="OK",$F$28,""))</f>
        <v/>
      </c>
      <c r="G30" s="306" t="s">
        <v>117</v>
      </c>
    </row>
    <row r="31" spans="1:7" x14ac:dyDescent="0.25">
      <c r="A31" s="306" t="str">
        <f ca="1">IF(A30="BORRAR","BORRAR",$C$31)</f>
        <v>BORRAR</v>
      </c>
      <c r="C31" s="561" t="s">
        <v>52</v>
      </c>
    </row>
    <row r="32" spans="1:7" x14ac:dyDescent="0.25">
      <c r="A32" s="306" t="str">
        <f ca="1">IF(A31="BORRAR","BORRAR","      &lt;text&gt;&lt;![CDATA[&lt;p&gt;"&amp;B32&amp;"&lt;/p&gt;]]&gt;&lt;/text&gt;")</f>
        <v>BORRAR</v>
      </c>
      <c r="B32" s="23" t="str">
        <f ca="1">INDIRECT("RETROAL_"&amp;B28&amp;"_OM")</f>
        <v/>
      </c>
    </row>
    <row r="33" spans="1:7" x14ac:dyDescent="0.25">
      <c r="A33" s="306" t="str">
        <f ca="1">IF(A32="BORRAR","BORRAR","      &lt;/feedback&gt;")</f>
        <v>BORRAR</v>
      </c>
      <c r="B33" s="28"/>
    </row>
    <row r="34" spans="1:7" x14ac:dyDescent="0.25">
      <c r="A34" s="306" t="str">
        <f ca="1">IF(A33="BORRAR","BORRAR","    &lt;/answer&gt;")</f>
        <v>BORRAR</v>
      </c>
      <c r="B34" s="31">
        <f>B28+1</f>
        <v>2</v>
      </c>
      <c r="C34" s="31" t="str">
        <f ca="1">IFERROR(FIND(",",B35,1),"")</f>
        <v/>
      </c>
    </row>
    <row r="35" spans="1:7" x14ac:dyDescent="0.25">
      <c r="A35" s="544" t="str">
        <f ca="1">IF(B36&lt;&gt;"",$C$29&amp;IF(C34&lt;&gt;"",REPLACE(B35,C34,1,"."),B35)&amp;$C$30,"BORRAR")</f>
        <v>BORRAR</v>
      </c>
      <c r="B35" s="29" t="str">
        <f ca="1">INDIRECT("PUNTOS_"&amp;B34&amp;"_OM")</f>
        <v/>
      </c>
    </row>
    <row r="36" spans="1:7" x14ac:dyDescent="0.25">
      <c r="A36" s="306" t="str">
        <f ca="1">IF(A35="BORRAR","BORRAR","      &lt;text&gt;&lt;![CDATA[&lt;p&gt;"&amp;B36&amp;"&lt;/p&gt;]]&gt;&lt;/text&gt;")</f>
        <v>BORRAR</v>
      </c>
      <c r="B36" s="24" t="str">
        <f ca="1">D36&amp;E36&amp;INDIRECT("RESPUESTA_"&amp;B34&amp;"_OM")&amp;F36</f>
        <v/>
      </c>
      <c r="C36" s="561"/>
      <c r="D36" s="307" t="str">
        <f ca="1">IF(INDIRECT("RESPUESTA_"&amp;B34&amp;"_OM")="","",IF($D$27="OK",$D$28,""))</f>
        <v/>
      </c>
      <c r="E36" s="308" t="str">
        <f ca="1">IF(INDIRECT("RESPUESTA_"&amp;B34&amp;"_OM")="","",IF($E$27="OK",$E$28,""))</f>
        <v/>
      </c>
      <c r="F36" s="306" t="str">
        <f ca="1">IF(INDIRECT("RESPUESTA_"&amp;B34&amp;"_OM")="","",IF($F$27="OK",$F$28,""))</f>
        <v/>
      </c>
      <c r="G36" s="306" t="s">
        <v>117</v>
      </c>
    </row>
    <row r="37" spans="1:7" x14ac:dyDescent="0.25">
      <c r="A37" s="306" t="str">
        <f ca="1">IF(A36="BORRAR","BORRAR",$C$31)</f>
        <v>BORRAR</v>
      </c>
    </row>
    <row r="38" spans="1:7" x14ac:dyDescent="0.25">
      <c r="A38" s="306" t="str">
        <f ca="1">IF(A37="BORRAR","BORRAR","      &lt;text&gt;&lt;![CDATA[&lt;p&gt;"&amp;B38&amp;"&lt;/p&gt;]]&gt;&lt;/text&gt;")</f>
        <v>BORRAR</v>
      </c>
      <c r="B38" s="23" t="str">
        <f ca="1">INDIRECT("RETROAL_"&amp;B34&amp;"_OM")</f>
        <v/>
      </c>
    </row>
    <row r="39" spans="1:7" x14ac:dyDescent="0.25">
      <c r="A39" s="306" t="str">
        <f ca="1">IF(A38="BORRAR","BORRAR","      &lt;/feedback&gt;")</f>
        <v>BORRAR</v>
      </c>
      <c r="B39" s="28"/>
    </row>
    <row r="40" spans="1:7" x14ac:dyDescent="0.25">
      <c r="A40" s="306" t="str">
        <f ca="1">IF(A39="BORRAR","BORRAR","    &lt;/answer&gt;")</f>
        <v>BORRAR</v>
      </c>
      <c r="B40" s="25">
        <f>B34+1</f>
        <v>3</v>
      </c>
      <c r="C40" s="25" t="str">
        <f ca="1">IFERROR(FIND(",",B41,1),"")</f>
        <v/>
      </c>
    </row>
    <row r="41" spans="1:7" x14ac:dyDescent="0.25">
      <c r="A41" s="562" t="str">
        <f ca="1">IF(B42&lt;&gt;"",$C$29&amp;IF(C40&lt;&gt;"",REPLACE(B41,C40,1,"."),B41)&amp;$C$30,"BORRAR")</f>
        <v>BORRAR</v>
      </c>
      <c r="B41" s="29" t="str">
        <f ca="1">INDIRECT("PUNTOS_"&amp;B40&amp;"_OM")</f>
        <v/>
      </c>
    </row>
    <row r="42" spans="1:7" x14ac:dyDescent="0.25">
      <c r="A42" s="306" t="str">
        <f ca="1">IF(A41="BORRAR","BORRAR","      &lt;text&gt;&lt;![CDATA[&lt;p&gt;"&amp;B42&amp;"&lt;/p&gt;]]&gt;&lt;/text&gt;")</f>
        <v>BORRAR</v>
      </c>
      <c r="B42" s="24" t="str">
        <f ca="1">D42&amp;E42&amp;INDIRECT("RESPUESTA_"&amp;B40&amp;"_OM")&amp;F42</f>
        <v/>
      </c>
      <c r="C42" s="561"/>
      <c r="D42" s="307" t="str">
        <f ca="1">IF(INDIRECT("RESPUESTA_"&amp;B40&amp;"_OM")="","",IF($D$27="OK",$D$28,""))</f>
        <v/>
      </c>
      <c r="E42" s="308" t="str">
        <f ca="1">IF(INDIRECT("RESPUESTA_"&amp;B40&amp;"_OM")="","",IF($E$27="OK",$E$28,""))</f>
        <v/>
      </c>
      <c r="F42" s="306" t="str">
        <f ca="1">IF(INDIRECT("RESPUESTA_"&amp;B40&amp;"_OM")="","",IF($F$27="OK",$F$28,""))</f>
        <v/>
      </c>
      <c r="G42" s="306" t="s">
        <v>117</v>
      </c>
    </row>
    <row r="43" spans="1:7" x14ac:dyDescent="0.25">
      <c r="A43" s="306" t="str">
        <f ca="1">IF(A42="BORRAR","BORRAR",$C$31)</f>
        <v>BORRAR</v>
      </c>
    </row>
    <row r="44" spans="1:7" x14ac:dyDescent="0.25">
      <c r="A44" s="306" t="str">
        <f ca="1">IF(A43="BORRAR","BORRAR","      &lt;text&gt;&lt;![CDATA[&lt;p&gt;"&amp;B44&amp;"&lt;/p&gt;]]&gt;&lt;/text&gt;")</f>
        <v>BORRAR</v>
      </c>
      <c r="B44" s="23" t="str">
        <f ca="1">INDIRECT("RETROAL_"&amp;B40&amp;"_OM")</f>
        <v/>
      </c>
    </row>
    <row r="45" spans="1:7" x14ac:dyDescent="0.25">
      <c r="A45" s="306" t="str">
        <f ca="1">IF(A44="BORRAR","BORRAR","      &lt;/feedback&gt;")</f>
        <v>BORRAR</v>
      </c>
      <c r="B45" s="28"/>
    </row>
    <row r="46" spans="1:7" x14ac:dyDescent="0.25">
      <c r="A46" s="306" t="str">
        <f ca="1">IF(A45="BORRAR","BORRAR","    &lt;/answer&gt;")</f>
        <v>BORRAR</v>
      </c>
      <c r="B46" s="25">
        <f>B40+1</f>
        <v>4</v>
      </c>
      <c r="C46" s="25" t="str">
        <f ca="1">IFERROR(FIND(",",B47,1),"")</f>
        <v/>
      </c>
    </row>
    <row r="47" spans="1:7" x14ac:dyDescent="0.25">
      <c r="A47" s="562" t="str">
        <f ca="1">IF(B48&lt;&gt;"",$C$29&amp;IF(C46&lt;&gt;"",REPLACE(B47,C46,1,"."),B47)&amp;$C$30,"BORRAR")</f>
        <v>BORRAR</v>
      </c>
      <c r="B47" s="29" t="str">
        <f ca="1">INDIRECT("PUNTOS_"&amp;B46&amp;"_OM")</f>
        <v/>
      </c>
    </row>
    <row r="48" spans="1:7" x14ac:dyDescent="0.25">
      <c r="A48" s="306" t="str">
        <f ca="1">IF(A47="BORRAR","BORRAR","      &lt;text&gt;&lt;![CDATA[&lt;p&gt;"&amp;B48&amp;"&lt;/p&gt;]]&gt;&lt;/text&gt;")</f>
        <v>BORRAR</v>
      </c>
      <c r="B48" s="24" t="str">
        <f ca="1">D48&amp;E48&amp;INDIRECT("RESPUESTA_"&amp;B46&amp;"_OM")&amp;F48</f>
        <v/>
      </c>
      <c r="C48" s="561"/>
      <c r="D48" s="307" t="str">
        <f ca="1">IF(INDIRECT("RESPUESTA_"&amp;B46&amp;"_OM")="","",IF($D$27="OK",$D$28,""))</f>
        <v/>
      </c>
      <c r="E48" s="308" t="str">
        <f ca="1">IF(INDIRECT("RESPUESTA_"&amp;B46&amp;"_OM")="","",IF($E$27="OK",$E$28,""))</f>
        <v/>
      </c>
      <c r="F48" s="306" t="str">
        <f ca="1">IF(INDIRECT("RESPUESTA_"&amp;B46&amp;"_OM")="","",IF($F$27="OK",$F$28,""))</f>
        <v/>
      </c>
      <c r="G48" s="306" t="s">
        <v>117</v>
      </c>
    </row>
    <row r="49" spans="1:7" x14ac:dyDescent="0.25">
      <c r="A49" s="306" t="str">
        <f ca="1">IF(A48="BORRAR","BORRAR",$C$31)</f>
        <v>BORRAR</v>
      </c>
    </row>
    <row r="50" spans="1:7" x14ac:dyDescent="0.25">
      <c r="A50" s="306" t="str">
        <f ca="1">IF(A49="BORRAR","BORRAR","      &lt;text&gt;&lt;![CDATA[&lt;p&gt;"&amp;B50&amp;"&lt;/p&gt;]]&gt;&lt;/text&gt;")</f>
        <v>BORRAR</v>
      </c>
      <c r="B50" s="23" t="str">
        <f ca="1">INDIRECT("RETROAL_"&amp;B46&amp;"_OM")</f>
        <v/>
      </c>
    </row>
    <row r="51" spans="1:7" x14ac:dyDescent="0.25">
      <c r="A51" s="306" t="str">
        <f ca="1">IF(A50="BORRAR","BORRAR","      &lt;/feedback&gt;")</f>
        <v>BORRAR</v>
      </c>
      <c r="B51" s="28"/>
    </row>
    <row r="52" spans="1:7" x14ac:dyDescent="0.25">
      <c r="A52" s="306" t="str">
        <f ca="1">IF(A51="BORRAR","BORRAR","    &lt;/answer&gt;")</f>
        <v>BORRAR</v>
      </c>
      <c r="B52" s="25">
        <f>B46+1</f>
        <v>5</v>
      </c>
      <c r="C52" s="25" t="str">
        <f ca="1">IFERROR(FIND(",",B53,1),"")</f>
        <v/>
      </c>
    </row>
    <row r="53" spans="1:7" x14ac:dyDescent="0.25">
      <c r="A53" s="562" t="str">
        <f ca="1">IF(B54&lt;&gt;"",$C$29&amp;IF(C52&lt;&gt;"",REPLACE(B53,C52,1,"."),B53)&amp;$C$30,"BORRAR")</f>
        <v>BORRAR</v>
      </c>
      <c r="B53" s="29" t="str">
        <f ca="1">INDIRECT("PUNTOS_"&amp;B52&amp;"_OM")</f>
        <v/>
      </c>
    </row>
    <row r="54" spans="1:7" x14ac:dyDescent="0.25">
      <c r="A54" s="306" t="str">
        <f ca="1">IF(A53="BORRAR","BORRAR","      &lt;text&gt;&lt;![CDATA[&lt;p&gt;"&amp;B54&amp;"&lt;/p&gt;]]&gt;&lt;/text&gt;")</f>
        <v>BORRAR</v>
      </c>
      <c r="B54" s="24" t="str">
        <f ca="1">D54&amp;E54&amp;INDIRECT("RESPUESTA_"&amp;B52&amp;"_OM")&amp;F54</f>
        <v/>
      </c>
      <c r="C54" s="561"/>
      <c r="D54" s="307" t="str">
        <f ca="1">IF(INDIRECT("RESPUESTA_"&amp;B52&amp;"_OM")="","",IF($D$27="OK",$D$28,""))</f>
        <v/>
      </c>
      <c r="E54" s="308" t="str">
        <f ca="1">IF(INDIRECT("RESPUESTA_"&amp;B52&amp;"_OM")="","",IF($E$27="OK",$E$28,""))</f>
        <v/>
      </c>
      <c r="F54" s="306" t="str">
        <f ca="1">IF(INDIRECT("RESPUESTA_"&amp;B52&amp;"_OM")="","",IF($F$27="OK",$F$28,""))</f>
        <v/>
      </c>
      <c r="G54" s="306" t="s">
        <v>117</v>
      </c>
    </row>
    <row r="55" spans="1:7" x14ac:dyDescent="0.25">
      <c r="A55" s="306" t="str">
        <f ca="1">IF(A54="BORRAR","BORRAR",$C$31)</f>
        <v>BORRAR</v>
      </c>
    </row>
    <row r="56" spans="1:7" x14ac:dyDescent="0.25">
      <c r="A56" s="306" t="str">
        <f ca="1">IF(A55="BORRAR","BORRAR","      &lt;text&gt;&lt;![CDATA[&lt;p&gt;"&amp;B56&amp;"&lt;/p&gt;]]&gt;&lt;/text&gt;")</f>
        <v>BORRAR</v>
      </c>
      <c r="B56" s="23" t="str">
        <f ca="1">INDIRECT("RETROAL_"&amp;B52&amp;"_OM")</f>
        <v/>
      </c>
    </row>
    <row r="57" spans="1:7" x14ac:dyDescent="0.25">
      <c r="A57" s="306" t="str">
        <f ca="1">IF(A56="BORRAR","BORRAR","      &lt;/feedback&gt;")</f>
        <v>BORRAR</v>
      </c>
      <c r="B57" s="28"/>
    </row>
    <row r="58" spans="1:7" x14ac:dyDescent="0.25">
      <c r="A58" s="306" t="str">
        <f ca="1">IF(A57="BORRAR","BORRAR","    &lt;/answer&gt;")</f>
        <v>BORRAR</v>
      </c>
      <c r="B58" s="25">
        <f>B52+1</f>
        <v>6</v>
      </c>
      <c r="C58" s="25" t="str">
        <f ca="1">IFERROR(FIND(",",B59,1),"")</f>
        <v/>
      </c>
    </row>
    <row r="59" spans="1:7" x14ac:dyDescent="0.25">
      <c r="A59" s="562" t="str">
        <f ca="1">IF(B60&lt;&gt;"",$C$29&amp;IF(C58&lt;&gt;"",REPLACE(B59,C58,1,"."),B59)&amp;$C$30,"BORRAR")</f>
        <v>BORRAR</v>
      </c>
      <c r="B59" s="29" t="str">
        <f ca="1">INDIRECT("PUNTOS_"&amp;B58&amp;"_OM")</f>
        <v/>
      </c>
    </row>
    <row r="60" spans="1:7" x14ac:dyDescent="0.25">
      <c r="A60" s="306" t="str">
        <f ca="1">IF(A59="BORRAR","BORRAR","      &lt;text&gt;&lt;![CDATA[&lt;p&gt;"&amp;B60&amp;"&lt;/p&gt;]]&gt;&lt;/text&gt;")</f>
        <v>BORRAR</v>
      </c>
      <c r="B60" s="24" t="str">
        <f ca="1">D60&amp;E60&amp;INDIRECT("RESPUESTA_"&amp;B58&amp;"_OM")&amp;F60</f>
        <v/>
      </c>
      <c r="C60" s="561"/>
      <c r="D60" s="307" t="str">
        <f ca="1">IF(INDIRECT("RESPUESTA_"&amp;B58&amp;"_OM")="","",IF($D$27="OK",$D$28,""))</f>
        <v/>
      </c>
      <c r="E60" s="308" t="str">
        <f ca="1">IF(INDIRECT("RESPUESTA_"&amp;B58&amp;"_OM")="","",IF($E$27="OK",$E$28,""))</f>
        <v/>
      </c>
      <c r="F60" s="306" t="str">
        <f ca="1">IF(INDIRECT("RESPUESTA_"&amp;B58&amp;"_OM")="","",IF($F$27="OK",$F$28,""))</f>
        <v/>
      </c>
      <c r="G60" s="306" t="s">
        <v>117</v>
      </c>
    </row>
    <row r="61" spans="1:7" x14ac:dyDescent="0.25">
      <c r="A61" s="306" t="str">
        <f ca="1">IF(A60="BORRAR","BORRAR",$C$31)</f>
        <v>BORRAR</v>
      </c>
    </row>
    <row r="62" spans="1:7" x14ac:dyDescent="0.25">
      <c r="A62" s="306" t="str">
        <f ca="1">IF(A61="BORRAR","BORRAR","      &lt;text&gt;&lt;![CDATA[&lt;p&gt;"&amp;B62&amp;"&lt;/p&gt;]]&gt;&lt;/text&gt;")</f>
        <v>BORRAR</v>
      </c>
      <c r="B62" s="23" t="str">
        <f ca="1">INDIRECT("RETROAL_"&amp;B58&amp;"_OM")</f>
        <v/>
      </c>
    </row>
    <row r="63" spans="1:7" x14ac:dyDescent="0.25">
      <c r="A63" s="306" t="str">
        <f ca="1">IF(A62="BORRAR","BORRAR","      &lt;/feedback&gt;")</f>
        <v>BORRAR</v>
      </c>
      <c r="B63" s="28"/>
    </row>
    <row r="64" spans="1:7" x14ac:dyDescent="0.25">
      <c r="A64" s="306" t="str">
        <f ca="1">IF(A63="BORRAR","BORRAR","    &lt;/answer&gt;")</f>
        <v>BORRAR</v>
      </c>
    </row>
  </sheetData>
  <sheetProtection algorithmName="SHA-512" hashValue="A3YgXYx9jxjG07TVRN1mT4BZvp7A9SSZwl860pgFTf1twzJEO6VJSKkUbV5QRsLfHBbolrja1AYISDIvhrtwFA==" saltValue="fhq2Y9nUWPjdjM3QNQu7UA==" spinCount="100000" sheet="1" objects="1" scenarios="1" selectLockedCells="1"/>
  <pageMargins left="0.7" right="0.7" top="0.75" bottom="0.75" header="0.3" footer="0.3"/>
</worksheet>
</file>

<file path=xl/worksheets/sheet2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Hoja_32"/>
  <dimension ref="A1:G64"/>
  <sheetViews>
    <sheetView showGridLines="0" showRowColHeaders="0" zoomScale="170" zoomScaleNormal="170" workbookViewId="0">
      <pane ySplit="2" topLeftCell="A3" activePane="bottomLeft" state="frozen"/>
      <selection activeCell="A3" sqref="A3"/>
      <selection pane="bottomLeft" activeCell="A2" sqref="A2"/>
    </sheetView>
  </sheetViews>
  <sheetFormatPr baseColWidth="10" defaultColWidth="0" defaultRowHeight="15" x14ac:dyDescent="0.25"/>
  <cols>
    <col min="1" max="1" width="90.7109375" style="306" customWidth="1"/>
    <col min="2" max="2" width="22" style="22" hidden="1" customWidth="1"/>
    <col min="3" max="3" width="13.7109375" style="306" hidden="1" customWidth="1"/>
    <col min="4" max="4" width="16.28515625" style="306" hidden="1" customWidth="1"/>
    <col min="5" max="6" width="10.85546875" style="306" hidden="1" customWidth="1"/>
    <col min="7" max="7" width="2.7109375" style="306" customWidth="1"/>
    <col min="8" max="16384" width="10.85546875" style="306" hidden="1"/>
  </cols>
  <sheetData>
    <row r="1" spans="1:3" x14ac:dyDescent="0.25">
      <c r="A1" s="306" t="str">
        <f>"&lt;!-- question: "&amp;PREGUNTA_ACTUAL&amp;"  --&gt;"</f>
        <v>&lt;!-- question: 1  --&gt;</v>
      </c>
      <c r="B1" s="33">
        <f ca="1">COUNTA(A:A)-COUNTIF(A:A,"BORRAR")</f>
        <v>28</v>
      </c>
    </row>
    <row r="2" spans="1:3" x14ac:dyDescent="0.25">
      <c r="A2" s="561" t="s">
        <v>25</v>
      </c>
      <c r="B2" s="34" t="s">
        <v>26</v>
      </c>
    </row>
    <row r="3" spans="1:3" x14ac:dyDescent="0.25">
      <c r="A3" s="306" t="s">
        <v>27</v>
      </c>
    </row>
    <row r="4" spans="1:3" x14ac:dyDescent="0.25">
      <c r="A4" s="306" t="str">
        <f ca="1">"      &lt;text&gt;"&amp;B4&amp;"&lt;/text&gt;"</f>
        <v xml:space="preserve">      &lt;text&gt;&lt;/text&gt;</v>
      </c>
      <c r="B4" s="24" t="str">
        <f ca="1">NOMBRE_O2</f>
        <v/>
      </c>
      <c r="C4" s="306" t="s">
        <v>28</v>
      </c>
    </row>
    <row r="5" spans="1:3" x14ac:dyDescent="0.25">
      <c r="A5" s="306" t="s">
        <v>29</v>
      </c>
    </row>
    <row r="6" spans="1:3" x14ac:dyDescent="0.25">
      <c r="A6" s="306" t="s">
        <v>30</v>
      </c>
    </row>
    <row r="7" spans="1:3" x14ac:dyDescent="0.25">
      <c r="A7" s="306" t="str">
        <f ca="1">"      &lt;text&gt;&lt;![CDATA[&lt;p&gt;"&amp;B7&amp;"&lt;/p&gt;]]&gt;&lt;/text&gt;"</f>
        <v xml:space="preserve">      &lt;text&gt;&lt;![CDATA[&lt;p&gt;&lt;p style="text-align: center;"&gt;&lt;/p&gt;]]&gt;&lt;/text&gt;</v>
      </c>
      <c r="B7" s="29" t="str">
        <f ca="1">IF(Centrar_Tabla_O2=TRUE,B8,"")&amp;IF(IMG_O2="","",IMG_O2&amp;"&lt;/p&gt;")&amp;ENUNCIADO_O2&amp;C7</f>
        <v>&lt;p style="text-align: center;"&gt;</v>
      </c>
      <c r="C7" s="306" t="str">
        <f ca="1">IF(Marcar_RI=INDIRECT("Z_TX_71_"&amp;IDIOMA),"","&lt;p&gt;&lt;p&gt;&lt;em&gt;"&amp;Marcar_RI_TEXTO&amp;"&lt;/em&gt;")</f>
        <v/>
      </c>
    </row>
    <row r="8" spans="1:3" x14ac:dyDescent="0.25">
      <c r="A8" s="306" t="s">
        <v>31</v>
      </c>
      <c r="B8" s="22" t="str">
        <f>'XML OM'!B8</f>
        <v>&lt;p style="text-align: center;"&gt;</v>
      </c>
    </row>
    <row r="9" spans="1:3" x14ac:dyDescent="0.25">
      <c r="A9" s="306" t="s">
        <v>32</v>
      </c>
      <c r="B9" s="25" t="s">
        <v>33</v>
      </c>
    </row>
    <row r="10" spans="1:3" x14ac:dyDescent="0.25">
      <c r="A10" s="306" t="str">
        <f>"      &lt;text&gt;&lt;![CDATA[&lt;p&gt;"&amp;B10&amp;"&lt;/p&gt;]]&gt;&lt;/text&gt;"</f>
        <v xml:space="preserve">      &lt;text&gt;&lt;![CDATA[&lt;p&gt;0&lt;/p&gt;]]&gt;&lt;/text&gt;</v>
      </c>
      <c r="B10" s="22">
        <f>Retroalim_GENERAL</f>
        <v>0</v>
      </c>
    </row>
    <row r="11" spans="1:3" x14ac:dyDescent="0.25">
      <c r="A11" s="306" t="s">
        <v>34</v>
      </c>
    </row>
    <row r="12" spans="1:3" x14ac:dyDescent="0.25">
      <c r="A12" s="306" t="str">
        <f>"    &lt;defaultgrade&gt;"&amp;B12&amp;"&lt;/defaultgrade&gt;"</f>
        <v xml:space="preserve">    &lt;defaultgrade&gt;1&lt;/defaultgrade&gt;</v>
      </c>
      <c r="B12" s="26">
        <f>PUNTUACION</f>
        <v>1</v>
      </c>
      <c r="C12" s="306" t="s">
        <v>35</v>
      </c>
    </row>
    <row r="13" spans="1:3" x14ac:dyDescent="0.25">
      <c r="A13" s="306" t="str">
        <f>"    &lt;penalty&gt;"&amp;REPLACE(B13,2,1,".")&amp;"&lt;/penalty&gt;"</f>
        <v xml:space="preserve">    &lt;penalty&gt;0.333333333333333&lt;/penalty&gt;</v>
      </c>
      <c r="B13" s="27">
        <f>PENALIZACION</f>
        <v>0.33333333333333331</v>
      </c>
      <c r="C13" s="306" t="s">
        <v>36</v>
      </c>
    </row>
    <row r="14" spans="1:3" x14ac:dyDescent="0.25">
      <c r="A14" s="306" t="str">
        <f>"    &lt;hidden&gt;"&amp;B14&amp;"&lt;/hidden&gt;"</f>
        <v xml:space="preserve">    &lt;hidden&gt;0&lt;/hidden&gt;</v>
      </c>
      <c r="B14" s="24">
        <f>Oculto</f>
        <v>0</v>
      </c>
      <c r="C14" s="306" t="s">
        <v>37</v>
      </c>
    </row>
    <row r="15" spans="1:3" x14ac:dyDescent="0.25">
      <c r="A15" s="306" t="str">
        <f>"    &lt;idnumber&gt;"&amp;B15&amp;"&lt;/idnumber&gt;"</f>
        <v xml:space="preserve">    &lt;idnumber&gt;&lt;/idnumber&gt;</v>
      </c>
      <c r="B15" s="22" t="str">
        <f>IF(CONTRASEN_A="","",CONTRASEN_A)</f>
        <v/>
      </c>
      <c r="C15" s="306" t="s">
        <v>38</v>
      </c>
    </row>
    <row r="16" spans="1:3" x14ac:dyDescent="0.25">
      <c r="A16" s="306" t="str">
        <f>"    &lt;single&gt;"&amp;B16&amp;"&lt;/single&gt;"</f>
        <v xml:space="preserve">    &lt;single&gt;false&lt;/single&gt;</v>
      </c>
      <c r="B16" s="24" t="s">
        <v>16</v>
      </c>
      <c r="C16" s="306" t="s">
        <v>39</v>
      </c>
    </row>
    <row r="17" spans="1:7" x14ac:dyDescent="0.25">
      <c r="A17" s="306" t="str">
        <f>"    &lt;shuffleanswers&gt;"&amp;B17&amp;"&lt;/shuffleanswers&gt;"</f>
        <v xml:space="preserve">    &lt;shuffleanswers&gt;true&lt;/shuffleanswers&gt;</v>
      </c>
      <c r="B17" s="24" t="str">
        <f>BARAJAR_R</f>
        <v>true</v>
      </c>
      <c r="C17" s="339" t="s">
        <v>40</v>
      </c>
    </row>
    <row r="18" spans="1:7" x14ac:dyDescent="0.25">
      <c r="A18" s="306" t="str">
        <f>"    &lt;answernumbering&gt;"&amp;B18&amp;"&lt;/answernumbering&gt;"</f>
        <v xml:space="preserve">    &lt;answernumbering&gt;abc&lt;/answernumbering&gt;</v>
      </c>
      <c r="B18" s="22" t="str">
        <f>NUMERAR_R</f>
        <v>abc</v>
      </c>
      <c r="C18" s="306" t="s">
        <v>41</v>
      </c>
    </row>
    <row r="19" spans="1:7" x14ac:dyDescent="0.25">
      <c r="A19" s="306" t="s">
        <v>42</v>
      </c>
    </row>
    <row r="20" spans="1:7" x14ac:dyDescent="0.25">
      <c r="A20" s="306" t="str">
        <f>"      &lt;text&gt;&lt;![CDATA[&lt;p&gt;"&amp;B20&amp;"&lt;/p&gt;]]&gt;&lt;/text&gt;"</f>
        <v xml:space="preserve">      &lt;text&gt;&lt;![CDATA[&lt;p&gt;0&lt;/p&gt;]]&gt;&lt;/text&gt;</v>
      </c>
      <c r="B20" s="24">
        <f>R_CORRECTA</f>
        <v>0</v>
      </c>
    </row>
    <row r="21" spans="1:7" x14ac:dyDescent="0.25">
      <c r="A21" s="306" t="s">
        <v>43</v>
      </c>
    </row>
    <row r="22" spans="1:7" x14ac:dyDescent="0.25">
      <c r="A22" s="306" t="s">
        <v>44</v>
      </c>
    </row>
    <row r="23" spans="1:7" x14ac:dyDescent="0.25">
      <c r="A23" s="306" t="str">
        <f>"      &lt;text&gt;&lt;![CDATA[&lt;p&gt;"&amp;B23&amp;"&lt;/p&gt;]]&gt;&lt;/text&gt;"</f>
        <v xml:space="preserve">      &lt;text&gt;&lt;![CDATA[&lt;p&gt;0&lt;/p&gt;]]&gt;&lt;/text&gt;</v>
      </c>
      <c r="B23" s="24">
        <f>R_Par_CORRECTA</f>
        <v>0</v>
      </c>
    </row>
    <row r="24" spans="1:7" x14ac:dyDescent="0.25">
      <c r="A24" s="306" t="s">
        <v>45</v>
      </c>
    </row>
    <row r="25" spans="1:7" x14ac:dyDescent="0.25">
      <c r="A25" s="306" t="s">
        <v>46</v>
      </c>
    </row>
    <row r="26" spans="1:7" x14ac:dyDescent="0.25">
      <c r="A26" s="306" t="str">
        <f>"      &lt;text&gt;&lt;![CDATA[&lt;p&gt;"&amp;B26&amp;"&lt;/p&gt;]]&gt;&lt;/text&gt;"</f>
        <v xml:space="preserve">      &lt;text&gt;&lt;![CDATA[&lt;p&gt;0&lt;/p&gt;]]&gt;&lt;/text&gt;</v>
      </c>
      <c r="B26" s="24">
        <f>R_INCORRECTA</f>
        <v>0</v>
      </c>
    </row>
    <row r="27" spans="1:7" x14ac:dyDescent="0.25">
      <c r="A27" s="306" t="s">
        <v>47</v>
      </c>
      <c r="B27" s="28" t="s">
        <v>48</v>
      </c>
      <c r="D27" s="33" t="str">
        <f ca="1">IF(Marcar_RI=INDIRECT("Z_TX_72_"&amp;IDIOMA),"OK","NO")</f>
        <v>NO</v>
      </c>
      <c r="E27" s="33" t="str">
        <f ca="1">IF(Marcar_RI=INDIRECT("Z_TX_73_"&amp;IDIOMA),"OK","NO")</f>
        <v>NO</v>
      </c>
      <c r="F27" s="33" t="str">
        <f ca="1">IF(OR(Marcar_RI=INDIRECT("Z_TX_72_"&amp;IDIOMA),Marcar_RI=INDIRECT("Z_TX_73_"&amp;IDIOMA)),"OK","NO")</f>
        <v>NO</v>
      </c>
    </row>
    <row r="28" spans="1:7" x14ac:dyDescent="0.25">
      <c r="A28" s="305" t="s">
        <v>49</v>
      </c>
      <c r="B28" s="31">
        <v>1</v>
      </c>
      <c r="C28" s="31" t="str">
        <f ca="1">IFERROR(FIND(",",B29,1),"")</f>
        <v/>
      </c>
      <c r="D28" s="307" t="s">
        <v>1276</v>
      </c>
      <c r="E28" s="308" t="s">
        <v>1278</v>
      </c>
      <c r="F28" s="306" t="s">
        <v>1277</v>
      </c>
    </row>
    <row r="29" spans="1:7" x14ac:dyDescent="0.25">
      <c r="A29" s="544" t="str">
        <f ca="1">IF(B30&lt;&gt;"",$C$29&amp;IF(C28&lt;&gt;"",REPLACE(B29,C28,1,"."),B29)&amp;$C$30,"BORRAR")</f>
        <v>BORRAR</v>
      </c>
      <c r="B29" s="29" t="str">
        <f ca="1">INDIRECT("PUNTOS_"&amp;B28&amp;"_O2")</f>
        <v/>
      </c>
      <c r="C29" s="561" t="s">
        <v>50</v>
      </c>
    </row>
    <row r="30" spans="1:7" x14ac:dyDescent="0.25">
      <c r="A30" s="306" t="str">
        <f ca="1">IF(A29="BORRAR","BORRAR","      &lt;text&gt;&lt;![CDATA[&lt;p&gt;"&amp;B30&amp;"&lt;/p&gt;]]&gt;&lt;/text&gt;")</f>
        <v>BORRAR</v>
      </c>
      <c r="B30" s="24" t="str">
        <f ca="1">D30&amp;E30&amp;INDIRECT("RESPUESTA_"&amp;B28&amp;"_O2")&amp;F30</f>
        <v/>
      </c>
      <c r="C30" s="561" t="s">
        <v>51</v>
      </c>
      <c r="D30" s="307" t="str">
        <f ca="1">IF(INDIRECT("RESPUESTA_"&amp;B28&amp;"_O2")="","",IF($D$27="OK",$D$28,""))</f>
        <v/>
      </c>
      <c r="E30" s="308" t="str">
        <f ca="1">IF(INDIRECT("RESPUESTA_"&amp;B28&amp;"_O2")="","",IF($E$27="OK",$E$28,""))</f>
        <v/>
      </c>
      <c r="F30" s="306" t="str">
        <f ca="1">IF(INDIRECT("RESPUESTA_"&amp;B28&amp;"_O2")="","",IF($F$27="OK",$F$28,""))</f>
        <v/>
      </c>
      <c r="G30" s="306" t="s">
        <v>117</v>
      </c>
    </row>
    <row r="31" spans="1:7" x14ac:dyDescent="0.25">
      <c r="A31" s="306" t="str">
        <f ca="1">IF(A30="BORRAR","BORRAR",$C$31)</f>
        <v>BORRAR</v>
      </c>
      <c r="C31" s="561" t="s">
        <v>52</v>
      </c>
    </row>
    <row r="32" spans="1:7" x14ac:dyDescent="0.25">
      <c r="A32" s="306" t="str">
        <f ca="1">IF(A31="BORRAR","BORRAR","      &lt;text&gt;&lt;![CDATA[&lt;p&gt;"&amp;B32&amp;"&lt;/p&gt;]]&gt;&lt;/text&gt;")</f>
        <v>BORRAR</v>
      </c>
      <c r="B32" s="23" t="str">
        <f ca="1">RETROAL_1_O2</f>
        <v/>
      </c>
    </row>
    <row r="33" spans="1:7" x14ac:dyDescent="0.25">
      <c r="A33" s="306" t="str">
        <f ca="1">IF(A32="BORRAR","BORRAR","      &lt;/feedback&gt;")</f>
        <v>BORRAR</v>
      </c>
      <c r="B33" s="28" t="s">
        <v>53</v>
      </c>
    </row>
    <row r="34" spans="1:7" x14ac:dyDescent="0.25">
      <c r="A34" s="306" t="str">
        <f ca="1">IF(A33="BORRAR","BORRAR","    &lt;/answer&gt;")</f>
        <v>BORRAR</v>
      </c>
      <c r="B34" s="31">
        <f>B28+1</f>
        <v>2</v>
      </c>
      <c r="C34" s="31" t="str">
        <f ca="1">IFERROR(FIND(",",B35,1),"")</f>
        <v/>
      </c>
    </row>
    <row r="35" spans="1:7" x14ac:dyDescent="0.25">
      <c r="A35" s="544" t="str">
        <f ca="1">IF(B36&lt;&gt;"",$C$29&amp;IF(C34&lt;&gt;"",REPLACE(B35,C34,1,"."),B35)&amp;$C$30,"BORRAR")</f>
        <v>BORRAR</v>
      </c>
      <c r="B35" s="29" t="str">
        <f ca="1">INDIRECT("PUNTOS_"&amp;B34&amp;"_O2")</f>
        <v/>
      </c>
    </row>
    <row r="36" spans="1:7" x14ac:dyDescent="0.25">
      <c r="A36" s="306" t="str">
        <f ca="1">IF(A35="BORRAR","BORRAR","      &lt;text&gt;&lt;![CDATA[&lt;p&gt;"&amp;B36&amp;"&lt;/p&gt;]]&gt;&lt;/text&gt;")</f>
        <v>BORRAR</v>
      </c>
      <c r="B36" s="24" t="str">
        <f ca="1">D36&amp;E36&amp;INDIRECT("RESPUESTA_"&amp;B34&amp;"_O2")&amp;F36</f>
        <v/>
      </c>
      <c r="C36" s="561" t="s">
        <v>51</v>
      </c>
      <c r="D36" s="307" t="str">
        <f ca="1">IF(INDIRECT("RESPUESTA_"&amp;B34&amp;"_O2")="","",IF($D$27="OK",$D$28,""))</f>
        <v/>
      </c>
      <c r="E36" s="308" t="str">
        <f ca="1">IF(INDIRECT("RESPUESTA_"&amp;B34&amp;"_O2")="","",IF($E$27="OK",$E$28,""))</f>
        <v/>
      </c>
      <c r="F36" s="306" t="str">
        <f ca="1">IF(INDIRECT("RESPUESTA_"&amp;B34&amp;"_O2")="","",IF($F$27="OK",$F$28,""))</f>
        <v/>
      </c>
      <c r="G36" s="306" t="s">
        <v>117</v>
      </c>
    </row>
    <row r="37" spans="1:7" x14ac:dyDescent="0.25">
      <c r="A37" s="306" t="str">
        <f ca="1">IF(A36="BORRAR","BORRAR",$C$31)</f>
        <v>BORRAR</v>
      </c>
    </row>
    <row r="38" spans="1:7" x14ac:dyDescent="0.25">
      <c r="A38" s="306" t="str">
        <f ca="1">IF(A37="BORRAR","BORRAR","      &lt;text&gt;&lt;![CDATA[&lt;p&gt;"&amp;B38&amp;"&lt;/p&gt;]]&gt;&lt;/text&gt;")</f>
        <v>BORRAR</v>
      </c>
      <c r="B38" s="23" t="str">
        <f ca="1">RETROAL_2_O2</f>
        <v/>
      </c>
    </row>
    <row r="39" spans="1:7" x14ac:dyDescent="0.25">
      <c r="A39" s="306" t="str">
        <f ca="1">IF(A38="BORRAR","BORRAR","      &lt;/feedback&gt;")</f>
        <v>BORRAR</v>
      </c>
    </row>
    <row r="40" spans="1:7" x14ac:dyDescent="0.25">
      <c r="A40" s="306" t="str">
        <f ca="1">IF(A39="BORRAR","BORRAR","    &lt;/answer&gt;")</f>
        <v>BORRAR</v>
      </c>
      <c r="B40" s="32">
        <f>B34+1</f>
        <v>3</v>
      </c>
      <c r="C40" s="25" t="str">
        <f ca="1">IFERROR(FIND(",",B41,1),"")</f>
        <v/>
      </c>
    </row>
    <row r="41" spans="1:7" x14ac:dyDescent="0.25">
      <c r="A41" s="562" t="str">
        <f ca="1">IF(B42&lt;&gt;"",$C$29&amp;IF(C40&lt;&gt;"",REPLACE(B41,C40,1,"."),B41)&amp;$C$30,"BORRAR")</f>
        <v>BORRAR</v>
      </c>
      <c r="B41" s="29" t="str">
        <f ca="1">INDIRECT("PUNTOS_"&amp;B40&amp;"_O2")</f>
        <v/>
      </c>
    </row>
    <row r="42" spans="1:7" x14ac:dyDescent="0.25">
      <c r="A42" s="306" t="str">
        <f ca="1">IF(A41="BORRAR","BORRAR","      &lt;text&gt;&lt;![CDATA[&lt;p&gt;"&amp;B42&amp;"&lt;/p&gt;]]&gt;&lt;/text&gt;")</f>
        <v>BORRAR</v>
      </c>
      <c r="B42" s="24" t="str">
        <f ca="1">D42&amp;E42&amp;INDIRECT("RESPUESTA_"&amp;B40&amp;"_O2")&amp;F42</f>
        <v/>
      </c>
      <c r="C42" s="561" t="s">
        <v>51</v>
      </c>
      <c r="D42" s="307" t="str">
        <f ca="1">IF(INDIRECT("RESPUESTA_"&amp;B40&amp;"_O2")="","",IF($D$27="OK",$D$28,""))</f>
        <v/>
      </c>
      <c r="E42" s="308" t="str">
        <f ca="1">IF(INDIRECT("RESPUESTA_"&amp;B40&amp;"_O2")="","",IF($E$27="OK",$E$28,""))</f>
        <v/>
      </c>
      <c r="F42" s="306" t="str">
        <f ca="1">IF(INDIRECT("RESPUESTA_"&amp;B40&amp;"_O2")="","",IF($F$27="OK",$F$28,""))</f>
        <v/>
      </c>
      <c r="G42" s="306" t="s">
        <v>117</v>
      </c>
    </row>
    <row r="43" spans="1:7" x14ac:dyDescent="0.25">
      <c r="A43" s="306" t="str">
        <f ca="1">IF(A42="BORRAR","BORRAR",$C$31)</f>
        <v>BORRAR</v>
      </c>
    </row>
    <row r="44" spans="1:7" x14ac:dyDescent="0.25">
      <c r="A44" s="306" t="str">
        <f ca="1">IF(A43="BORRAR","BORRAR","      &lt;text&gt;&lt;![CDATA[&lt;p&gt;"&amp;B44&amp;"&lt;/p&gt;]]&gt;&lt;/text&gt;")</f>
        <v>BORRAR</v>
      </c>
      <c r="B44" s="24" t="str">
        <f ca="1">RETROAL_3_O2</f>
        <v/>
      </c>
    </row>
    <row r="45" spans="1:7" x14ac:dyDescent="0.25">
      <c r="A45" s="306" t="str">
        <f ca="1">IF(A44="BORRAR","BORRAR","      &lt;/feedback&gt;")</f>
        <v>BORRAR</v>
      </c>
    </row>
    <row r="46" spans="1:7" x14ac:dyDescent="0.25">
      <c r="A46" s="306" t="str">
        <f ca="1">IF(A45="BORRAR","BORRAR","    &lt;/answer&gt;")</f>
        <v>BORRAR</v>
      </c>
      <c r="B46" s="32">
        <f>B40+1</f>
        <v>4</v>
      </c>
      <c r="C46" s="25" t="str">
        <f ca="1">IFERROR(FIND(",",B47,1),"")</f>
        <v/>
      </c>
    </row>
    <row r="47" spans="1:7" x14ac:dyDescent="0.25">
      <c r="A47" s="562" t="str">
        <f ca="1">IF(B48&lt;&gt;"",$C$29&amp;IF(C46&lt;&gt;"",REPLACE(B47,C46,1,"."),B47)&amp;$C$30,"BORRAR")</f>
        <v>BORRAR</v>
      </c>
      <c r="B47" s="29" t="str">
        <f ca="1">INDIRECT("PUNTOS_"&amp;B46&amp;"_O2")</f>
        <v/>
      </c>
    </row>
    <row r="48" spans="1:7" x14ac:dyDescent="0.25">
      <c r="A48" s="306" t="str">
        <f ca="1">IF(A47="BORRAR","BORRAR","      &lt;text&gt;&lt;![CDATA[&lt;p&gt;"&amp;B48&amp;"&lt;/p&gt;]]&gt;&lt;/text&gt;")</f>
        <v>BORRAR</v>
      </c>
      <c r="B48" s="24" t="str">
        <f ca="1">D48&amp;E48&amp;INDIRECT("RESPUESTA_"&amp;B46&amp;"_O2")&amp;F48</f>
        <v/>
      </c>
      <c r="C48" s="561" t="s">
        <v>51</v>
      </c>
      <c r="D48" s="307" t="str">
        <f ca="1">IF(INDIRECT("RESPUESTA_"&amp;B46&amp;"_O2")="","",IF($D$27="OK",$D$28,""))</f>
        <v/>
      </c>
      <c r="E48" s="308" t="str">
        <f ca="1">IF(INDIRECT("RESPUESTA_"&amp;B46&amp;"_O2")="","",IF($E$27="OK",$E$28,""))</f>
        <v/>
      </c>
      <c r="F48" s="306" t="str">
        <f ca="1">IF(INDIRECT("RESPUESTA_"&amp;B46&amp;"_O2")="","",IF($F$27="OK",$F$28,""))</f>
        <v/>
      </c>
      <c r="G48" s="306" t="s">
        <v>117</v>
      </c>
    </row>
    <row r="49" spans="1:7" x14ac:dyDescent="0.25">
      <c r="A49" s="306" t="str">
        <f ca="1">IF(A48="BORRAR","BORRAR",$C$31)</f>
        <v>BORRAR</v>
      </c>
    </row>
    <row r="50" spans="1:7" x14ac:dyDescent="0.25">
      <c r="A50" s="306" t="str">
        <f ca="1">IF(A49="BORRAR","BORRAR","      &lt;text&gt;&lt;![CDATA[&lt;p&gt;"&amp;B50&amp;"&lt;/p&gt;]]&gt;&lt;/text&gt;")</f>
        <v>BORRAR</v>
      </c>
      <c r="B50" s="24" t="str">
        <f ca="1">RETROAL_4_O2</f>
        <v/>
      </c>
    </row>
    <row r="51" spans="1:7" x14ac:dyDescent="0.25">
      <c r="A51" s="306" t="str">
        <f ca="1">IF(A50="BORRAR","BORRAR","      &lt;/feedback&gt;")</f>
        <v>BORRAR</v>
      </c>
    </row>
    <row r="52" spans="1:7" x14ac:dyDescent="0.25">
      <c r="A52" s="306" t="str">
        <f ca="1">IF(A51="BORRAR","BORRAR","    &lt;/answer&gt;")</f>
        <v>BORRAR</v>
      </c>
      <c r="B52" s="32">
        <f>B46+1</f>
        <v>5</v>
      </c>
      <c r="C52" s="25" t="str">
        <f ca="1">IFERROR(FIND(",",B53,1),"")</f>
        <v/>
      </c>
    </row>
    <row r="53" spans="1:7" x14ac:dyDescent="0.25">
      <c r="A53" s="562" t="str">
        <f ca="1">IF(B54&lt;&gt;"",$C$29&amp;IF(C52&lt;&gt;"",REPLACE(B53,C52,1,"."),B53)&amp;$C$30,"BORRAR")</f>
        <v>BORRAR</v>
      </c>
      <c r="B53" s="29" t="str">
        <f ca="1">INDIRECT("PUNTOS_"&amp;B52&amp;"_O2")</f>
        <v/>
      </c>
    </row>
    <row r="54" spans="1:7" x14ac:dyDescent="0.25">
      <c r="A54" s="306" t="str">
        <f ca="1">IF(A53="BORRAR","BORRAR","      &lt;text&gt;&lt;![CDATA[&lt;p&gt;"&amp;B54&amp;"&lt;/p&gt;]]&gt;&lt;/text&gt;")</f>
        <v>BORRAR</v>
      </c>
      <c r="B54" s="24" t="str">
        <f ca="1">D54&amp;E54&amp;INDIRECT("RESPUESTA_"&amp;B52&amp;"_O2")&amp;F54</f>
        <v/>
      </c>
      <c r="C54" s="561" t="s">
        <v>51</v>
      </c>
      <c r="D54" s="307" t="str">
        <f ca="1">IF(INDIRECT("RESPUESTA_"&amp;B52&amp;"_O2")="","",IF($D$27="OK",$D$28,""))</f>
        <v/>
      </c>
      <c r="E54" s="308" t="str">
        <f ca="1">IF(INDIRECT("RESPUESTA_"&amp;B52&amp;"_O2")="","",IF($E$27="OK",$E$28,""))</f>
        <v/>
      </c>
      <c r="F54" s="306" t="str">
        <f ca="1">IF(INDIRECT("RESPUESTA_"&amp;B52&amp;"_O2")="","",IF($F$27="OK",$F$28,""))</f>
        <v/>
      </c>
      <c r="G54" s="306" t="s">
        <v>117</v>
      </c>
    </row>
    <row r="55" spans="1:7" x14ac:dyDescent="0.25">
      <c r="A55" s="306" t="str">
        <f ca="1">IF(A54="BORRAR","BORRAR",$C$31)</f>
        <v>BORRAR</v>
      </c>
    </row>
    <row r="56" spans="1:7" x14ac:dyDescent="0.25">
      <c r="A56" s="306" t="str">
        <f ca="1">IF(A55="BORRAR","BORRAR","      &lt;text&gt;&lt;![CDATA[&lt;p&gt;"&amp;B56&amp;"&lt;/p&gt;]]&gt;&lt;/text&gt;")</f>
        <v>BORRAR</v>
      </c>
      <c r="B56" s="24" t="str">
        <f ca="1">RETROAL_5_O2</f>
        <v/>
      </c>
    </row>
    <row r="57" spans="1:7" x14ac:dyDescent="0.25">
      <c r="A57" s="306" t="str">
        <f ca="1">IF(A56="BORRAR","BORRAR","      &lt;/feedback&gt;")</f>
        <v>BORRAR</v>
      </c>
    </row>
    <row r="58" spans="1:7" x14ac:dyDescent="0.25">
      <c r="A58" s="306" t="str">
        <f ca="1">IF(A57="BORRAR","BORRAR","    &lt;/answer&gt;")</f>
        <v>BORRAR</v>
      </c>
      <c r="B58" s="32">
        <f>B52+1</f>
        <v>6</v>
      </c>
      <c r="C58" s="25" t="str">
        <f ca="1">IFERROR(FIND(",",B59,1),"")</f>
        <v/>
      </c>
    </row>
    <row r="59" spans="1:7" x14ac:dyDescent="0.25">
      <c r="A59" s="562" t="str">
        <f ca="1">IF(B60&lt;&gt;"",$C$29&amp;IF(C58&lt;&gt;"",REPLACE(B59,C58,1,"."),B59)&amp;$C$30,"BORRAR")</f>
        <v>BORRAR</v>
      </c>
      <c r="B59" s="29" t="str">
        <f ca="1">INDIRECT("PUNTOS_"&amp;B58&amp;"_O2")</f>
        <v/>
      </c>
    </row>
    <row r="60" spans="1:7" x14ac:dyDescent="0.25">
      <c r="A60" s="306" t="str">
        <f ca="1">IF(A59="BORRAR","BORRAR","      &lt;text&gt;&lt;![CDATA[&lt;p&gt;"&amp;B60&amp;"&lt;/p&gt;]]&gt;&lt;/text&gt;")</f>
        <v>BORRAR</v>
      </c>
      <c r="B60" s="24" t="str">
        <f ca="1">D60&amp;E60&amp;INDIRECT("RESPUESTA_"&amp;B58&amp;"_O2")&amp;F60</f>
        <v/>
      </c>
      <c r="C60" s="561" t="s">
        <v>51</v>
      </c>
      <c r="D60" s="307" t="str">
        <f ca="1">IF(INDIRECT("RESPUESTA_"&amp;B58&amp;"_O2")="","",IF($D$27="OK",$D$28,""))</f>
        <v/>
      </c>
      <c r="E60" s="308" t="str">
        <f ca="1">IF(INDIRECT("RESPUESTA_"&amp;B58&amp;"_O2")="","",IF($E$27="OK",$E$28,""))</f>
        <v/>
      </c>
      <c r="F60" s="306" t="str">
        <f ca="1">IF(INDIRECT("RESPUESTA_"&amp;B58&amp;"_O2")="","",IF($F$27="OK",$F$28,""))</f>
        <v/>
      </c>
      <c r="G60" s="306" t="s">
        <v>117</v>
      </c>
    </row>
    <row r="61" spans="1:7" x14ac:dyDescent="0.25">
      <c r="A61" s="306" t="str">
        <f ca="1">IF(A60="BORRAR","BORRAR",$C$31)</f>
        <v>BORRAR</v>
      </c>
    </row>
    <row r="62" spans="1:7" x14ac:dyDescent="0.25">
      <c r="A62" s="306" t="str">
        <f ca="1">IF(A61="BORRAR","BORRAR","      &lt;text&gt;&lt;![CDATA[&lt;p&gt;"&amp;B62&amp;"&lt;/p&gt;]]&gt;&lt;/text&gt;")</f>
        <v>BORRAR</v>
      </c>
      <c r="B62" s="24" t="str">
        <f ca="1">RETROAL_6_O2</f>
        <v/>
      </c>
    </row>
    <row r="63" spans="1:7" x14ac:dyDescent="0.25">
      <c r="A63" s="306" t="str">
        <f ca="1">IF(A62="BORRAR","BORRAR","      &lt;/feedback&gt;")</f>
        <v>BORRAR</v>
      </c>
    </row>
    <row r="64" spans="1:7" x14ac:dyDescent="0.25">
      <c r="A64" s="306" t="str">
        <f ca="1">IF(A63="BORRAR","BORRAR","    &lt;/answer&gt;")</f>
        <v>BORRAR</v>
      </c>
      <c r="B64" s="30"/>
    </row>
  </sheetData>
  <sheetProtection algorithmName="SHA-512" hashValue="LsVqDYnxljktyo5wvOUo0847fJKZiUHjXGdqxk8D+ye9b457JNkSvqqTLKWpDDI8iNVhS8wY8jPITWcGuIyuog==" saltValue="oegou+iGV33zgC7rrTGzUg==" spinCount="100000" sheet="1" objects="1" scenarios="1" selectLockedCells="1"/>
  <pageMargins left="0.7" right="0.7" top="0.75" bottom="0.75" header="0.3" footer="0.3"/>
</worksheet>
</file>

<file path=xl/worksheets/sheet2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Hoja_33"/>
  <dimension ref="A1:L28"/>
  <sheetViews>
    <sheetView showGridLines="0" showRowColHeaders="0" zoomScale="170" zoomScaleNormal="170" workbookViewId="0">
      <pane ySplit="2" topLeftCell="A3" activePane="bottomLeft" state="frozen"/>
      <selection activeCell="A12" sqref="A12"/>
      <selection pane="bottomLeft"/>
    </sheetView>
  </sheetViews>
  <sheetFormatPr baseColWidth="10" defaultColWidth="0" defaultRowHeight="15" x14ac:dyDescent="0.25"/>
  <cols>
    <col min="1" max="1" width="90.7109375" style="306" customWidth="1"/>
    <col min="2" max="2" width="15.7109375" style="22" hidden="1" customWidth="1"/>
    <col min="3" max="3" width="15.7109375" style="306" hidden="1" customWidth="1"/>
    <col min="4" max="4" width="10.85546875" style="306" hidden="1" customWidth="1"/>
    <col min="5" max="11" width="11.42578125" style="304" hidden="1" customWidth="1"/>
    <col min="12" max="12" width="2.7109375" style="304" customWidth="1"/>
    <col min="13" max="16384" width="11.42578125" style="304" hidden="1"/>
  </cols>
  <sheetData>
    <row r="1" spans="1:3" x14ac:dyDescent="0.25">
      <c r="A1" s="306" t="str">
        <f>"&lt;!-- question: "&amp;PREGUNTA_ACTUAL&amp;"  --&gt;"</f>
        <v>&lt;!-- question: 1  --&gt;</v>
      </c>
      <c r="B1" s="24">
        <f ca="1">COUNTA(A1:A27)</f>
        <v>27</v>
      </c>
    </row>
    <row r="2" spans="1:3" x14ac:dyDescent="0.25">
      <c r="A2" s="309" t="s">
        <v>66</v>
      </c>
      <c r="B2" s="23" t="s">
        <v>67</v>
      </c>
    </row>
    <row r="3" spans="1:3" x14ac:dyDescent="0.25">
      <c r="A3" s="306" t="s">
        <v>27</v>
      </c>
      <c r="B3" s="306" t="s">
        <v>28</v>
      </c>
    </row>
    <row r="4" spans="1:3" x14ac:dyDescent="0.25">
      <c r="A4" s="306" t="str">
        <f ca="1">"      &lt;text&gt;"&amp;B4&amp;"&lt;/text&gt;"</f>
        <v xml:space="preserve">      &lt;text&gt;&lt;/text&gt;</v>
      </c>
      <c r="B4" s="24" t="str">
        <f ca="1">NOMBRE_VF</f>
        <v/>
      </c>
    </row>
    <row r="5" spans="1:3" x14ac:dyDescent="0.25">
      <c r="A5" s="306" t="s">
        <v>29</v>
      </c>
    </row>
    <row r="6" spans="1:3" x14ac:dyDescent="0.25">
      <c r="A6" s="306" t="s">
        <v>30</v>
      </c>
      <c r="B6" s="22" t="s">
        <v>24</v>
      </c>
    </row>
    <row r="7" spans="1:3" x14ac:dyDescent="0.25">
      <c r="A7" s="306" t="str">
        <f ca="1">"      &lt;text&gt;&lt;![CDATA[&lt;p&gt;"&amp;B7&amp;"&lt;/p&gt;]]&gt;&lt;/text&gt;"</f>
        <v xml:space="preserve">      &lt;text&gt;&lt;![CDATA[&lt;p&gt;&lt;p style="text-align: center;"&gt;&lt;/p&gt;]]&gt;&lt;/text&gt;</v>
      </c>
      <c r="B7" s="29" t="str">
        <f ca="1">IF(Centrar_Tabla_VF=TRUE,B8,"")&amp;IMG_VF&amp;IF(IMG_VF="","","&lt;/p&gt;")&amp;ENUNCIADO_VF</f>
        <v>&lt;p style="text-align: center;"&gt;</v>
      </c>
    </row>
    <row r="8" spans="1:3" x14ac:dyDescent="0.25">
      <c r="A8" s="306" t="s">
        <v>31</v>
      </c>
      <c r="B8" s="22" t="str">
        <f>'XML OM'!B8</f>
        <v>&lt;p style="text-align: center;"&gt;</v>
      </c>
    </row>
    <row r="9" spans="1:3" x14ac:dyDescent="0.25">
      <c r="A9" s="306" t="s">
        <v>32</v>
      </c>
      <c r="B9" s="38" t="s">
        <v>70</v>
      </c>
    </row>
    <row r="10" spans="1:3" x14ac:dyDescent="0.25">
      <c r="A10" s="306" t="str">
        <f>"      &lt;text&gt;&lt;![CDATA[&lt;p&gt;"&amp;B10&amp;"&lt;/p&gt;]]&gt;&lt;/text&gt;"</f>
        <v xml:space="preserve">      &lt;text&gt;&lt;![CDATA[&lt;p&gt;0&lt;/p&gt;]]&gt;&lt;/text&gt;</v>
      </c>
      <c r="B10" s="24">
        <f>Retroalim_GENERAL</f>
        <v>0</v>
      </c>
    </row>
    <row r="11" spans="1:3" x14ac:dyDescent="0.25">
      <c r="A11" s="306" t="s">
        <v>34</v>
      </c>
    </row>
    <row r="12" spans="1:3" x14ac:dyDescent="0.25">
      <c r="A12" s="306" t="str">
        <f>"    &lt;defaultgrade&gt;"&amp;B12&amp;"&lt;/defaultgrade&gt;"</f>
        <v xml:space="preserve">    &lt;defaultgrade&gt;1&lt;/defaultgrade&gt;</v>
      </c>
      <c r="B12" s="26">
        <f>PUNTUACION</f>
        <v>1</v>
      </c>
      <c r="C12" s="306" t="s">
        <v>35</v>
      </c>
    </row>
    <row r="13" spans="1:3" x14ac:dyDescent="0.25">
      <c r="A13" s="306" t="str">
        <f>"    &lt;penalty&gt;"&amp;REPLACE(B13,2,1,".")&amp;"&lt;/penalty&gt;"</f>
        <v xml:space="preserve">    &lt;penalty&gt;0.333333333333333&lt;/penalty&gt;</v>
      </c>
      <c r="B13" s="26">
        <f>PENALIZACION</f>
        <v>0.33333333333333331</v>
      </c>
      <c r="C13" s="306" t="s">
        <v>36</v>
      </c>
    </row>
    <row r="14" spans="1:3" x14ac:dyDescent="0.25">
      <c r="A14" s="306" t="str">
        <f>"    &lt;hidden&gt;"&amp;B14&amp;"&lt;/hidden&gt;"</f>
        <v xml:space="preserve">    &lt;hidden&gt;0&lt;/hidden&gt;</v>
      </c>
      <c r="B14" s="24">
        <f>Oculto</f>
        <v>0</v>
      </c>
      <c r="C14" s="306" t="s">
        <v>37</v>
      </c>
    </row>
    <row r="15" spans="1:3" x14ac:dyDescent="0.25">
      <c r="A15" s="306" t="str">
        <f>"    &lt;idnumber&gt;"&amp;B15&amp;"&lt;/idnumber&gt;"</f>
        <v xml:space="preserve">    &lt;idnumber&gt;&lt;/idnumber&gt;</v>
      </c>
      <c r="B15" s="22" t="str">
        <f>IF(CONTRASEN_A="","",A15)</f>
        <v/>
      </c>
      <c r="C15" s="306" t="s">
        <v>38</v>
      </c>
    </row>
    <row r="16" spans="1:3" x14ac:dyDescent="0.25">
      <c r="A16" s="544" t="s">
        <v>68</v>
      </c>
      <c r="B16" s="28" t="s">
        <v>72</v>
      </c>
      <c r="C16" s="561" t="s">
        <v>1665</v>
      </c>
    </row>
    <row r="17" spans="1:11" x14ac:dyDescent="0.25">
      <c r="A17" s="306" t="str">
        <f ca="1">"      &lt;text&gt;"&amp;B17&amp;"&lt;/text&gt;"</f>
        <v xml:space="preserve">      &lt;text&gt;false&lt;/text&gt;</v>
      </c>
      <c r="B17" s="22" t="str">
        <f ca="1">IF(OR(C17=D17,C17=E17,C17=F17,C17=G17,C17=H17,C17=I17,C17=J17,C17=K17),"true","false")</f>
        <v>false</v>
      </c>
      <c r="C17" s="29" t="str">
        <f ca="1">RESPUESTA_1_VF</f>
        <v/>
      </c>
      <c r="D17" s="344" t="str">
        <f>Z_VF_01_S</f>
        <v>VERDADERO</v>
      </c>
      <c r="E17" s="344" t="str">
        <f>Z_VF_01_E</f>
        <v>TRUE</v>
      </c>
      <c r="F17" s="344" t="str">
        <f>Z_VF_01_F</f>
        <v>VRAI</v>
      </c>
      <c r="G17" s="344" t="str">
        <f>Z_VF_01_P</f>
        <v>VERDADEIRO</v>
      </c>
      <c r="H17" s="344" t="str">
        <f>Z_VF_01_I</f>
        <v>VERO</v>
      </c>
      <c r="I17" s="344" t="str">
        <f>Z_VF_01_D</f>
        <v>WAHR</v>
      </c>
      <c r="J17" s="344" t="str">
        <f>Z_VF_01_O</f>
        <v>VERDADERO</v>
      </c>
      <c r="K17" s="344" t="str">
        <f>Z_VF_01_</f>
        <v>VERDADERO</v>
      </c>
    </row>
    <row r="18" spans="1:11" x14ac:dyDescent="0.25">
      <c r="A18" s="306" t="s">
        <v>52</v>
      </c>
      <c r="B18" s="24"/>
      <c r="D18" s="344" t="str">
        <f>Z_VF_02_S</f>
        <v>FALSO</v>
      </c>
      <c r="E18" s="344" t="str">
        <f>Z_VF_02_E</f>
        <v>FALSE</v>
      </c>
      <c r="F18" s="344" t="str">
        <f>Z_VF_02_F</f>
        <v>FAUX</v>
      </c>
      <c r="G18" s="344" t="str">
        <f>Z_VF_02_P</f>
        <v>FALSO</v>
      </c>
      <c r="H18" s="344" t="str">
        <f>Z_VF_02_I</f>
        <v>FALSO</v>
      </c>
      <c r="I18" s="344" t="str">
        <f>Z_VF_02_D</f>
        <v>FALSCH</v>
      </c>
      <c r="J18" s="344" t="str">
        <f>Z_VF_02_O</f>
        <v>FALSO</v>
      </c>
      <c r="K18" s="344" t="str">
        <f>Z_VF_02_</f>
        <v>FALSO</v>
      </c>
    </row>
    <row r="19" spans="1:11" x14ac:dyDescent="0.25">
      <c r="A19" s="306" t="str">
        <f ca="1">"      &lt;text&gt;&lt;![CDATA[&lt;p&gt;"&amp;B19&amp;"&lt;/p&gt;]]&gt;&lt;/text&gt;"</f>
        <v xml:space="preserve">      &lt;text&gt;&lt;![CDATA[&lt;p&gt;&lt;/p&gt;]]&gt;&lt;/text&gt;</v>
      </c>
      <c r="B19" s="23" t="str">
        <f ca="1">RETROAL_1_VF</f>
        <v/>
      </c>
      <c r="D19" s="344" t="str">
        <f t="shared" ref="D19:K19" si="0">D17</f>
        <v>VERDADERO</v>
      </c>
      <c r="E19" s="344" t="str">
        <f t="shared" si="0"/>
        <v>TRUE</v>
      </c>
      <c r="F19" s="344" t="str">
        <f t="shared" si="0"/>
        <v>VRAI</v>
      </c>
      <c r="G19" s="344" t="str">
        <f t="shared" si="0"/>
        <v>VERDADEIRO</v>
      </c>
      <c r="H19" s="344" t="str">
        <f t="shared" si="0"/>
        <v>VERO</v>
      </c>
      <c r="I19" s="344" t="str">
        <f t="shared" si="0"/>
        <v>WAHR</v>
      </c>
      <c r="J19" s="344" t="str">
        <f t="shared" ref="J19" si="1">J17</f>
        <v>VERDADERO</v>
      </c>
      <c r="K19" s="344" t="str">
        <f t="shared" si="0"/>
        <v>VERDADERO</v>
      </c>
    </row>
    <row r="20" spans="1:11" x14ac:dyDescent="0.25">
      <c r="A20" s="306" t="s">
        <v>63</v>
      </c>
      <c r="B20" s="23"/>
    </row>
    <row r="21" spans="1:11" x14ac:dyDescent="0.25">
      <c r="A21" s="306" t="s">
        <v>64</v>
      </c>
    </row>
    <row r="22" spans="1:11" x14ac:dyDescent="0.25">
      <c r="A22" s="544" t="s">
        <v>69</v>
      </c>
      <c r="B22" s="28" t="s">
        <v>71</v>
      </c>
    </row>
    <row r="23" spans="1:11" x14ac:dyDescent="0.25">
      <c r="A23" s="306" t="str">
        <f ca="1">"      &lt;text&gt;"&amp;B23&amp;"&lt;/text&gt;"</f>
        <v xml:space="preserve">      &lt;text&gt;true&lt;/text&gt;</v>
      </c>
      <c r="B23" s="22" t="str">
        <f ca="1">IF(B17="TRUE","false","true")</f>
        <v>true</v>
      </c>
    </row>
    <row r="24" spans="1:11" x14ac:dyDescent="0.25">
      <c r="A24" s="306" t="s">
        <v>52</v>
      </c>
    </row>
    <row r="25" spans="1:11" x14ac:dyDescent="0.25">
      <c r="A25" s="306" t="str">
        <f ca="1">"      &lt;text&gt;&lt;![CDATA[&lt;p&gt;"&amp;B25&amp;"&lt;/p&gt;]]&gt;&lt;/text&gt;"</f>
        <v xml:space="preserve">      &lt;text&gt;&lt;![CDATA[&lt;p&gt;&lt;/p&gt;]]&gt;&lt;/text&gt;</v>
      </c>
      <c r="B25" s="23" t="str">
        <f ca="1">RETROAL_2_VF</f>
        <v/>
      </c>
    </row>
    <row r="26" spans="1:11" x14ac:dyDescent="0.25">
      <c r="A26" s="306" t="str">
        <f>A20</f>
        <v xml:space="preserve">      &lt;/feedback&gt;</v>
      </c>
    </row>
    <row r="27" spans="1:11" x14ac:dyDescent="0.25">
      <c r="A27" s="306" t="str">
        <f>A21</f>
        <v xml:space="preserve">    &lt;/answer&gt;</v>
      </c>
    </row>
    <row r="28" spans="1:11" x14ac:dyDescent="0.25">
      <c r="A28" s="304"/>
      <c r="B28" s="30"/>
    </row>
  </sheetData>
  <sheetProtection algorithmName="SHA-512" hashValue="cXPXtXYUSBqYyykTPR1ncqz8gbkdH1zB7OA7zI+kL7RDd33R7UVMBUFMOmE/5k2dJAB1Of6QcHoA43posrEzoA==" saltValue="g3gRjv/KWQrfW2Xe/hLAZQ==" spinCount="100000" sheet="1" objects="1" scenarios="1" selectLockedCells="1"/>
  <pageMargins left="0.7" right="0.7" top="0.75" bottom="0.75" header="0.3" footer="0.3"/>
</worksheet>
</file>

<file path=xl/worksheets/sheet2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Hoja_34"/>
  <dimension ref="A1:E98"/>
  <sheetViews>
    <sheetView showGridLines="0" showRowColHeaders="0" zoomScale="170" zoomScaleNormal="170" workbookViewId="0">
      <pane ySplit="2" topLeftCell="A3" activePane="bottomLeft" state="frozen"/>
      <selection activeCell="A12" sqref="A12"/>
      <selection pane="bottomLeft"/>
    </sheetView>
  </sheetViews>
  <sheetFormatPr baseColWidth="10" defaultColWidth="0" defaultRowHeight="15" x14ac:dyDescent="0.25"/>
  <cols>
    <col min="1" max="1" width="90.7109375" style="304" customWidth="1"/>
    <col min="2" max="2" width="15.7109375" style="304" hidden="1" customWidth="1"/>
    <col min="3" max="3" width="11.42578125" style="304" hidden="1" customWidth="1"/>
    <col min="4" max="4" width="29.7109375" style="304" hidden="1" customWidth="1"/>
    <col min="5" max="5" width="2.7109375" style="304" customWidth="1"/>
    <col min="6" max="16384" width="11.42578125" style="304" hidden="1"/>
  </cols>
  <sheetData>
    <row r="1" spans="1:3" x14ac:dyDescent="0.25">
      <c r="A1" s="547" t="str">
        <f>"&lt;!-- question: "&amp;PREGUNTA_ACTUAL&amp;"  --&gt;"</f>
        <v>&lt;!-- question: 1  --&gt;</v>
      </c>
      <c r="B1" s="41">
        <f ca="1">COUNTA(A1:A98)-COUNTIF(A:A,"BORRAR")</f>
        <v>26</v>
      </c>
      <c r="C1" s="545"/>
    </row>
    <row r="2" spans="1:3" x14ac:dyDescent="0.25">
      <c r="A2" s="309" t="s">
        <v>73</v>
      </c>
      <c r="B2" s="309" t="s">
        <v>74</v>
      </c>
    </row>
    <row r="3" spans="1:3" x14ac:dyDescent="0.25">
      <c r="A3" s="304" t="s">
        <v>27</v>
      </c>
    </row>
    <row r="4" spans="1:3" x14ac:dyDescent="0.25">
      <c r="A4" s="304" t="str">
        <f ca="1">"      &lt;text&gt;"&amp;B4&amp;"&lt;/text&gt;"</f>
        <v xml:space="preserve">      &lt;text&gt;&lt;/text&gt;</v>
      </c>
      <c r="B4" s="304" t="str">
        <f ca="1">NOMBRE_EM</f>
        <v/>
      </c>
    </row>
    <row r="5" spans="1:3" x14ac:dyDescent="0.25">
      <c r="A5" s="304" t="s">
        <v>29</v>
      </c>
    </row>
    <row r="6" spans="1:3" x14ac:dyDescent="0.25">
      <c r="A6" s="304" t="s">
        <v>30</v>
      </c>
    </row>
    <row r="7" spans="1:3" x14ac:dyDescent="0.25">
      <c r="A7" s="304" t="str">
        <f ca="1">"      &lt;text&gt;&lt;![CDATA[&lt;p&gt;"&amp;B7&amp;"&lt;/p&gt;]]&gt;&lt;/text&gt;"</f>
        <v xml:space="preserve">      &lt;text&gt;&lt;![CDATA[&lt;p&gt;&lt;p style="text-align: center;"&gt;&lt;/p&gt;]]&gt;&lt;/text&gt;</v>
      </c>
      <c r="B7" s="29" t="str">
        <f ca="1">IF(Centrar_Tabla_EM=TRUE,B8,"")&amp;IMG_EM&amp;IF(IMG_EM="","","&lt;/p&gt;")&amp;ENUNCIADO_EM</f>
        <v>&lt;p style="text-align: center;"&gt;</v>
      </c>
    </row>
    <row r="8" spans="1:3" x14ac:dyDescent="0.25">
      <c r="A8" s="304" t="s">
        <v>31</v>
      </c>
      <c r="B8" s="22" t="str">
        <f>'XML OM'!B8</f>
        <v>&lt;p style="text-align: center;"&gt;</v>
      </c>
    </row>
    <row r="9" spans="1:3" x14ac:dyDescent="0.25">
      <c r="A9" s="304" t="s">
        <v>32</v>
      </c>
    </row>
    <row r="10" spans="1:3" x14ac:dyDescent="0.25">
      <c r="A10" s="304" t="str">
        <f>"      &lt;text&gt;&lt;![CDATA[&lt;p&gt;"&amp;B10&amp;"&lt;/p&gt;]]&gt;&lt;/text&gt;"</f>
        <v xml:space="preserve">      &lt;text&gt;&lt;![CDATA[&lt;p&gt;0&lt;/p&gt;]]&gt;&lt;/text&gt;</v>
      </c>
      <c r="B10" s="304">
        <f>Retroalim_GENERAL</f>
        <v>0</v>
      </c>
    </row>
    <row r="11" spans="1:3" x14ac:dyDescent="0.25">
      <c r="A11" s="304" t="s">
        <v>34</v>
      </c>
    </row>
    <row r="12" spans="1:3" x14ac:dyDescent="0.25">
      <c r="A12" s="304" t="str">
        <f>"    &lt;defaultgrade&gt;"&amp;B12&amp;"&lt;/defaultgrade&gt;"</f>
        <v xml:space="preserve">    &lt;defaultgrade&gt;1&lt;/defaultgrade&gt;</v>
      </c>
      <c r="B12" s="304">
        <f>PUNTUACION</f>
        <v>1</v>
      </c>
    </row>
    <row r="13" spans="1:3" x14ac:dyDescent="0.25">
      <c r="A13" s="306" t="str">
        <f>"    &lt;penalty&gt;"&amp;REPLACE(B13,2,1,".")&amp;"&lt;/penalty&gt;"</f>
        <v xml:space="preserve">    &lt;penalty&gt;0.333333333333333&lt;/penalty&gt;</v>
      </c>
      <c r="B13" s="304">
        <f>PENALIZACION</f>
        <v>0.33333333333333331</v>
      </c>
    </row>
    <row r="14" spans="1:3" x14ac:dyDescent="0.25">
      <c r="A14" s="304" t="s">
        <v>62</v>
      </c>
      <c r="B14" s="304">
        <f>Oculto</f>
        <v>0</v>
      </c>
    </row>
    <row r="15" spans="1:3" x14ac:dyDescent="0.25">
      <c r="A15" s="304" t="str">
        <f>"    &lt;idnumber&gt;"&amp;B15&amp;"&lt;/idnumber&gt;"</f>
        <v xml:space="preserve">    &lt;idnumber&gt;&lt;/idnumber&gt;</v>
      </c>
      <c r="B15" s="304" t="str">
        <f>IF(CONTRASEN_A="","",CONTRASEN_A)</f>
        <v/>
      </c>
    </row>
    <row r="16" spans="1:3" x14ac:dyDescent="0.25">
      <c r="A16" s="304" t="str">
        <f>"    &lt;shuffleanswers&gt;"&amp;B16&amp;"&lt;/shuffleanswers&gt;"</f>
        <v xml:space="preserve">    &lt;shuffleanswers&gt;true&lt;/shuffleanswers&gt;</v>
      </c>
      <c r="B16" s="304" t="str">
        <f>BARAJAR_R</f>
        <v>true</v>
      </c>
    </row>
    <row r="17" spans="1:4" x14ac:dyDescent="0.25">
      <c r="A17" s="304" t="s">
        <v>42</v>
      </c>
    </row>
    <row r="18" spans="1:4" x14ac:dyDescent="0.25">
      <c r="A18" s="304" t="str">
        <f>"      &lt;text&gt;&lt;![CDATA[&lt;p&gt;"&amp;B18&amp;"&lt;/p&gt;]]&gt;&lt;/text&gt;"</f>
        <v xml:space="preserve">      &lt;text&gt;&lt;![CDATA[&lt;p&gt;0&lt;/p&gt;]]&gt;&lt;/text&gt;</v>
      </c>
      <c r="B18" s="304">
        <f>R_CORRECTA</f>
        <v>0</v>
      </c>
    </row>
    <row r="19" spans="1:4" x14ac:dyDescent="0.25">
      <c r="A19" s="304" t="s">
        <v>43</v>
      </c>
    </row>
    <row r="20" spans="1:4" x14ac:dyDescent="0.25">
      <c r="A20" s="304" t="s">
        <v>44</v>
      </c>
    </row>
    <row r="21" spans="1:4" x14ac:dyDescent="0.25">
      <c r="A21" s="304" t="str">
        <f>"      &lt;text&gt;&lt;![CDATA[&lt;p&gt;"&amp;B21&amp;"&lt;/p&gt;]]&gt;&lt;/text&gt;"</f>
        <v xml:space="preserve">      &lt;text&gt;&lt;![CDATA[&lt;p&gt;0&lt;/p&gt;]]&gt;&lt;/text&gt;</v>
      </c>
      <c r="B21" s="304">
        <f>R_Par_CORRECTA</f>
        <v>0</v>
      </c>
    </row>
    <row r="22" spans="1:4" x14ac:dyDescent="0.25">
      <c r="A22" s="304" t="s">
        <v>45</v>
      </c>
    </row>
    <row r="23" spans="1:4" x14ac:dyDescent="0.25">
      <c r="A23" s="304" t="s">
        <v>46</v>
      </c>
    </row>
    <row r="24" spans="1:4" x14ac:dyDescent="0.25">
      <c r="A24" s="304" t="str">
        <f>"      &lt;text&gt;&lt;![CDATA[&lt;p&gt;"&amp;B24&amp;"&lt;/p&gt;]]&gt;&lt;/text&gt;"</f>
        <v xml:space="preserve">      &lt;text&gt;&lt;![CDATA[&lt;p&gt;0&lt;/p&gt;]]&gt;&lt;/text&gt;</v>
      </c>
      <c r="B24" s="304">
        <f>R_INCORRECTA</f>
        <v>0</v>
      </c>
    </row>
    <row r="25" spans="1:4" x14ac:dyDescent="0.25">
      <c r="A25" s="304" t="s">
        <v>47</v>
      </c>
    </row>
    <row r="26" spans="1:4" x14ac:dyDescent="0.25">
      <c r="A26" s="545" t="s">
        <v>49</v>
      </c>
    </row>
    <row r="27" spans="1:4" x14ac:dyDescent="0.25">
      <c r="A27" s="557" t="str">
        <f ca="1">IF(OR(B28=0,B28=""),"BORRAR",$D$27)</f>
        <v>BORRAR</v>
      </c>
      <c r="B27" s="35" t="s">
        <v>75</v>
      </c>
      <c r="D27" s="558" t="s">
        <v>76</v>
      </c>
    </row>
    <row r="28" spans="1:4" x14ac:dyDescent="0.25">
      <c r="A28" s="304" t="str">
        <f ca="1">IF(A27="BORRAR","BORRAR","      &lt;text&gt;&lt;![CDATA[&lt;p&gt;"&amp;B28&amp;"&lt;/p&gt;]]&gt;&lt;/text&gt;")</f>
        <v>BORRAR</v>
      </c>
      <c r="B28" s="40" t="str">
        <f ca="1">Pareja_01_1</f>
        <v/>
      </c>
      <c r="D28" s="559"/>
    </row>
    <row r="29" spans="1:4" x14ac:dyDescent="0.25">
      <c r="A29" s="304" t="str">
        <f ca="1">IF(A27="BORRAR","BORRAR",$D$29)</f>
        <v>BORRAR</v>
      </c>
      <c r="B29" s="40"/>
      <c r="D29" s="559" t="s">
        <v>77</v>
      </c>
    </row>
    <row r="30" spans="1:4" x14ac:dyDescent="0.25">
      <c r="A30" s="304" t="str">
        <f ca="1">IF(A27="BORRAR","BORRAR","        &lt;text&gt;"&amp;B30&amp;"&lt;/text&gt;")</f>
        <v>BORRAR</v>
      </c>
      <c r="B30" s="40" t="str">
        <f ca="1">Pareja_01_2</f>
        <v/>
      </c>
      <c r="D30" s="559"/>
    </row>
    <row r="31" spans="1:4" x14ac:dyDescent="0.25">
      <c r="A31" s="304" t="str">
        <f ca="1">IF(A27="BORRAR","BORRAR",$D$31)</f>
        <v>BORRAR</v>
      </c>
      <c r="B31" s="40"/>
      <c r="D31" s="559" t="s">
        <v>78</v>
      </c>
    </row>
    <row r="32" spans="1:4" x14ac:dyDescent="0.25">
      <c r="A32" s="304" t="str">
        <f ca="1">IF(A27="BORRAR","BORRAR",$D$32)</f>
        <v>BORRAR</v>
      </c>
      <c r="B32" s="40"/>
      <c r="D32" s="560" t="s">
        <v>79</v>
      </c>
    </row>
    <row r="33" spans="1:3" x14ac:dyDescent="0.25">
      <c r="A33" s="557" t="str">
        <f ca="1">IF(OR(B34=0,B34=""),"BORRAR",$D$27)</f>
        <v>BORRAR</v>
      </c>
      <c r="B33" s="35" t="s">
        <v>80</v>
      </c>
      <c r="C33" s="545"/>
    </row>
    <row r="34" spans="1:3" x14ac:dyDescent="0.25">
      <c r="A34" s="304" t="str">
        <f ca="1">IF(A33="BORRAR","BORRAR","      &lt;text&gt;&lt;![CDATA[&lt;p&gt;"&amp;B34&amp;"&lt;/p&gt;]]&gt;&lt;/text&gt;")</f>
        <v>BORRAR</v>
      </c>
      <c r="B34" s="40" t="str">
        <f ca="1">Pareja_02_1</f>
        <v/>
      </c>
    </row>
    <row r="35" spans="1:3" x14ac:dyDescent="0.25">
      <c r="A35" s="304" t="str">
        <f ca="1">IF(A33="BORRAR","BORRAR",$D$29)</f>
        <v>BORRAR</v>
      </c>
      <c r="B35" s="40"/>
    </row>
    <row r="36" spans="1:3" x14ac:dyDescent="0.25">
      <c r="A36" s="304" t="str">
        <f ca="1">IF(A33="BORRAR","BORRAR","        &lt;text&gt;"&amp;B36&amp;"&lt;/text&gt;")</f>
        <v>BORRAR</v>
      </c>
      <c r="B36" s="40" t="str">
        <f ca="1">Pareja_02_2</f>
        <v/>
      </c>
    </row>
    <row r="37" spans="1:3" x14ac:dyDescent="0.25">
      <c r="A37" s="304" t="str">
        <f ca="1">IF(A33="BORRAR","BORRAR",$D$31)</f>
        <v>BORRAR</v>
      </c>
      <c r="B37" s="40"/>
    </row>
    <row r="38" spans="1:3" x14ac:dyDescent="0.25">
      <c r="A38" s="304" t="str">
        <f ca="1">IF(A33="BORRAR","BORRAR",$D$32)</f>
        <v>BORRAR</v>
      </c>
      <c r="B38" s="40"/>
    </row>
    <row r="39" spans="1:3" x14ac:dyDescent="0.25">
      <c r="A39" s="549" t="str">
        <f ca="1">IF(OR(B40=0,B40=""),"BORRAR",$D$27)</f>
        <v>BORRAR</v>
      </c>
      <c r="B39" s="35" t="s">
        <v>81</v>
      </c>
    </row>
    <row r="40" spans="1:3" x14ac:dyDescent="0.25">
      <c r="A40" s="304" t="str">
        <f ca="1">IF(A39="BORRAR","BORRAR","      &lt;text&gt;&lt;![CDATA[&lt;p&gt;"&amp;B40&amp;"&lt;/p&gt;]]&gt;&lt;/text&gt;")</f>
        <v>BORRAR</v>
      </c>
      <c r="B40" s="40" t="str">
        <f ca="1">Pareja_03_1</f>
        <v/>
      </c>
    </row>
    <row r="41" spans="1:3" x14ac:dyDescent="0.25">
      <c r="A41" s="304" t="str">
        <f ca="1">IF(A39="BORRAR","BORRAR",$D$29)</f>
        <v>BORRAR</v>
      </c>
      <c r="B41" s="40"/>
    </row>
    <row r="42" spans="1:3" x14ac:dyDescent="0.25">
      <c r="A42" s="304" t="str">
        <f ca="1">IF(A39="BORRAR","BORRAR","        &lt;text&gt;"&amp;B42&amp;"&lt;/text&gt;")</f>
        <v>BORRAR</v>
      </c>
      <c r="B42" s="40" t="str">
        <f ca="1">Pareja_03_2</f>
        <v/>
      </c>
    </row>
    <row r="43" spans="1:3" x14ac:dyDescent="0.25">
      <c r="A43" s="304" t="str">
        <f ca="1">IF(A39="BORRAR","BORRAR",$D$31)</f>
        <v>BORRAR</v>
      </c>
      <c r="B43" s="40"/>
    </row>
    <row r="44" spans="1:3" x14ac:dyDescent="0.25">
      <c r="A44" s="304" t="str">
        <f ca="1">IF(A39="BORRAR","BORRAR",$D$32)</f>
        <v>BORRAR</v>
      </c>
      <c r="B44" s="40"/>
    </row>
    <row r="45" spans="1:3" x14ac:dyDescent="0.25">
      <c r="A45" s="549" t="str">
        <f ca="1">IF(OR(B46=0,B46=""),"BORRAR",$D$27)</f>
        <v>BORRAR</v>
      </c>
      <c r="B45" s="35" t="s">
        <v>82</v>
      </c>
    </row>
    <row r="46" spans="1:3" x14ac:dyDescent="0.25">
      <c r="A46" s="304" t="str">
        <f ca="1">IF(A45="BORRAR","BORRAR","      &lt;text&gt;&lt;![CDATA[&lt;p&gt;"&amp;B46&amp;"&lt;/p&gt;]]&gt;&lt;/text&gt;")</f>
        <v>BORRAR</v>
      </c>
      <c r="B46" s="40" t="str">
        <f ca="1">Pareja_04_1</f>
        <v/>
      </c>
    </row>
    <row r="47" spans="1:3" x14ac:dyDescent="0.25">
      <c r="A47" s="304" t="str">
        <f ca="1">IF(A45="BORRAR","BORRAR",$D$29)</f>
        <v>BORRAR</v>
      </c>
      <c r="B47" s="40"/>
    </row>
    <row r="48" spans="1:3" x14ac:dyDescent="0.25">
      <c r="A48" s="304" t="str">
        <f ca="1">IF(A45="BORRAR","BORRAR","        &lt;text&gt;"&amp;B48&amp;"&lt;/text&gt;")</f>
        <v>BORRAR</v>
      </c>
      <c r="B48" s="40" t="str">
        <f ca="1">Pareja_04_2</f>
        <v/>
      </c>
    </row>
    <row r="49" spans="1:2" x14ac:dyDescent="0.25">
      <c r="A49" s="304" t="str">
        <f ca="1">IF(A45="BORRAR","BORRAR",$D$31)</f>
        <v>BORRAR</v>
      </c>
      <c r="B49" s="40"/>
    </row>
    <row r="50" spans="1:2" x14ac:dyDescent="0.25">
      <c r="A50" s="304" t="str">
        <f ca="1">IF(A45="BORRAR","BORRAR",$D$32)</f>
        <v>BORRAR</v>
      </c>
      <c r="B50" s="40"/>
    </row>
    <row r="51" spans="1:2" x14ac:dyDescent="0.25">
      <c r="A51" s="549" t="str">
        <f ca="1">IF(OR(B52=0,B52=""),"BORRAR",$D$27)</f>
        <v>BORRAR</v>
      </c>
      <c r="B51" s="35" t="s">
        <v>83</v>
      </c>
    </row>
    <row r="52" spans="1:2" x14ac:dyDescent="0.25">
      <c r="A52" s="304" t="str">
        <f ca="1">IF(A51="BORRAR","BORRAR","      &lt;text&gt;&lt;![CDATA[&lt;p&gt;"&amp;B52&amp;"&lt;/p&gt;]]&gt;&lt;/text&gt;")</f>
        <v>BORRAR</v>
      </c>
      <c r="B52" s="40" t="str">
        <f ca="1">Pareja_05_1</f>
        <v/>
      </c>
    </row>
    <row r="53" spans="1:2" x14ac:dyDescent="0.25">
      <c r="A53" s="304" t="str">
        <f ca="1">IF(A51="BORRAR","BORRAR",$D$29)</f>
        <v>BORRAR</v>
      </c>
      <c r="B53" s="40"/>
    </row>
    <row r="54" spans="1:2" x14ac:dyDescent="0.25">
      <c r="A54" s="304" t="str">
        <f ca="1">IF(A51="BORRAR","BORRAR","        &lt;text&gt;"&amp;B54&amp;"&lt;/text&gt;")</f>
        <v>BORRAR</v>
      </c>
      <c r="B54" s="40" t="str">
        <f ca="1">Pareja_05_2</f>
        <v/>
      </c>
    </row>
    <row r="55" spans="1:2" x14ac:dyDescent="0.25">
      <c r="A55" s="304" t="str">
        <f ca="1">IF(A51="BORRAR","BORRAR",$D$31)</f>
        <v>BORRAR</v>
      </c>
      <c r="B55" s="40"/>
    </row>
    <row r="56" spans="1:2" x14ac:dyDescent="0.25">
      <c r="A56" s="304" t="str">
        <f ca="1">IF(A51="BORRAR","BORRAR",$D$32)</f>
        <v>BORRAR</v>
      </c>
      <c r="B56" s="40"/>
    </row>
    <row r="57" spans="1:2" x14ac:dyDescent="0.25">
      <c r="A57" s="549" t="str">
        <f ca="1">IF(OR(B58=0,B58=""),"BORRAR",$D$27)</f>
        <v>BORRAR</v>
      </c>
      <c r="B57" s="35" t="s">
        <v>84</v>
      </c>
    </row>
    <row r="58" spans="1:2" x14ac:dyDescent="0.25">
      <c r="A58" s="304" t="str">
        <f ca="1">IF(A57="BORRAR","BORRAR","      &lt;text&gt;&lt;![CDATA[&lt;p&gt;"&amp;B58&amp;"&lt;/p&gt;]]&gt;&lt;/text&gt;")</f>
        <v>BORRAR</v>
      </c>
      <c r="B58" s="40" t="str">
        <f ca="1">Pareja_06_1</f>
        <v/>
      </c>
    </row>
    <row r="59" spans="1:2" x14ac:dyDescent="0.25">
      <c r="A59" s="304" t="str">
        <f ca="1">IF(A57="BORRAR","BORRAR",$D$29)</f>
        <v>BORRAR</v>
      </c>
      <c r="B59" s="40"/>
    </row>
    <row r="60" spans="1:2" x14ac:dyDescent="0.25">
      <c r="A60" s="304" t="str">
        <f ca="1">IF(A57="BORRAR","BORRAR","        &lt;text&gt;"&amp;B60&amp;"&lt;/text&gt;")</f>
        <v>BORRAR</v>
      </c>
      <c r="B60" s="40" t="str">
        <f ca="1">Pareja_06_2</f>
        <v/>
      </c>
    </row>
    <row r="61" spans="1:2" x14ac:dyDescent="0.25">
      <c r="A61" s="304" t="str">
        <f ca="1">IF(A57="BORRAR","BORRAR",$D$31)</f>
        <v>BORRAR</v>
      </c>
      <c r="B61" s="40"/>
    </row>
    <row r="62" spans="1:2" x14ac:dyDescent="0.25">
      <c r="A62" s="304" t="str">
        <f ca="1">IF(A57="BORRAR","BORRAR",$D$32)</f>
        <v>BORRAR</v>
      </c>
      <c r="B62" s="40"/>
    </row>
    <row r="63" spans="1:2" x14ac:dyDescent="0.25">
      <c r="A63" s="549" t="str">
        <f ca="1">IF(OR(B64=0,B64=""),"BORRAR",$D$27)</f>
        <v>BORRAR</v>
      </c>
      <c r="B63" s="35" t="s">
        <v>85</v>
      </c>
    </row>
    <row r="64" spans="1:2" x14ac:dyDescent="0.25">
      <c r="A64" s="304" t="str">
        <f ca="1">IF(A63="BORRAR","BORRAR","      &lt;text&gt;&lt;![CDATA[&lt;p&gt;"&amp;B64&amp;"&lt;/p&gt;]]&gt;&lt;/text&gt;")</f>
        <v>BORRAR</v>
      </c>
      <c r="B64" s="40" t="str">
        <f ca="1">Pareja_07_1</f>
        <v/>
      </c>
    </row>
    <row r="65" spans="1:2" x14ac:dyDescent="0.25">
      <c r="A65" s="304" t="str">
        <f ca="1">IF(A63="BORRAR","BORRAR",$D$29)</f>
        <v>BORRAR</v>
      </c>
      <c r="B65" s="40"/>
    </row>
    <row r="66" spans="1:2" x14ac:dyDescent="0.25">
      <c r="A66" s="304" t="str">
        <f ca="1">IF(A63="BORRAR","BORRAR","        &lt;text&gt;"&amp;B66&amp;"&lt;/text&gt;")</f>
        <v>BORRAR</v>
      </c>
      <c r="B66" s="40" t="str">
        <f ca="1">Pareja_07_2</f>
        <v/>
      </c>
    </row>
    <row r="67" spans="1:2" x14ac:dyDescent="0.25">
      <c r="A67" s="304" t="str">
        <f ca="1">IF(A63="BORRAR","BORRAR",$D$31)</f>
        <v>BORRAR</v>
      </c>
      <c r="B67" s="40"/>
    </row>
    <row r="68" spans="1:2" x14ac:dyDescent="0.25">
      <c r="A68" s="304" t="str">
        <f ca="1">IF(A63="BORRAR","BORRAR",$D$32)</f>
        <v>BORRAR</v>
      </c>
      <c r="B68" s="40"/>
    </row>
    <row r="69" spans="1:2" x14ac:dyDescent="0.25">
      <c r="A69" s="549" t="str">
        <f ca="1">IF(OR(B70=0,B70=""),"BORRAR",$D$27)</f>
        <v>BORRAR</v>
      </c>
      <c r="B69" s="35" t="s">
        <v>86</v>
      </c>
    </row>
    <row r="70" spans="1:2" x14ac:dyDescent="0.25">
      <c r="A70" s="304" t="str">
        <f ca="1">IF(A69="BORRAR","BORRAR","      &lt;text&gt;&lt;![CDATA[&lt;p&gt;"&amp;B70&amp;"&lt;/p&gt;]]&gt;&lt;/text&gt;")</f>
        <v>BORRAR</v>
      </c>
      <c r="B70" s="40" t="str">
        <f ca="1">Pareja_08_1</f>
        <v/>
      </c>
    </row>
    <row r="71" spans="1:2" x14ac:dyDescent="0.25">
      <c r="A71" s="304" t="str">
        <f ca="1">IF(A69="BORRAR","BORRAR",$D$29)</f>
        <v>BORRAR</v>
      </c>
      <c r="B71" s="40"/>
    </row>
    <row r="72" spans="1:2" x14ac:dyDescent="0.25">
      <c r="A72" s="304" t="str">
        <f ca="1">IF(A69="BORRAR","BORRAR","        &lt;text&gt;"&amp;B72&amp;"&lt;/text&gt;")</f>
        <v>BORRAR</v>
      </c>
      <c r="B72" s="40" t="str">
        <f ca="1">Pareja_08_2</f>
        <v/>
      </c>
    </row>
    <row r="73" spans="1:2" x14ac:dyDescent="0.25">
      <c r="A73" s="304" t="str">
        <f ca="1">IF(A69="BORRAR","BORRAR",$D$31)</f>
        <v>BORRAR</v>
      </c>
      <c r="B73" s="40"/>
    </row>
    <row r="74" spans="1:2" x14ac:dyDescent="0.25">
      <c r="A74" s="304" t="str">
        <f ca="1">IF(A69="BORRAR","BORRAR",$D$32)</f>
        <v>BORRAR</v>
      </c>
      <c r="B74" s="40"/>
    </row>
    <row r="75" spans="1:2" x14ac:dyDescent="0.25">
      <c r="A75" s="549" t="str">
        <f ca="1">IF(OR(B76=0,B76=""),"BORRAR",$D$27)</f>
        <v>BORRAR</v>
      </c>
      <c r="B75" s="35" t="s">
        <v>87</v>
      </c>
    </row>
    <row r="76" spans="1:2" x14ac:dyDescent="0.25">
      <c r="A76" s="304" t="str">
        <f ca="1">IF(A75="BORRAR","BORRAR","      &lt;text&gt;&lt;![CDATA[&lt;p&gt;"&amp;B76&amp;"&lt;/p&gt;]]&gt;&lt;/text&gt;")</f>
        <v>BORRAR</v>
      </c>
      <c r="B76" s="40" t="str">
        <f ca="1">Pareja_09_1</f>
        <v/>
      </c>
    </row>
    <row r="77" spans="1:2" x14ac:dyDescent="0.25">
      <c r="A77" s="304" t="str">
        <f ca="1">IF(A75="BORRAR","BORRAR",$D$29)</f>
        <v>BORRAR</v>
      </c>
      <c r="B77" s="40"/>
    </row>
    <row r="78" spans="1:2" x14ac:dyDescent="0.25">
      <c r="A78" s="304" t="str">
        <f ca="1">IF(A75="BORRAR","BORRAR","        &lt;text&gt;"&amp;B78&amp;"&lt;/text&gt;")</f>
        <v>BORRAR</v>
      </c>
      <c r="B78" s="40" t="str">
        <f ca="1">Pareja_09_2</f>
        <v/>
      </c>
    </row>
    <row r="79" spans="1:2" x14ac:dyDescent="0.25">
      <c r="A79" s="304" t="str">
        <f ca="1">IF(A75="BORRAR","BORRAR",$D$31)</f>
        <v>BORRAR</v>
      </c>
      <c r="B79" s="40"/>
    </row>
    <row r="80" spans="1:2" x14ac:dyDescent="0.25">
      <c r="A80" s="304" t="str">
        <f ca="1">IF(A75="BORRAR","BORRAR",$D$32)</f>
        <v>BORRAR</v>
      </c>
      <c r="B80" s="40"/>
    </row>
    <row r="81" spans="1:2" x14ac:dyDescent="0.25">
      <c r="A81" s="549" t="str">
        <f ca="1">IF(OR(B82=0,B82=""),"BORRAR",$D$27)</f>
        <v>BORRAR</v>
      </c>
      <c r="B81" s="35" t="s">
        <v>88</v>
      </c>
    </row>
    <row r="82" spans="1:2" x14ac:dyDescent="0.25">
      <c r="A82" s="304" t="str">
        <f ca="1">IF(A81="BORRAR","BORRAR","      &lt;text&gt;&lt;![CDATA[&lt;p&gt;"&amp;B82&amp;"&lt;/p&gt;]]&gt;&lt;/text&gt;")</f>
        <v>BORRAR</v>
      </c>
      <c r="B82" s="40" t="str">
        <f ca="1">Pareja_10_1</f>
        <v/>
      </c>
    </row>
    <row r="83" spans="1:2" x14ac:dyDescent="0.25">
      <c r="A83" s="304" t="str">
        <f ca="1">IF(A81="BORRAR","BORRAR",$D$29)</f>
        <v>BORRAR</v>
      </c>
      <c r="B83" s="40"/>
    </row>
    <row r="84" spans="1:2" x14ac:dyDescent="0.25">
      <c r="A84" s="304" t="str">
        <f ca="1">IF(A81="BORRAR","BORRAR","        &lt;text&gt;"&amp;B84&amp;"&lt;/text&gt;")</f>
        <v>BORRAR</v>
      </c>
      <c r="B84" s="40" t="str">
        <f ca="1">Pareja_10_2</f>
        <v/>
      </c>
    </row>
    <row r="85" spans="1:2" x14ac:dyDescent="0.25">
      <c r="A85" s="304" t="str">
        <f ca="1">IF(A81="BORRAR","BORRAR",$D$31)</f>
        <v>BORRAR</v>
      </c>
      <c r="B85" s="40"/>
    </row>
    <row r="86" spans="1:2" x14ac:dyDescent="0.25">
      <c r="A86" s="304" t="str">
        <f ca="1">IF(A81="BORRAR","BORRAR",$D$32)</f>
        <v>BORRAR</v>
      </c>
      <c r="B86" s="40"/>
    </row>
    <row r="87" spans="1:2" x14ac:dyDescent="0.25">
      <c r="A87" s="549" t="str">
        <f ca="1">IF(OR(B88=0,B88=""),"BORRAR",$D$27)</f>
        <v>BORRAR</v>
      </c>
      <c r="B87" s="35" t="s">
        <v>89</v>
      </c>
    </row>
    <row r="88" spans="1:2" x14ac:dyDescent="0.25">
      <c r="A88" s="304" t="str">
        <f ca="1">IF(A87="BORRAR","BORRAR","      &lt;text&gt;&lt;![CDATA[&lt;p&gt;"&amp;B88&amp;"&lt;/p&gt;]]&gt;&lt;/text&gt;")</f>
        <v>BORRAR</v>
      </c>
      <c r="B88" s="40" t="str">
        <f ca="1">Pareja_11_1</f>
        <v/>
      </c>
    </row>
    <row r="89" spans="1:2" x14ac:dyDescent="0.25">
      <c r="A89" s="304" t="str">
        <f ca="1">IF(A87="BORRAR","BORRAR",$D$29)</f>
        <v>BORRAR</v>
      </c>
      <c r="B89" s="40"/>
    </row>
    <row r="90" spans="1:2" x14ac:dyDescent="0.25">
      <c r="A90" s="304" t="str">
        <f ca="1">IF(A87="BORRAR","BORRAR","        &lt;text&gt;"&amp;B90&amp;"&lt;/text&gt;")</f>
        <v>BORRAR</v>
      </c>
      <c r="B90" s="40" t="str">
        <f ca="1">Pareja_11_2</f>
        <v/>
      </c>
    </row>
    <row r="91" spans="1:2" x14ac:dyDescent="0.25">
      <c r="A91" s="304" t="str">
        <f ca="1">IF(A87="BORRAR","BORRAR",$D$31)</f>
        <v>BORRAR</v>
      </c>
      <c r="B91" s="40"/>
    </row>
    <row r="92" spans="1:2" x14ac:dyDescent="0.25">
      <c r="A92" s="304" t="str">
        <f ca="1">IF(A87="BORRAR","BORRAR",$D$32)</f>
        <v>BORRAR</v>
      </c>
      <c r="B92" s="40"/>
    </row>
    <row r="93" spans="1:2" x14ac:dyDescent="0.25">
      <c r="A93" s="549" t="str">
        <f ca="1">IF(OR(B94=0,B94=""),"BORRAR",$D$27)</f>
        <v>BORRAR</v>
      </c>
      <c r="B93" s="35" t="s">
        <v>90</v>
      </c>
    </row>
    <row r="94" spans="1:2" x14ac:dyDescent="0.25">
      <c r="A94" s="304" t="str">
        <f ca="1">IF(A93="BORRAR","BORRAR","      &lt;text&gt;&lt;![CDATA[&lt;p&gt;"&amp;B94&amp;"&lt;/p&gt;]]&gt;&lt;/text&gt;")</f>
        <v>BORRAR</v>
      </c>
      <c r="B94" s="40" t="str">
        <f ca="1">Pareja_12_1</f>
        <v/>
      </c>
    </row>
    <row r="95" spans="1:2" x14ac:dyDescent="0.25">
      <c r="A95" s="304" t="str">
        <f ca="1">IF(A93="BORRAR","BORRAR",$D$29)</f>
        <v>BORRAR</v>
      </c>
      <c r="B95" s="40"/>
    </row>
    <row r="96" spans="1:2" x14ac:dyDescent="0.25">
      <c r="A96" s="304" t="str">
        <f ca="1">IF(A93="BORRAR","BORRAR","        &lt;text&gt;"&amp;B96&amp;"&lt;/text&gt;")</f>
        <v>BORRAR</v>
      </c>
      <c r="B96" s="40" t="str">
        <f ca="1">Pareja_12_2</f>
        <v/>
      </c>
    </row>
    <row r="97" spans="1:2" x14ac:dyDescent="0.25">
      <c r="A97" s="304" t="str">
        <f ca="1">IF(A93="BORRAR","BORRAR",$D$31)</f>
        <v>BORRAR</v>
      </c>
      <c r="B97" s="40"/>
    </row>
    <row r="98" spans="1:2" x14ac:dyDescent="0.25">
      <c r="A98" s="304" t="str">
        <f ca="1">IF(A93="BORRAR","BORRAR",$D$32)</f>
        <v>BORRAR</v>
      </c>
      <c r="B98" s="40"/>
    </row>
  </sheetData>
  <sheetProtection algorithmName="SHA-512" hashValue="N0lrrhHGwWRrrsQgDHlKOHaswSfPj0jh8F0klf97J46wRgHNJZJomc9ImC25xSWnBp0hAXRGHajMNu4L5zOzTA==" saltValue="qOWES1WAq+VNUzc89NubZA==" spinCount="100000" sheet="1" objects="1" scenarios="1" selectLockedCells="1"/>
  <pageMargins left="0.7" right="0.7" top="0.75" bottom="0.75" header="0.3" footer="0.3"/>
</worksheet>
</file>

<file path=xl/worksheets/sheet2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Hoja_35"/>
  <dimension ref="A1:E64"/>
  <sheetViews>
    <sheetView showGridLines="0" showRowColHeaders="0" zoomScale="170" zoomScaleNormal="170" workbookViewId="0">
      <pane ySplit="2" topLeftCell="A3" activePane="bottomLeft" state="frozen"/>
      <selection activeCell="A12" sqref="A12"/>
      <selection pane="bottomLeft"/>
    </sheetView>
  </sheetViews>
  <sheetFormatPr baseColWidth="10" defaultColWidth="0" defaultRowHeight="15" x14ac:dyDescent="0.25"/>
  <cols>
    <col min="1" max="1" width="90.7109375" style="304" customWidth="1"/>
    <col min="2" max="2" width="15.7109375" style="37" hidden="1" customWidth="1"/>
    <col min="3" max="3" width="15.7109375" style="304" hidden="1" customWidth="1"/>
    <col min="4" max="4" width="31.28515625" style="304" hidden="1" customWidth="1"/>
    <col min="5" max="5" width="2.7109375" style="304" customWidth="1"/>
    <col min="6" max="16384" width="11.42578125" style="304" hidden="1"/>
  </cols>
  <sheetData>
    <row r="1" spans="1:4" x14ac:dyDescent="0.25">
      <c r="A1" s="547" t="str">
        <f>"&lt;!-- question: "&amp;PREGUNTA_ACTUAL&amp;"  --&gt;"</f>
        <v>&lt;!-- question: 1  --&gt;</v>
      </c>
      <c r="B1" s="33">
        <f ca="1">COUNTA(A:A)-COUNTIF(A:A,"BORRAR")</f>
        <v>16</v>
      </c>
      <c r="C1" s="309"/>
      <c r="D1" s="42"/>
    </row>
    <row r="2" spans="1:4" x14ac:dyDescent="0.25">
      <c r="A2" s="309" t="s">
        <v>91</v>
      </c>
      <c r="B2" s="45" t="s">
        <v>92</v>
      </c>
    </row>
    <row r="3" spans="1:4" x14ac:dyDescent="0.25">
      <c r="A3" s="304" t="s">
        <v>27</v>
      </c>
    </row>
    <row r="4" spans="1:4" x14ac:dyDescent="0.25">
      <c r="A4" s="304" t="str">
        <f ca="1">"      &lt;text&gt;"&amp;B4&amp;"&lt;/text&gt;"</f>
        <v xml:space="preserve">      &lt;text&gt;&lt;/text&gt;</v>
      </c>
      <c r="B4" s="37" t="str">
        <f ca="1">NOMBRE_RC</f>
        <v/>
      </c>
    </row>
    <row r="5" spans="1:4" x14ac:dyDescent="0.25">
      <c r="A5" s="304" t="s">
        <v>29</v>
      </c>
    </row>
    <row r="6" spans="1:4" x14ac:dyDescent="0.25">
      <c r="A6" s="304" t="s">
        <v>30</v>
      </c>
    </row>
    <row r="7" spans="1:4" x14ac:dyDescent="0.25">
      <c r="A7" s="304" t="str">
        <f ca="1">"      &lt;text&gt;&lt;![CDATA[&lt;p&gt;"&amp;B7&amp;"&lt;/p&gt;]]&gt;&lt;/text&gt;"</f>
        <v xml:space="preserve">      &lt;text&gt;&lt;![CDATA[&lt;p&gt;&lt;p style="text-align: center;"&gt;&lt;/p&gt;]]&gt;&lt;/text&gt;</v>
      </c>
      <c r="B7" s="29" t="str">
        <f ca="1">IF(Centrar_Tabla_RC=TRUE,B8,"")&amp;IMG_RC&amp;IF(IMG_RC="","","&lt;/p&gt;")&amp;ENUNCIADO_RC</f>
        <v>&lt;p style="text-align: center;"&gt;</v>
      </c>
    </row>
    <row r="8" spans="1:4" x14ac:dyDescent="0.25">
      <c r="A8" s="304" t="s">
        <v>31</v>
      </c>
      <c r="B8" s="22" t="str">
        <f>'XML OM'!B8</f>
        <v>&lt;p style="text-align: center;"&gt;</v>
      </c>
    </row>
    <row r="9" spans="1:4" x14ac:dyDescent="0.25">
      <c r="A9" s="304" t="s">
        <v>32</v>
      </c>
    </row>
    <row r="10" spans="1:4" x14ac:dyDescent="0.25">
      <c r="A10" s="304" t="str">
        <f>"      &lt;text&gt;&lt;![CDATA[&lt;p&gt;"&amp;B10&amp;"&lt;/p&gt;]]&gt;&lt;/text&gt;"</f>
        <v xml:space="preserve">      &lt;text&gt;&lt;![CDATA[&lt;p&gt;0&lt;/p&gt;]]&gt;&lt;/text&gt;</v>
      </c>
      <c r="B10" s="37">
        <f>Retroalim_GENERAL</f>
        <v>0</v>
      </c>
    </row>
    <row r="11" spans="1:4" x14ac:dyDescent="0.25">
      <c r="A11" s="304" t="s">
        <v>34</v>
      </c>
    </row>
    <row r="12" spans="1:4" x14ac:dyDescent="0.25">
      <c r="A12" s="304" t="str">
        <f>"    &lt;defaultgrade&gt;"&amp;B12&amp;"&lt;/defaultgrade&gt;"</f>
        <v xml:space="preserve">    &lt;defaultgrade&gt;1&lt;/defaultgrade&gt;</v>
      </c>
      <c r="B12" s="37">
        <f>PUNTUACION</f>
        <v>1</v>
      </c>
    </row>
    <row r="13" spans="1:4" x14ac:dyDescent="0.25">
      <c r="A13" s="306" t="str">
        <f>"    &lt;penalty&gt;"&amp;REPLACE(B13,2,1,".")&amp;"&lt;/penalty&gt;"</f>
        <v xml:space="preserve">    &lt;penalty&gt;0.333333333333333&lt;/penalty&gt;</v>
      </c>
      <c r="B13" s="37">
        <f>PENALIZACION</f>
        <v>0.33333333333333331</v>
      </c>
    </row>
    <row r="14" spans="1:4" x14ac:dyDescent="0.25">
      <c r="A14" s="304" t="s">
        <v>62</v>
      </c>
      <c r="B14" s="37">
        <f>Oculto</f>
        <v>0</v>
      </c>
    </row>
    <row r="15" spans="1:4" x14ac:dyDescent="0.25">
      <c r="A15" s="304" t="str">
        <f>"    &lt;idnumber&gt;"&amp;B15&amp;"&lt;/idnumber&gt;"</f>
        <v xml:space="preserve">    &lt;idnumber&gt;&lt;/idnumber&gt;</v>
      </c>
      <c r="B15" s="37" t="str">
        <f>IF(CONTRASEN_A="","",CONTRASEN_A)</f>
        <v/>
      </c>
      <c r="C15" s="41" t="s">
        <v>93</v>
      </c>
    </row>
    <row r="16" spans="1:4" x14ac:dyDescent="0.25">
      <c r="A16" s="304" t="str">
        <f>"    &lt;usecase&gt;"&amp;B16&amp;"&lt;/usecase&gt;"</f>
        <v xml:space="preserve">    &lt;usecase&gt;0&lt;/usecase&gt;</v>
      </c>
      <c r="B16" s="41">
        <f>MAYUSCULAS</f>
        <v>0</v>
      </c>
      <c r="C16" s="304" t="s">
        <v>94</v>
      </c>
    </row>
    <row r="17" spans="1:4" x14ac:dyDescent="0.25">
      <c r="A17" s="550" t="str">
        <f ca="1">IF(B18="","BORRAR",$C$18&amp;B17&amp;$D$18)</f>
        <v>BORRAR</v>
      </c>
      <c r="B17" s="41" t="str">
        <f ca="1">PT_01</f>
        <v/>
      </c>
      <c r="C17" s="31" t="str">
        <f ca="1">IFERROR(FIND(",",B18,1),"")</f>
        <v/>
      </c>
    </row>
    <row r="18" spans="1:4" x14ac:dyDescent="0.25">
      <c r="A18" s="304" t="str">
        <f ca="1">IF(B18="","BORRAR","      &lt;text&gt;"&amp;IF(C17&lt;&gt;"",REPLACE(B18,C17,1,"."),B18)&amp;"&lt;/text&gt;")</f>
        <v>BORRAR</v>
      </c>
      <c r="B18" s="37" t="str">
        <f ca="1">RC_01</f>
        <v/>
      </c>
      <c r="C18" s="551" t="s">
        <v>50</v>
      </c>
      <c r="D18" s="552" t="s">
        <v>95</v>
      </c>
    </row>
    <row r="19" spans="1:4" x14ac:dyDescent="0.25">
      <c r="A19" s="304" t="str">
        <f ca="1">IF(B18="","BORRAR",$D$20)</f>
        <v>BORRAR</v>
      </c>
      <c r="C19" s="553"/>
      <c r="D19" s="554"/>
    </row>
    <row r="20" spans="1:4" x14ac:dyDescent="0.25">
      <c r="A20" s="304" t="str">
        <f ca="1">IF(B18="","BORRAR","      &lt;text&gt;&lt;![CDATA[&lt;p&gt;"&amp;B20&amp;"&lt;/p&gt;]]&gt;&lt;/text&gt;")</f>
        <v>BORRAR</v>
      </c>
      <c r="B20" s="37" t="str">
        <f ca="1">RE_01</f>
        <v/>
      </c>
      <c r="C20" s="555"/>
      <c r="D20" s="556" t="s">
        <v>52</v>
      </c>
    </row>
    <row r="21" spans="1:4" x14ac:dyDescent="0.25">
      <c r="A21" s="304" t="str">
        <f ca="1">IF(B18="","BORRAR","      &lt;/feedback&gt;")</f>
        <v>BORRAR</v>
      </c>
    </row>
    <row r="22" spans="1:4" x14ac:dyDescent="0.25">
      <c r="A22" s="304" t="str">
        <f ca="1">IF(B18="","BORRAR","    &lt;/answer&gt;")</f>
        <v>BORRAR</v>
      </c>
    </row>
    <row r="23" spans="1:4" x14ac:dyDescent="0.25">
      <c r="A23" s="550" t="str">
        <f ca="1">IF(B24="","BORRAR",$C$18&amp;B23&amp;$D$18)</f>
        <v>BORRAR</v>
      </c>
      <c r="B23" s="41" t="str">
        <f ca="1">INDIRECT("PT_0"&amp;C24)</f>
        <v/>
      </c>
      <c r="C23" s="31" t="str">
        <f ca="1">IFERROR(FIND(",",B24,1),"")</f>
        <v/>
      </c>
    </row>
    <row r="24" spans="1:4" x14ac:dyDescent="0.25">
      <c r="A24" s="304" t="str">
        <f ca="1">IF(B24="","BORRAR","      &lt;text&gt;"&amp;IF(C23&lt;&gt;"",REPLACE(B24,C23,1,"."),B24)&amp;"&lt;/text&gt;")</f>
        <v>BORRAR</v>
      </c>
      <c r="B24" s="37" t="str">
        <f ca="1">INDIRECT("RC_0"&amp;C24)</f>
        <v/>
      </c>
      <c r="C24" s="43">
        <v>2</v>
      </c>
    </row>
    <row r="25" spans="1:4" x14ac:dyDescent="0.25">
      <c r="A25" s="304" t="str">
        <f ca="1">IF(B24="","BORRAR",$D$20)</f>
        <v>BORRAR</v>
      </c>
    </row>
    <row r="26" spans="1:4" x14ac:dyDescent="0.25">
      <c r="A26" s="304" t="str">
        <f ca="1">IF(B24="","BORRAR","      &lt;text&gt;&lt;![CDATA[&lt;p&gt;"&amp;B26&amp;"&lt;/p&gt;]]&gt;&lt;/text&gt;")</f>
        <v>BORRAR</v>
      </c>
      <c r="B26" s="37" t="str">
        <f ca="1">INDIRECT("RE_0"&amp;C24)</f>
        <v/>
      </c>
    </row>
    <row r="27" spans="1:4" x14ac:dyDescent="0.25">
      <c r="A27" s="304" t="str">
        <f ca="1">IF(B24="","BORRAR","      &lt;/feedback&gt;")</f>
        <v>BORRAR</v>
      </c>
    </row>
    <row r="28" spans="1:4" x14ac:dyDescent="0.25">
      <c r="A28" s="304" t="str">
        <f ca="1">IF(B24="","BORRAR","    &lt;/answer&gt;")</f>
        <v>BORRAR</v>
      </c>
    </row>
    <row r="29" spans="1:4" x14ac:dyDescent="0.25">
      <c r="A29" s="549" t="str">
        <f ca="1">IF(B30="","BORRAR",$C$18&amp;B29&amp;$D$18)</f>
        <v>BORRAR</v>
      </c>
      <c r="B29" s="41" t="str">
        <f ca="1">INDIRECT("PT_0"&amp;C30)</f>
        <v/>
      </c>
      <c r="C29" s="25" t="str">
        <f ca="1">IFERROR(FIND(",",B30,1),"")</f>
        <v/>
      </c>
    </row>
    <row r="30" spans="1:4" x14ac:dyDescent="0.25">
      <c r="A30" s="304" t="str">
        <f ca="1">IF(B30="","BORRAR","      &lt;text&gt;"&amp;IF(C29&lt;&gt;"",REPLACE(B30,C29,1,"."),B30)&amp;"&lt;/text&gt;")</f>
        <v>BORRAR</v>
      </c>
      <c r="B30" s="37" t="str">
        <f ca="1">INDIRECT("RC_0"&amp;C30)</f>
        <v/>
      </c>
      <c r="C30" s="43">
        <f>C24+1</f>
        <v>3</v>
      </c>
    </row>
    <row r="31" spans="1:4" x14ac:dyDescent="0.25">
      <c r="A31" s="304" t="str">
        <f ca="1">IF(B30="","BORRAR",$D$20)</f>
        <v>BORRAR</v>
      </c>
    </row>
    <row r="32" spans="1:4" x14ac:dyDescent="0.25">
      <c r="A32" s="304" t="str">
        <f ca="1">IF(B30="","BORRAR","      &lt;text&gt;&lt;![CDATA[&lt;p&gt;"&amp;B32&amp;"&lt;/p&gt;]]&gt;&lt;/text&gt;")</f>
        <v>BORRAR</v>
      </c>
      <c r="B32" s="37" t="str">
        <f ca="1">INDIRECT("RE_0"&amp;C30)</f>
        <v/>
      </c>
    </row>
    <row r="33" spans="1:3" x14ac:dyDescent="0.25">
      <c r="A33" s="304" t="str">
        <f ca="1">IF(B30="","BORRAR","      &lt;/feedback&gt;")</f>
        <v>BORRAR</v>
      </c>
    </row>
    <row r="34" spans="1:3" x14ac:dyDescent="0.25">
      <c r="A34" s="304" t="str">
        <f ca="1">IF(B30="","BORRAR","    &lt;/answer&gt;")</f>
        <v>BORRAR</v>
      </c>
    </row>
    <row r="35" spans="1:3" x14ac:dyDescent="0.25">
      <c r="A35" s="549" t="str">
        <f ca="1">IF(B36="","BORRAR",$C$18&amp;B35&amp;$D$18)</f>
        <v>BORRAR</v>
      </c>
      <c r="B35" s="41" t="str">
        <f ca="1">INDIRECT("PT_0"&amp;C36)</f>
        <v/>
      </c>
      <c r="C35" s="25" t="str">
        <f ca="1">IFERROR(FIND(",",B36,1),"")</f>
        <v/>
      </c>
    </row>
    <row r="36" spans="1:3" x14ac:dyDescent="0.25">
      <c r="A36" s="304" t="str">
        <f ca="1">IF(B36="","BORRAR","      &lt;text&gt;"&amp;IF(C35&lt;&gt;"",REPLACE(B36,C35,1,"."),B36)&amp;"&lt;/text&gt;")</f>
        <v>BORRAR</v>
      </c>
      <c r="B36" s="37" t="str">
        <f ca="1">INDIRECT("RC_0"&amp;C36)</f>
        <v/>
      </c>
      <c r="C36" s="43">
        <f>C30+1</f>
        <v>4</v>
      </c>
    </row>
    <row r="37" spans="1:3" x14ac:dyDescent="0.25">
      <c r="A37" s="304" t="str">
        <f ca="1">IF(B36="","BORRAR",$D$20)</f>
        <v>BORRAR</v>
      </c>
    </row>
    <row r="38" spans="1:3" x14ac:dyDescent="0.25">
      <c r="A38" s="304" t="str">
        <f ca="1">IF(B36="","BORRAR","      &lt;text&gt;&lt;![CDATA[&lt;p&gt;"&amp;B38&amp;"&lt;/p&gt;]]&gt;&lt;/text&gt;")</f>
        <v>BORRAR</v>
      </c>
      <c r="B38" s="37" t="str">
        <f ca="1">INDIRECT("RE_0"&amp;C36)</f>
        <v/>
      </c>
    </row>
    <row r="39" spans="1:3" x14ac:dyDescent="0.25">
      <c r="A39" s="304" t="str">
        <f ca="1">IF(B36="","BORRAR","      &lt;/feedback&gt;")</f>
        <v>BORRAR</v>
      </c>
    </row>
    <row r="40" spans="1:3" x14ac:dyDescent="0.25">
      <c r="A40" s="304" t="str">
        <f ca="1">IF(B36="","BORRAR","    &lt;/answer&gt;")</f>
        <v>BORRAR</v>
      </c>
    </row>
    <row r="41" spans="1:3" x14ac:dyDescent="0.25">
      <c r="A41" s="549" t="str">
        <f ca="1">IF(B42="","BORRAR",$C$18&amp;B41&amp;$D$18)</f>
        <v>BORRAR</v>
      </c>
      <c r="B41" s="41" t="str">
        <f ca="1">INDIRECT("PT_0"&amp;C42)</f>
        <v/>
      </c>
      <c r="C41" s="25" t="str">
        <f ca="1">IFERROR(FIND(",",B42,1),"")</f>
        <v/>
      </c>
    </row>
    <row r="42" spans="1:3" x14ac:dyDescent="0.25">
      <c r="A42" s="304" t="str">
        <f ca="1">IF(B42="","BORRAR","      &lt;text&gt;"&amp;IF(C41&lt;&gt;"",REPLACE(B42,C41,1,"."),B42)&amp;"&lt;/text&gt;")</f>
        <v>BORRAR</v>
      </c>
      <c r="B42" s="37" t="str">
        <f ca="1">INDIRECT("RC_0"&amp;C42)</f>
        <v/>
      </c>
      <c r="C42" s="43">
        <f>C36+1</f>
        <v>5</v>
      </c>
    </row>
    <row r="43" spans="1:3" x14ac:dyDescent="0.25">
      <c r="A43" s="304" t="str">
        <f ca="1">IF(B42="","BORRAR",$D$20)</f>
        <v>BORRAR</v>
      </c>
    </row>
    <row r="44" spans="1:3" x14ac:dyDescent="0.25">
      <c r="A44" s="304" t="str">
        <f ca="1">IF(B42="","BORRAR","      &lt;text&gt;&lt;![CDATA[&lt;p&gt;"&amp;B44&amp;"&lt;/p&gt;]]&gt;&lt;/text&gt;")</f>
        <v>BORRAR</v>
      </c>
      <c r="B44" s="37" t="str">
        <f ca="1">INDIRECT("RE_0"&amp;C42)</f>
        <v/>
      </c>
    </row>
    <row r="45" spans="1:3" x14ac:dyDescent="0.25">
      <c r="A45" s="304" t="str">
        <f ca="1">IF(B42="","BORRAR","      &lt;/feedback&gt;")</f>
        <v>BORRAR</v>
      </c>
    </row>
    <row r="46" spans="1:3" x14ac:dyDescent="0.25">
      <c r="A46" s="304" t="str">
        <f ca="1">IF(B42="","BORRAR","    &lt;/answer&gt;")</f>
        <v>BORRAR</v>
      </c>
    </row>
    <row r="47" spans="1:3" x14ac:dyDescent="0.25">
      <c r="A47" s="549" t="str">
        <f ca="1">IF(B48="","BORRAR",$C$18&amp;B47&amp;$D$18)</f>
        <v>BORRAR</v>
      </c>
      <c r="B47" s="41" t="str">
        <f ca="1">INDIRECT("PT_0"&amp;C48)</f>
        <v/>
      </c>
      <c r="C47" s="25" t="str">
        <f ca="1">IFERROR(FIND(",",B48,1),"")</f>
        <v/>
      </c>
    </row>
    <row r="48" spans="1:3" x14ac:dyDescent="0.25">
      <c r="A48" s="304" t="str">
        <f ca="1">IF(B48="","BORRAR","      &lt;text&gt;"&amp;IF(C47&lt;&gt;"",REPLACE(B48,C47,1,"."),B48)&amp;"&lt;/text&gt;")</f>
        <v>BORRAR</v>
      </c>
      <c r="B48" s="37" t="str">
        <f ca="1">INDIRECT("RC_0"&amp;C48)</f>
        <v/>
      </c>
      <c r="C48" s="43">
        <f>C42+1</f>
        <v>6</v>
      </c>
    </row>
    <row r="49" spans="1:3" x14ac:dyDescent="0.25">
      <c r="A49" s="304" t="str">
        <f ca="1">IF(B48="","BORRAR",$D$20)</f>
        <v>BORRAR</v>
      </c>
    </row>
    <row r="50" spans="1:3" x14ac:dyDescent="0.25">
      <c r="A50" s="304" t="str">
        <f ca="1">IF(B48="","BORRAR","      &lt;text&gt;&lt;![CDATA[&lt;p&gt;"&amp;B50&amp;"&lt;/p&gt;]]&gt;&lt;/text&gt;")</f>
        <v>BORRAR</v>
      </c>
      <c r="B50" s="37" t="str">
        <f ca="1">INDIRECT("RE_0"&amp;C48)</f>
        <v/>
      </c>
    </row>
    <row r="51" spans="1:3" x14ac:dyDescent="0.25">
      <c r="A51" s="304" t="str">
        <f ca="1">IF(B48="","BORRAR","      &lt;/feedback&gt;")</f>
        <v>BORRAR</v>
      </c>
    </row>
    <row r="52" spans="1:3" x14ac:dyDescent="0.25">
      <c r="A52" s="304" t="str">
        <f ca="1">IF(B48="","BORRAR","    &lt;/answer&gt;")</f>
        <v>BORRAR</v>
      </c>
    </row>
    <row r="53" spans="1:3" x14ac:dyDescent="0.25">
      <c r="A53" s="549" t="str">
        <f ca="1">IF(B54="","BORRAR",$C$18&amp;B53&amp;$D$18)</f>
        <v>BORRAR</v>
      </c>
      <c r="B53" s="41" t="str">
        <f ca="1">INDIRECT("PT_0"&amp;C54)</f>
        <v/>
      </c>
      <c r="C53" s="25" t="str">
        <f ca="1">IFERROR(FIND(",",B54,1),"")</f>
        <v/>
      </c>
    </row>
    <row r="54" spans="1:3" x14ac:dyDescent="0.25">
      <c r="A54" s="304" t="str">
        <f ca="1">IF(B54="","BORRAR","      &lt;text&gt;"&amp;IF(C53&lt;&gt;"",REPLACE(B54,C53,1,"."),B54)&amp;"&lt;/text&gt;")</f>
        <v>BORRAR</v>
      </c>
      <c r="B54" s="37" t="str">
        <f ca="1">INDIRECT("RC_0"&amp;C54)</f>
        <v/>
      </c>
      <c r="C54" s="43">
        <f>C48+1</f>
        <v>7</v>
      </c>
    </row>
    <row r="55" spans="1:3" x14ac:dyDescent="0.25">
      <c r="A55" s="304" t="str">
        <f ca="1">IF(B54="","BORRAR",$D$20)</f>
        <v>BORRAR</v>
      </c>
    </row>
    <row r="56" spans="1:3" x14ac:dyDescent="0.25">
      <c r="A56" s="304" t="str">
        <f ca="1">IF(B54="","BORRAR","      &lt;text&gt;&lt;![CDATA[&lt;p&gt;"&amp;B56&amp;"&lt;/p&gt;]]&gt;&lt;/text&gt;")</f>
        <v>BORRAR</v>
      </c>
      <c r="B56" s="37" t="str">
        <f ca="1">INDIRECT("RE_0"&amp;C54)</f>
        <v/>
      </c>
    </row>
    <row r="57" spans="1:3" x14ac:dyDescent="0.25">
      <c r="A57" s="304" t="str">
        <f ca="1">IF(B54="","BORRAR","      &lt;/feedback&gt;")</f>
        <v>BORRAR</v>
      </c>
    </row>
    <row r="58" spans="1:3" x14ac:dyDescent="0.25">
      <c r="A58" s="304" t="str">
        <f ca="1">IF(B54="","BORRAR","    &lt;/answer&gt;")</f>
        <v>BORRAR</v>
      </c>
    </row>
    <row r="59" spans="1:3" x14ac:dyDescent="0.25">
      <c r="A59" s="549" t="str">
        <f ca="1">IF(B60="","BORRAR",$C$18&amp;B59&amp;$D$18)</f>
        <v>BORRAR</v>
      </c>
      <c r="B59" s="41" t="str">
        <f ca="1">INDIRECT("PT_0"&amp;C60)</f>
        <v/>
      </c>
      <c r="C59" s="25" t="str">
        <f ca="1">IFERROR(FIND(",",B60,1),"")</f>
        <v/>
      </c>
    </row>
    <row r="60" spans="1:3" x14ac:dyDescent="0.25">
      <c r="A60" s="304" t="str">
        <f ca="1">IF(B60="","BORRAR","      &lt;text&gt;"&amp;IF(C59&lt;&gt;"",REPLACE(B60,C59,1,"."),B60)&amp;"&lt;/text&gt;")</f>
        <v>BORRAR</v>
      </c>
      <c r="B60" s="37" t="str">
        <f ca="1">INDIRECT("RC_0"&amp;C60)</f>
        <v/>
      </c>
      <c r="C60" s="43">
        <f>C54+1</f>
        <v>8</v>
      </c>
    </row>
    <row r="61" spans="1:3" x14ac:dyDescent="0.25">
      <c r="A61" s="304" t="str">
        <f ca="1">IF(B60="","BORRAR",$D$20)</f>
        <v>BORRAR</v>
      </c>
    </row>
    <row r="62" spans="1:3" x14ac:dyDescent="0.25">
      <c r="A62" s="304" t="str">
        <f ca="1">IF(B60="","BORRAR","      &lt;text&gt;&lt;![CDATA[&lt;p&gt;"&amp;B62&amp;"&lt;/p&gt;]]&gt;&lt;/text&gt;")</f>
        <v>BORRAR</v>
      </c>
      <c r="B62" s="37" t="str">
        <f ca="1">INDIRECT("RE_0"&amp;C60)</f>
        <v/>
      </c>
    </row>
    <row r="63" spans="1:3" x14ac:dyDescent="0.25">
      <c r="A63" s="304" t="str">
        <f ca="1">IF(B60="","BORRAR","      &lt;/feedback&gt;")</f>
        <v>BORRAR</v>
      </c>
    </row>
    <row r="64" spans="1:3" x14ac:dyDescent="0.25">
      <c r="A64" s="304" t="str">
        <f ca="1">IF(B60="","BORRAR","    &lt;/answer&gt;")</f>
        <v>BORRAR</v>
      </c>
    </row>
  </sheetData>
  <sheetProtection algorithmName="SHA-512" hashValue="lDdA5AMH1qWL/G2iZBNzNvkOPZ9mfndOSY+7UQZgjwCIeXmh5bnt6Quez5Ed25g2FH7Np3VNI+Gk6gRA5gl02A==" saltValue="lFF2FIMCSQn8SKnGZoN0Zw==" spinCount="100000" sheet="1" objects="1" scenarios="1" selectLockedCells="1"/>
  <pageMargins left="0.7" right="0.7" top="0.75" bottom="0.75" header="0.3" footer="0.3"/>
</worksheet>
</file>

<file path=xl/worksheets/sheet2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Hoja_36"/>
  <dimension ref="A1:C74"/>
  <sheetViews>
    <sheetView showGridLines="0" showRowColHeaders="0" showZeros="0" zoomScale="170" zoomScaleNormal="170" workbookViewId="0">
      <pane ySplit="2" topLeftCell="A3" activePane="bottomLeft" state="frozen"/>
      <selection activeCell="A12" sqref="A12"/>
      <selection pane="bottomLeft"/>
    </sheetView>
  </sheetViews>
  <sheetFormatPr baseColWidth="10" defaultColWidth="0" defaultRowHeight="15" x14ac:dyDescent="0.25"/>
  <cols>
    <col min="1" max="1" width="90.7109375" style="304" customWidth="1"/>
    <col min="2" max="2" width="5.85546875" style="304" hidden="1" customWidth="1"/>
    <col min="3" max="3" width="2.7109375" style="304" customWidth="1"/>
    <col min="4" max="16384" width="11.42578125" style="304" hidden="1"/>
  </cols>
  <sheetData>
    <row r="1" spans="1:3" x14ac:dyDescent="0.25">
      <c r="A1" s="547" t="str">
        <f>"&lt;!-- question: "&amp;PREGUNTA_ACTUAL&amp;"  --&gt;"</f>
        <v>&lt;!-- question: 1  --&gt;</v>
      </c>
      <c r="B1" s="41">
        <f ca="1">COUNTA(A1:A98)-COUNTIF(A:A,"BORRAR")</f>
        <v>26</v>
      </c>
      <c r="C1" s="545"/>
    </row>
    <row r="2" spans="1:3" x14ac:dyDescent="0.25">
      <c r="A2" s="309" t="s">
        <v>96</v>
      </c>
      <c r="B2" s="309" t="s">
        <v>97</v>
      </c>
    </row>
    <row r="3" spans="1:3" x14ac:dyDescent="0.25">
      <c r="A3" s="304" t="s">
        <v>27</v>
      </c>
    </row>
    <row r="4" spans="1:3" x14ac:dyDescent="0.25">
      <c r="A4" s="304" t="str">
        <f ca="1">"      &lt;text&gt;"&amp;B4&amp;"&lt;/text&gt;"</f>
        <v xml:space="preserve">      &lt;text&gt;&lt;/text&gt;</v>
      </c>
      <c r="B4" s="304" t="str">
        <f ca="1">NOMBRE_PP</f>
        <v/>
      </c>
    </row>
    <row r="5" spans="1:3" x14ac:dyDescent="0.25">
      <c r="A5" s="304" t="s">
        <v>29</v>
      </c>
    </row>
    <row r="6" spans="1:3" x14ac:dyDescent="0.25">
      <c r="A6" s="304" t="s">
        <v>30</v>
      </c>
    </row>
    <row r="7" spans="1:3" x14ac:dyDescent="0.25">
      <c r="A7" s="304" t="str">
        <f ca="1">"      &lt;text&gt;&lt;![CDATA[&lt;p&gt;"&amp;B7&amp;"&lt;/p&gt;]]&gt;&lt;/text&gt;"</f>
        <v xml:space="preserve">      &lt;text&gt;&lt;![CDATA[&lt;p&gt;&lt;p style="text-align: center;"&gt;&lt;/p&gt;]]&gt;&lt;/text&gt;</v>
      </c>
      <c r="B7" s="29" t="str">
        <f ca="1">IF(Centrar_Tabla_PP=TRUE,B8,"")&amp;IMG_PP&amp;IF(IMG_PP="","","&lt;/p&gt;")&amp;ENUNCIADO_PP</f>
        <v>&lt;p style="text-align: center;"&gt;</v>
      </c>
    </row>
    <row r="8" spans="1:3" x14ac:dyDescent="0.25">
      <c r="A8" s="304" t="s">
        <v>31</v>
      </c>
      <c r="B8" s="22" t="str">
        <f>'XML OM'!B8</f>
        <v>&lt;p style="text-align: center;"&gt;</v>
      </c>
    </row>
    <row r="9" spans="1:3" x14ac:dyDescent="0.25">
      <c r="A9" s="304" t="s">
        <v>32</v>
      </c>
    </row>
    <row r="10" spans="1:3" x14ac:dyDescent="0.25">
      <c r="A10" s="304" t="str">
        <f>"      &lt;text&gt;&lt;![CDATA[&lt;p&gt;"&amp;B10&amp;"&lt;/p&gt;]]&gt;&lt;/text&gt;"</f>
        <v xml:space="preserve">      &lt;text&gt;&lt;![CDATA[&lt;p&gt;0&lt;/p&gt;]]&gt;&lt;/text&gt;</v>
      </c>
      <c r="B10" s="37">
        <f>Retroalim_GENERAL</f>
        <v>0</v>
      </c>
    </row>
    <row r="11" spans="1:3" x14ac:dyDescent="0.25">
      <c r="A11" s="304" t="s">
        <v>34</v>
      </c>
      <c r="B11" s="37"/>
    </row>
    <row r="12" spans="1:3" x14ac:dyDescent="0.25">
      <c r="A12" s="304" t="str">
        <f>"    &lt;defaultgrade&gt;"&amp;B12&amp;"&lt;/defaultgrade&gt;"</f>
        <v xml:space="preserve">    &lt;defaultgrade&gt;1&lt;/defaultgrade&gt;</v>
      </c>
      <c r="B12" s="37">
        <f>PUNTUACION</f>
        <v>1</v>
      </c>
    </row>
    <row r="13" spans="1:3" x14ac:dyDescent="0.25">
      <c r="A13" s="306" t="str">
        <f>"    &lt;penalty&gt;"&amp;REPLACE(B13,2,1,".")&amp;"&lt;/penalty&gt;"</f>
        <v xml:space="preserve">    &lt;penalty&gt;0.333333333333333&lt;/penalty&gt;</v>
      </c>
      <c r="B13" s="37">
        <f>PENALIZACION</f>
        <v>0.33333333333333331</v>
      </c>
    </row>
    <row r="14" spans="1:3" x14ac:dyDescent="0.25">
      <c r="A14" s="304" t="s">
        <v>62</v>
      </c>
      <c r="B14" s="37">
        <f>Oculto</f>
        <v>0</v>
      </c>
    </row>
    <row r="15" spans="1:3" x14ac:dyDescent="0.25">
      <c r="A15" s="304" t="str">
        <f>"    &lt;idnumber&gt;"&amp;B15&amp;"&lt;/idnumber&gt;"</f>
        <v xml:space="preserve">    &lt;idnumber&gt;&lt;/idnumber&gt;</v>
      </c>
      <c r="B15" s="37" t="str">
        <f>IF(CONTRASEN_A="","",CONTRASEN_A)</f>
        <v/>
      </c>
    </row>
    <row r="16" spans="1:3" x14ac:dyDescent="0.25">
      <c r="A16" s="304" t="str">
        <f>"    &lt;shuffleanswers&gt;"&amp;B16&amp;"&lt;/shuffleanswers&gt;"</f>
        <v xml:space="preserve">    &lt;shuffleanswers&gt;1&lt;/shuffleanswers&gt;</v>
      </c>
      <c r="B16" s="37">
        <f>IF(BARAJAR_R="true",1,0)</f>
        <v>1</v>
      </c>
    </row>
    <row r="17" spans="1:2" x14ac:dyDescent="0.25">
      <c r="A17" s="304" t="s">
        <v>42</v>
      </c>
    </row>
    <row r="18" spans="1:2" x14ac:dyDescent="0.25">
      <c r="A18" s="306" t="str">
        <f>"      &lt;text&gt;&lt;![CDATA[&lt;p&gt;"&amp;B18&amp;"&lt;/p&gt;]]&gt;&lt;/text&gt;"</f>
        <v xml:space="preserve">      &lt;text&gt;&lt;![CDATA[&lt;p&gt;0&lt;/p&gt;]]&gt;&lt;/text&gt;</v>
      </c>
      <c r="B18" s="24">
        <f>R_CORRECTA</f>
        <v>0</v>
      </c>
    </row>
    <row r="19" spans="1:2" x14ac:dyDescent="0.25">
      <c r="A19" s="306" t="s">
        <v>43</v>
      </c>
      <c r="B19" s="22"/>
    </row>
    <row r="20" spans="1:2" x14ac:dyDescent="0.25">
      <c r="A20" s="306" t="s">
        <v>44</v>
      </c>
      <c r="B20" s="22"/>
    </row>
    <row r="21" spans="1:2" x14ac:dyDescent="0.25">
      <c r="A21" s="306" t="str">
        <f>"      &lt;text&gt;&lt;![CDATA[&lt;p&gt;"&amp;B21&amp;"&lt;/p&gt;]]&gt;&lt;/text&gt;"</f>
        <v xml:space="preserve">      &lt;text&gt;&lt;![CDATA[&lt;p&gt;0&lt;/p&gt;]]&gt;&lt;/text&gt;</v>
      </c>
      <c r="B21" s="24">
        <f>R_Par_CORRECTA</f>
        <v>0</v>
      </c>
    </row>
    <row r="22" spans="1:2" x14ac:dyDescent="0.25">
      <c r="A22" s="306" t="s">
        <v>45</v>
      </c>
      <c r="B22" s="22"/>
    </row>
    <row r="23" spans="1:2" x14ac:dyDescent="0.25">
      <c r="A23" s="306" t="s">
        <v>46</v>
      </c>
      <c r="B23" s="46">
        <v>0</v>
      </c>
    </row>
    <row r="24" spans="1:2" x14ac:dyDescent="0.25">
      <c r="A24" s="306" t="str">
        <f>"      &lt;text&gt;&lt;![CDATA[&lt;p&gt;"&amp;B24&amp;"&lt;/p&gt;]]&gt;&lt;/text&gt;"</f>
        <v xml:space="preserve">      &lt;text&gt;&lt;![CDATA[&lt;p&gt;0&lt;/p&gt;]]&gt;&lt;/text&gt;</v>
      </c>
      <c r="B24" s="24">
        <f>R_INCORRECTA</f>
        <v>0</v>
      </c>
    </row>
    <row r="25" spans="1:2" x14ac:dyDescent="0.25">
      <c r="A25" s="304" t="s">
        <v>47</v>
      </c>
    </row>
    <row r="26" spans="1:2" x14ac:dyDescent="0.25">
      <c r="A26" s="545" t="s">
        <v>49</v>
      </c>
    </row>
    <row r="27" spans="1:2" x14ac:dyDescent="0.25">
      <c r="A27" s="548" t="str">
        <f ca="1">IF(OR(B28=0,B28=""),"BORRAR","    &lt;selectoption&gt;")</f>
        <v>BORRAR</v>
      </c>
      <c r="B27" s="44">
        <f>B23+1</f>
        <v>1</v>
      </c>
    </row>
    <row r="28" spans="1:2" x14ac:dyDescent="0.25">
      <c r="A28" s="304" t="str">
        <f ca="1">IF(OR(B28=0,B28=""),"BORRAR","      &lt;text&gt;"&amp;B28&amp;"&lt;/text&gt;")</f>
        <v>BORRAR</v>
      </c>
      <c r="B28" s="37" t="str">
        <f ca="1">INDIRECT("Par_"&amp;IF(B27&lt;10,"0","")&amp;B27&amp;"_2")</f>
        <v/>
      </c>
    </row>
    <row r="29" spans="1:2" x14ac:dyDescent="0.25">
      <c r="A29" s="304" t="str">
        <f ca="1">IF(OR(B28=0,B28=""),"BORRAR","      &lt;group&gt;"&amp;B29&amp;"&lt;/group&gt;")</f>
        <v>BORRAR</v>
      </c>
      <c r="B29" s="37" t="str">
        <f ca="1">INDIRECT("Par_"&amp;IF(B27&lt;10,"0","")&amp;B27&amp;"_1")</f>
        <v/>
      </c>
    </row>
    <row r="30" spans="1:2" x14ac:dyDescent="0.25">
      <c r="A30" s="304" t="str">
        <f ca="1">IF(OR(B28=0,B28=""),"BORRAR","    &lt;/selectoption&gt;")</f>
        <v>BORRAR</v>
      </c>
    </row>
    <row r="31" spans="1:2" x14ac:dyDescent="0.25">
      <c r="A31" s="548" t="str">
        <f ca="1">IF(OR(B32=0,B32=""),"BORRAR","    &lt;selectoption&gt;")</f>
        <v>BORRAR</v>
      </c>
      <c r="B31" s="44">
        <f>B27+1</f>
        <v>2</v>
      </c>
    </row>
    <row r="32" spans="1:2" x14ac:dyDescent="0.25">
      <c r="A32" s="304" t="str">
        <f ca="1">IF(OR(B32=0,B32=""),"BORRAR","      &lt;text&gt;"&amp;B32&amp;"&lt;/text&gt;")</f>
        <v>BORRAR</v>
      </c>
      <c r="B32" s="37" t="str">
        <f ca="1">INDIRECT("Par_"&amp;IF(B31&lt;10,"0","")&amp;B31&amp;"_2")</f>
        <v/>
      </c>
    </row>
    <row r="33" spans="1:2" x14ac:dyDescent="0.25">
      <c r="A33" s="304" t="str">
        <f ca="1">IF(OR(B32=0,B32=""),"BORRAR","      &lt;group&gt;"&amp;B33&amp;"&lt;/group&gt;")</f>
        <v>BORRAR</v>
      </c>
      <c r="B33" s="37" t="str">
        <f ca="1">INDIRECT("Par_"&amp;IF(B31&lt;10,"0","")&amp;B31&amp;"_1")</f>
        <v/>
      </c>
    </row>
    <row r="34" spans="1:2" x14ac:dyDescent="0.25">
      <c r="A34" s="304" t="str">
        <f ca="1">IF(OR(B32=0,B32=""),"BORRAR","    &lt;/selectoption&gt;")</f>
        <v>BORRAR</v>
      </c>
    </row>
    <row r="35" spans="1:2" x14ac:dyDescent="0.25">
      <c r="A35" s="549" t="str">
        <f ca="1">IF(OR(B36=0,B36=""),"BORRAR","    &lt;selectoption&gt;")</f>
        <v>BORRAR</v>
      </c>
      <c r="B35" s="44">
        <f>B31+1</f>
        <v>3</v>
      </c>
    </row>
    <row r="36" spans="1:2" x14ac:dyDescent="0.25">
      <c r="A36" s="304" t="str">
        <f ca="1">IF(OR(B36=0,B36=""),"BORRAR","      &lt;text&gt;"&amp;B36&amp;"&lt;/text&gt;")</f>
        <v>BORRAR</v>
      </c>
      <c r="B36" s="37" t="str">
        <f ca="1">INDIRECT("Par_"&amp;IF(B35&lt;10,"0","")&amp;B35&amp;"_2")</f>
        <v/>
      </c>
    </row>
    <row r="37" spans="1:2" x14ac:dyDescent="0.25">
      <c r="A37" s="304" t="str">
        <f ca="1">IF(OR(B36=0,B36=""),"BORRAR","      &lt;group&gt;"&amp;B37&amp;"&lt;/group&gt;")</f>
        <v>BORRAR</v>
      </c>
      <c r="B37" s="37" t="str">
        <f ca="1">INDIRECT("Par_"&amp;IF(B35&lt;10,"0","")&amp;B35&amp;"_1")</f>
        <v/>
      </c>
    </row>
    <row r="38" spans="1:2" x14ac:dyDescent="0.25">
      <c r="A38" s="304" t="str">
        <f ca="1">IF(OR(B36=0,B36=""),"BORRAR","    &lt;/selectoption&gt;")</f>
        <v>BORRAR</v>
      </c>
    </row>
    <row r="39" spans="1:2" x14ac:dyDescent="0.25">
      <c r="A39" s="549" t="str">
        <f ca="1">IF(OR(B40=0,B40=""),"BORRAR","    &lt;selectoption&gt;")</f>
        <v>BORRAR</v>
      </c>
      <c r="B39" s="44">
        <f>B35+1</f>
        <v>4</v>
      </c>
    </row>
    <row r="40" spans="1:2" x14ac:dyDescent="0.25">
      <c r="A40" s="304" t="str">
        <f ca="1">IF(OR(B40=0,B40=""),"BORRAR","      &lt;text&gt;"&amp;B40&amp;"&lt;/text&gt;")</f>
        <v>BORRAR</v>
      </c>
      <c r="B40" s="37" t="str">
        <f ca="1">INDIRECT("Par_"&amp;IF(B39&lt;10,"0","")&amp;B39&amp;"_2")</f>
        <v/>
      </c>
    </row>
    <row r="41" spans="1:2" x14ac:dyDescent="0.25">
      <c r="A41" s="304" t="str">
        <f ca="1">IF(OR(B40=0,B40=""),"BORRAR","      &lt;group&gt;"&amp;B41&amp;"&lt;/group&gt;")</f>
        <v>BORRAR</v>
      </c>
      <c r="B41" s="37" t="str">
        <f ca="1">INDIRECT("Par_"&amp;IF(B39&lt;10,"0","")&amp;B39&amp;"_1")</f>
        <v/>
      </c>
    </row>
    <row r="42" spans="1:2" x14ac:dyDescent="0.25">
      <c r="A42" s="304" t="str">
        <f ca="1">IF(OR(B40=0,B40=""),"BORRAR","    &lt;/selectoption&gt;")</f>
        <v>BORRAR</v>
      </c>
    </row>
    <row r="43" spans="1:2" x14ac:dyDescent="0.25">
      <c r="A43" s="549" t="str">
        <f ca="1">IF(OR(B44=0,B44=""),"BORRAR","    &lt;selectoption&gt;")</f>
        <v>BORRAR</v>
      </c>
      <c r="B43" s="44">
        <f>B39+1</f>
        <v>5</v>
      </c>
    </row>
    <row r="44" spans="1:2" x14ac:dyDescent="0.25">
      <c r="A44" s="304" t="str">
        <f ca="1">IF(OR(B44=0,B44=""),"BORRAR","      &lt;text&gt;"&amp;B44&amp;"&lt;/text&gt;")</f>
        <v>BORRAR</v>
      </c>
      <c r="B44" s="37" t="str">
        <f ca="1">INDIRECT("Par_"&amp;IF(B43&lt;10,"0","")&amp;B43&amp;"_2")</f>
        <v/>
      </c>
    </row>
    <row r="45" spans="1:2" x14ac:dyDescent="0.25">
      <c r="A45" s="304" t="str">
        <f ca="1">IF(OR(B44=0,B44=""),"BORRAR","      &lt;group&gt;"&amp;B45&amp;"&lt;/group&gt;")</f>
        <v>BORRAR</v>
      </c>
      <c r="B45" s="37" t="str">
        <f ca="1">INDIRECT("Par_"&amp;IF(B43&lt;10,"0","")&amp;B43&amp;"_1")</f>
        <v/>
      </c>
    </row>
    <row r="46" spans="1:2" x14ac:dyDescent="0.25">
      <c r="A46" s="304" t="str">
        <f ca="1">IF(OR(B44=0,B44=""),"BORRAR","    &lt;/selectoption&gt;")</f>
        <v>BORRAR</v>
      </c>
    </row>
    <row r="47" spans="1:2" x14ac:dyDescent="0.25">
      <c r="A47" s="549" t="str">
        <f ca="1">IF(OR(B48=0,B48=""),"BORRAR","    &lt;selectoption&gt;")</f>
        <v>BORRAR</v>
      </c>
      <c r="B47" s="44">
        <f>B43+1</f>
        <v>6</v>
      </c>
    </row>
    <row r="48" spans="1:2" x14ac:dyDescent="0.25">
      <c r="A48" s="304" t="str">
        <f ca="1">IF(OR(B48=0,B48=""),"BORRAR","      &lt;text&gt;"&amp;B48&amp;"&lt;/text&gt;")</f>
        <v>BORRAR</v>
      </c>
      <c r="B48" s="37" t="str">
        <f ca="1">INDIRECT("Par_"&amp;IF(B47&lt;10,"0","")&amp;B47&amp;"_2")</f>
        <v/>
      </c>
    </row>
    <row r="49" spans="1:2" x14ac:dyDescent="0.25">
      <c r="A49" s="304" t="str">
        <f ca="1">IF(OR(B48=0,B48=""),"BORRAR","      &lt;group&gt;"&amp;B49&amp;"&lt;/group&gt;")</f>
        <v>BORRAR</v>
      </c>
      <c r="B49" s="37" t="str">
        <f ca="1">INDIRECT("Par_"&amp;IF(B47&lt;10,"0","")&amp;B47&amp;"_1")</f>
        <v/>
      </c>
    </row>
    <row r="50" spans="1:2" x14ac:dyDescent="0.25">
      <c r="A50" s="304" t="str">
        <f ca="1">IF(OR(B48=0,B48=""),"BORRAR","    &lt;/selectoption&gt;")</f>
        <v>BORRAR</v>
      </c>
    </row>
    <row r="51" spans="1:2" x14ac:dyDescent="0.25">
      <c r="A51" s="549" t="str">
        <f ca="1">IF(OR(B52=0,B52=""),"BORRAR","    &lt;selectoption&gt;")</f>
        <v>BORRAR</v>
      </c>
      <c r="B51" s="44">
        <f>B47+1</f>
        <v>7</v>
      </c>
    </row>
    <row r="52" spans="1:2" x14ac:dyDescent="0.25">
      <c r="A52" s="304" t="str">
        <f ca="1">IF(OR(B52=0,B52=""),"BORRAR","      &lt;text&gt;"&amp;B52&amp;"&lt;/text&gt;")</f>
        <v>BORRAR</v>
      </c>
      <c r="B52" s="37" t="str">
        <f ca="1">INDIRECT("Par_"&amp;IF(B51&lt;10,"0","")&amp;B51&amp;"_2")</f>
        <v/>
      </c>
    </row>
    <row r="53" spans="1:2" x14ac:dyDescent="0.25">
      <c r="A53" s="304" t="str">
        <f ca="1">IF(OR(B52=0,B52=""),"BORRAR","      &lt;group&gt;"&amp;B53&amp;"&lt;/group&gt;")</f>
        <v>BORRAR</v>
      </c>
      <c r="B53" s="37" t="str">
        <f ca="1">INDIRECT("Par_"&amp;IF(B51&lt;10,"0","")&amp;B51&amp;"_1")</f>
        <v/>
      </c>
    </row>
    <row r="54" spans="1:2" x14ac:dyDescent="0.25">
      <c r="A54" s="304" t="str">
        <f ca="1">IF(OR(B52=0,B52=""),"BORRAR","    &lt;/selectoption&gt;")</f>
        <v>BORRAR</v>
      </c>
    </row>
    <row r="55" spans="1:2" x14ac:dyDescent="0.25">
      <c r="A55" s="549" t="str">
        <f ca="1">IF(OR(B56=0,B56=""),"BORRAR","    &lt;selectoption&gt;")</f>
        <v>BORRAR</v>
      </c>
      <c r="B55" s="44">
        <f>B51+1</f>
        <v>8</v>
      </c>
    </row>
    <row r="56" spans="1:2" x14ac:dyDescent="0.25">
      <c r="A56" s="304" t="str">
        <f ca="1">IF(OR(B56=0,B56=""),"BORRAR","      &lt;text&gt;"&amp;B56&amp;"&lt;/text&gt;")</f>
        <v>BORRAR</v>
      </c>
      <c r="B56" s="37" t="str">
        <f ca="1">INDIRECT("Par_"&amp;IF(B55&lt;10,"0","")&amp;B55&amp;"_2")</f>
        <v/>
      </c>
    </row>
    <row r="57" spans="1:2" x14ac:dyDescent="0.25">
      <c r="A57" s="304" t="str">
        <f ca="1">IF(OR(B56=0,B56=""),"BORRAR","      &lt;group&gt;"&amp;B57&amp;"&lt;/group&gt;")</f>
        <v>BORRAR</v>
      </c>
      <c r="B57" s="37" t="str">
        <f ca="1">INDIRECT("Par_"&amp;IF(B55&lt;10,"0","")&amp;B55&amp;"_1")</f>
        <v/>
      </c>
    </row>
    <row r="58" spans="1:2" x14ac:dyDescent="0.25">
      <c r="A58" s="304" t="str">
        <f ca="1">IF(OR(B56=0,B56=""),"BORRAR","    &lt;/selectoption&gt;")</f>
        <v>BORRAR</v>
      </c>
    </row>
    <row r="59" spans="1:2" x14ac:dyDescent="0.25">
      <c r="A59" s="549" t="str">
        <f ca="1">IF(OR(B60=0,B60=""),"BORRAR","    &lt;selectoption&gt;")</f>
        <v>BORRAR</v>
      </c>
      <c r="B59" s="44">
        <f>B55+1</f>
        <v>9</v>
      </c>
    </row>
    <row r="60" spans="1:2" x14ac:dyDescent="0.25">
      <c r="A60" s="304" t="str">
        <f ca="1">IF(OR(B60=0,B60=""),"BORRAR","      &lt;text&gt;"&amp;B60&amp;"&lt;/text&gt;")</f>
        <v>BORRAR</v>
      </c>
      <c r="B60" s="37" t="str">
        <f ca="1">INDIRECT("Par_"&amp;IF(B59&lt;10,"0","")&amp;B59&amp;"_2")</f>
        <v/>
      </c>
    </row>
    <row r="61" spans="1:2" x14ac:dyDescent="0.25">
      <c r="A61" s="304" t="str">
        <f ca="1">IF(OR(B60=0,B60=""),"BORRAR","      &lt;group&gt;"&amp;B61&amp;"&lt;/group&gt;")</f>
        <v>BORRAR</v>
      </c>
      <c r="B61" s="37" t="str">
        <f ca="1">INDIRECT("Par_"&amp;IF(B59&lt;10,"0","")&amp;B59&amp;"_1")</f>
        <v/>
      </c>
    </row>
    <row r="62" spans="1:2" x14ac:dyDescent="0.25">
      <c r="A62" s="304" t="str">
        <f ca="1">IF(OR(B60=0,B60=""),"BORRAR","    &lt;/selectoption&gt;")</f>
        <v>BORRAR</v>
      </c>
    </row>
    <row r="63" spans="1:2" x14ac:dyDescent="0.25">
      <c r="A63" s="549" t="str">
        <f ca="1">IF(OR(B64=0,B64=""),"BORRAR","    &lt;selectoption&gt;")</f>
        <v>BORRAR</v>
      </c>
      <c r="B63" s="44">
        <f>B59+1</f>
        <v>10</v>
      </c>
    </row>
    <row r="64" spans="1:2" x14ac:dyDescent="0.25">
      <c r="A64" s="304" t="str">
        <f ca="1">IF(OR(B64=0,B64=""),"BORRAR","      &lt;text&gt;"&amp;B64&amp;"&lt;/text&gt;")</f>
        <v>BORRAR</v>
      </c>
      <c r="B64" s="37" t="str">
        <f ca="1">INDIRECT("Par_"&amp;IF(B63&lt;10,"0","")&amp;B63&amp;"_2")</f>
        <v/>
      </c>
    </row>
    <row r="65" spans="1:2" x14ac:dyDescent="0.25">
      <c r="A65" s="304" t="str">
        <f ca="1">IF(OR(B64=0,B64=""),"BORRAR","      &lt;group&gt;"&amp;B65&amp;"&lt;/group&gt;")</f>
        <v>BORRAR</v>
      </c>
      <c r="B65" s="37" t="str">
        <f ca="1">INDIRECT("Par_"&amp;IF(B63&lt;10,"0","")&amp;B63&amp;"_1")</f>
        <v/>
      </c>
    </row>
    <row r="66" spans="1:2" x14ac:dyDescent="0.25">
      <c r="A66" s="304" t="str">
        <f ca="1">IF(OR(B64=0,B64=""),"BORRAR","    &lt;/selectoption&gt;")</f>
        <v>BORRAR</v>
      </c>
    </row>
    <row r="67" spans="1:2" x14ac:dyDescent="0.25">
      <c r="A67" s="549" t="str">
        <f ca="1">IF(OR(B68=0,B68=""),"BORRAR","    &lt;selectoption&gt;")</f>
        <v>BORRAR</v>
      </c>
      <c r="B67" s="44">
        <f>B63+1</f>
        <v>11</v>
      </c>
    </row>
    <row r="68" spans="1:2" x14ac:dyDescent="0.25">
      <c r="A68" s="304" t="str">
        <f ca="1">IF(OR(B68=0,B68=""),"BORRAR","      &lt;text&gt;"&amp;B68&amp;"&lt;/text&gt;")</f>
        <v>BORRAR</v>
      </c>
      <c r="B68" s="37" t="str">
        <f ca="1">INDIRECT("Par_"&amp;IF(B67&lt;10,"0","")&amp;B67&amp;"_2")</f>
        <v/>
      </c>
    </row>
    <row r="69" spans="1:2" x14ac:dyDescent="0.25">
      <c r="A69" s="304" t="str">
        <f ca="1">IF(OR(B68=0,B68=""),"BORRAR","      &lt;group&gt;"&amp;B69&amp;"&lt;/group&gt;")</f>
        <v>BORRAR</v>
      </c>
      <c r="B69" s="37" t="str">
        <f ca="1">INDIRECT("Par_"&amp;IF(B67&lt;10,"0","")&amp;B67&amp;"_1")</f>
        <v/>
      </c>
    </row>
    <row r="70" spans="1:2" x14ac:dyDescent="0.25">
      <c r="A70" s="304" t="str">
        <f ca="1">IF(OR(B68=0,B68=""),"BORRAR","    &lt;/selectoption&gt;")</f>
        <v>BORRAR</v>
      </c>
    </row>
    <row r="71" spans="1:2" x14ac:dyDescent="0.25">
      <c r="A71" s="549" t="str">
        <f ca="1">IF(OR(B72=0,B72=""),"BORRAR","    &lt;selectoption&gt;")</f>
        <v>BORRAR</v>
      </c>
      <c r="B71" s="44">
        <f>B67+1</f>
        <v>12</v>
      </c>
    </row>
    <row r="72" spans="1:2" x14ac:dyDescent="0.25">
      <c r="A72" s="304" t="str">
        <f ca="1">IF(OR(B72=0,B72=""),"BORRAR","      &lt;text&gt;"&amp;B72&amp;"&lt;/text&gt;")</f>
        <v>BORRAR</v>
      </c>
      <c r="B72" s="37" t="str">
        <f ca="1">INDIRECT("Par_"&amp;IF(B71&lt;10,"0","")&amp;B71&amp;"_2")</f>
        <v/>
      </c>
    </row>
    <row r="73" spans="1:2" x14ac:dyDescent="0.25">
      <c r="A73" s="304" t="str">
        <f ca="1">IF(OR(B72=0,B72=""),"BORRAR","      &lt;group&gt;"&amp;B73&amp;"&lt;/group&gt;")</f>
        <v>BORRAR</v>
      </c>
      <c r="B73" s="37" t="str">
        <f ca="1">INDIRECT("Par_"&amp;IF(B71&lt;10,"0","")&amp;B71&amp;"_1")</f>
        <v/>
      </c>
    </row>
    <row r="74" spans="1:2" x14ac:dyDescent="0.25">
      <c r="A74" s="304" t="str">
        <f ca="1">IF(OR(B72=0,B72=""),"BORRAR","    &lt;/selectoption&gt;")</f>
        <v>BORRAR</v>
      </c>
    </row>
  </sheetData>
  <sheetProtection algorithmName="SHA-512" hashValue="kUHpRg+zv7SIk3nSxX8jrvIQ6tuzhAp+cmzjnFZLWbku18HNJ8zXDKxkB4F8qzpcu55xgpyDd3pdH0QaF+c6jQ==" saltValue="+nt7JCqeU6YGO3xk2g1tPw==" spinCount="100000" sheet="1" objects="1" scenarios="1" selectLockedCells="1"/>
  <pageMargins left="0.7" right="0.7" top="0.75" bottom="0.75" header="0.3" footer="0.3"/>
</worksheet>
</file>

<file path=xl/worksheets/sheet2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Hoja_37"/>
  <dimension ref="A1:D28"/>
  <sheetViews>
    <sheetView showGridLines="0" showRowColHeaders="0" zoomScale="170" zoomScaleNormal="170" workbookViewId="0">
      <pane ySplit="2" topLeftCell="A3" activePane="bottomLeft" state="frozen"/>
      <selection activeCell="A12" sqref="A12"/>
      <selection pane="bottomLeft"/>
    </sheetView>
  </sheetViews>
  <sheetFormatPr baseColWidth="10" defaultColWidth="0" defaultRowHeight="15" x14ac:dyDescent="0.25"/>
  <cols>
    <col min="1" max="1" width="90.7109375" style="306" customWidth="1"/>
    <col min="2" max="2" width="16.85546875" style="22" hidden="1" customWidth="1"/>
    <col min="3" max="3" width="34.5703125" style="306" hidden="1" customWidth="1"/>
    <col min="4" max="4" width="2.7109375" style="306" customWidth="1"/>
    <col min="5" max="16384" width="11.42578125" style="304" hidden="1"/>
  </cols>
  <sheetData>
    <row r="1" spans="1:3" x14ac:dyDescent="0.25">
      <c r="A1" s="306" t="str">
        <f>"&lt;!-- question: "&amp;PREGUNTA_ACTUAL&amp;"  --&gt;"</f>
        <v>&lt;!-- question: 1  --&gt;</v>
      </c>
      <c r="B1" s="24">
        <f ca="1">COUNTA(A1:A27)</f>
        <v>26</v>
      </c>
    </row>
    <row r="2" spans="1:3" x14ac:dyDescent="0.25">
      <c r="A2" s="309" t="s">
        <v>1086</v>
      </c>
      <c r="B2" s="23" t="s">
        <v>1098</v>
      </c>
    </row>
    <row r="3" spans="1:3" x14ac:dyDescent="0.25">
      <c r="A3" s="306" t="s">
        <v>27</v>
      </c>
      <c r="B3" s="306" t="s">
        <v>28</v>
      </c>
    </row>
    <row r="4" spans="1:3" x14ac:dyDescent="0.25">
      <c r="A4" s="306" t="str">
        <f ca="1">"      &lt;text&gt;"&amp;B4&amp;"&lt;/text&gt;"</f>
        <v xml:space="preserve">      &lt;text&gt;&lt;/text&gt;</v>
      </c>
      <c r="B4" s="24" t="str">
        <f ca="1">NOMBRE_EN</f>
        <v/>
      </c>
    </row>
    <row r="5" spans="1:3" x14ac:dyDescent="0.25">
      <c r="A5" s="306" t="s">
        <v>29</v>
      </c>
    </row>
    <row r="6" spans="1:3" x14ac:dyDescent="0.25">
      <c r="A6" s="306" t="s">
        <v>30</v>
      </c>
      <c r="B6" s="22" t="s">
        <v>24</v>
      </c>
    </row>
    <row r="7" spans="1:3" x14ac:dyDescent="0.25">
      <c r="A7" s="306" t="str">
        <f ca="1">"      &lt;text&gt;&lt;![CDATA[&lt;p&gt;"&amp;B7&amp;"&lt;/p&gt;]]&gt;&lt;/text&gt;"</f>
        <v xml:space="preserve">      &lt;text&gt;&lt;![CDATA[&lt;p&gt;&lt;p style="text-align: center;"&gt;&lt;/p&gt;]]&gt;&lt;/text&gt;</v>
      </c>
      <c r="B7" s="29" t="str">
        <f ca="1">IF(Centrar_Tabla_EN=TRUE,B8,"")&amp;IMG_EN&amp;IF(IMG_EN="","","&lt;/p&gt;")&amp;ENUNCIADO_EN</f>
        <v>&lt;p style="text-align: center;"&gt;</v>
      </c>
    </row>
    <row r="8" spans="1:3" x14ac:dyDescent="0.25">
      <c r="A8" s="306" t="s">
        <v>31</v>
      </c>
      <c r="B8" s="22" t="str">
        <f>'XML OM'!B8</f>
        <v>&lt;p style="text-align: center;"&gt;</v>
      </c>
    </row>
    <row r="9" spans="1:3" x14ac:dyDescent="0.25">
      <c r="A9" s="306" t="s">
        <v>32</v>
      </c>
      <c r="B9" s="38" t="s">
        <v>70</v>
      </c>
    </row>
    <row r="10" spans="1:3" x14ac:dyDescent="0.25">
      <c r="A10" s="306" t="str">
        <f>"      &lt;text&gt;&lt;![CDATA[&lt;p&gt;"&amp;B10&amp;"&lt;/p&gt;]]&gt;&lt;/text&gt;"</f>
        <v xml:space="preserve">      &lt;text&gt;&lt;![CDATA[&lt;p&gt;0&lt;/p&gt;]]&gt;&lt;/text&gt;</v>
      </c>
      <c r="B10" s="24">
        <f>Retroalim_GENERAL</f>
        <v>0</v>
      </c>
    </row>
    <row r="11" spans="1:3" x14ac:dyDescent="0.25">
      <c r="A11" s="306" t="s">
        <v>34</v>
      </c>
    </row>
    <row r="12" spans="1:3" x14ac:dyDescent="0.25">
      <c r="A12" s="306" t="str">
        <f>"    &lt;defaultgrade&gt;"&amp;B12&amp;"&lt;/defaultgrade&gt;"</f>
        <v xml:space="preserve">    &lt;defaultgrade&gt;1&lt;/defaultgrade&gt;</v>
      </c>
      <c r="B12" s="26">
        <f>PUNTUACION</f>
        <v>1</v>
      </c>
      <c r="C12" s="306" t="s">
        <v>35</v>
      </c>
    </row>
    <row r="13" spans="1:3" x14ac:dyDescent="0.25">
      <c r="A13" s="306" t="str">
        <f>"    &lt;penalty&gt;"&amp;REPLACE(B13,2,1,".")&amp;"&lt;/penalty&gt;"</f>
        <v xml:space="preserve">    &lt;penalty&gt;0.333333333333333&lt;/penalty&gt;</v>
      </c>
      <c r="B13" s="285">
        <f>PENALIZACION</f>
        <v>0.33333333333333331</v>
      </c>
      <c r="C13" s="306" t="s">
        <v>36</v>
      </c>
    </row>
    <row r="14" spans="1:3" x14ac:dyDescent="0.25">
      <c r="A14" s="306" t="str">
        <f>"    &lt;hidden&gt;"&amp;B14&amp;"&lt;/hidden&gt;"</f>
        <v xml:space="preserve">    &lt;hidden&gt;0&lt;/hidden&gt;</v>
      </c>
      <c r="B14" s="24">
        <f>Oculto</f>
        <v>0</v>
      </c>
      <c r="C14" s="306" t="s">
        <v>37</v>
      </c>
    </row>
    <row r="15" spans="1:3" x14ac:dyDescent="0.25">
      <c r="A15" s="306" t="str">
        <f>"    &lt;idnumber&gt;"&amp;B15&amp;"&lt;/idnumber&gt;"</f>
        <v xml:space="preserve">    &lt;idnumber&gt;&lt;/idnumber&gt;</v>
      </c>
      <c r="B15" s="22" t="str">
        <f>IF(CONTRASEN_A="","",A15)</f>
        <v/>
      </c>
      <c r="C15" s="306" t="s">
        <v>38</v>
      </c>
    </row>
    <row r="16" spans="1:3" x14ac:dyDescent="0.25">
      <c r="A16" s="544" t="str">
        <f ca="1">"    &lt;responseformat&gt;"&amp;B16&amp;"&lt;/responseformat&gt;"</f>
        <v xml:space="preserve">    &lt;responseformat&gt;editor&lt;/responseformat&gt;</v>
      </c>
      <c r="B16" s="22" t="str">
        <f ca="1">IFERROR(VLOOKUP(RESPUESTA_1_EN,'Formulario EN'!H38:J42,3,0),"editor")</f>
        <v>editor</v>
      </c>
      <c r="C16" s="304"/>
    </row>
    <row r="17" spans="1:4" x14ac:dyDescent="0.25">
      <c r="A17" s="304" t="str">
        <f ca="1">"    &lt;responserequired&gt;"&amp;B17&amp;"&lt;/responserequired&gt;"</f>
        <v xml:space="preserve">    &lt;responserequired&gt;0&lt;/responserequired&gt;</v>
      </c>
      <c r="B17" s="29">
        <f ca="1">IFERROR(VLOOKUP(REQ_TEX_EN,'Formulario EN'!H43:J44,3,0),0)</f>
        <v>0</v>
      </c>
      <c r="C17" s="304"/>
    </row>
    <row r="18" spans="1:4" x14ac:dyDescent="0.25">
      <c r="A18" s="304" t="str">
        <f ca="1">"    &lt;responsefieldlines&gt;"&amp;B18&amp;"&lt;/responsefieldlines&gt;"</f>
        <v xml:space="preserve">    &lt;responsefieldlines&gt;&lt;/responsefieldlines&gt;</v>
      </c>
      <c r="B18" s="24" t="str">
        <f ca="1">TAMA_CAJA_EN</f>
        <v/>
      </c>
      <c r="C18" s="304"/>
    </row>
    <row r="19" spans="1:4" x14ac:dyDescent="0.25">
      <c r="A19" s="304" t="str">
        <f ca="1">"    &lt;attachments&gt;"&amp;B19&amp;"&lt;/attachments&gt;"</f>
        <v xml:space="preserve">    &lt;attachments&gt;1&lt;/attachments&gt;</v>
      </c>
      <c r="B19" s="22">
        <f ca="1">IFERROR(VLOOKUP(ARCH_PERM_EN,'Formulario EN'!H45:J49,3,0),1)</f>
        <v>1</v>
      </c>
      <c r="C19" s="304"/>
    </row>
    <row r="20" spans="1:4" x14ac:dyDescent="0.25">
      <c r="A20" s="304" t="str">
        <f ca="1">"    &lt;attachmentsrequired&gt;"&amp;B20&amp;"&lt;/attachmentsrequired&gt;"</f>
        <v xml:space="preserve">    &lt;attachmentsrequired&gt;1&lt;/attachmentsrequired&gt;</v>
      </c>
      <c r="B20" s="23">
        <f ca="1">IFERROR(VLOOKUP(ARCH_REQ_EN,'Formulario EN'!H50:J53,3,0),1)</f>
        <v>1</v>
      </c>
      <c r="C20" s="304"/>
    </row>
    <row r="21" spans="1:4" x14ac:dyDescent="0.25">
      <c r="A21" s="304" t="s">
        <v>1087</v>
      </c>
      <c r="C21" s="304"/>
    </row>
    <row r="22" spans="1:4" x14ac:dyDescent="0.25">
      <c r="A22" s="339" t="str">
        <f ca="1">"      &lt;text&gt;&lt;![CDATA["&amp;B22&amp;"]]&gt;&lt;/text&gt;"</f>
        <v xml:space="preserve">      &lt;text&gt;&lt;![CDATA[]]&gt;&lt;/text&gt;</v>
      </c>
      <c r="B22" s="23" t="str">
        <f ca="1">RETROAL_1_EN</f>
        <v/>
      </c>
      <c r="C22" s="545"/>
      <c r="D22" s="546"/>
    </row>
    <row r="23" spans="1:4" x14ac:dyDescent="0.25">
      <c r="A23" s="304" t="s">
        <v>1088</v>
      </c>
      <c r="B23" s="29"/>
      <c r="C23" s="304"/>
    </row>
    <row r="24" spans="1:4" x14ac:dyDescent="0.25">
      <c r="A24" s="304" t="s">
        <v>1089</v>
      </c>
      <c r="C24" s="304"/>
    </row>
    <row r="25" spans="1:4" x14ac:dyDescent="0.25">
      <c r="A25" s="306" t="str">
        <f ca="1">"      &lt;text&gt;&lt;![CDATA["&amp;B25&amp;"]]&gt;&lt;/text&gt;"</f>
        <v xml:space="preserve">      &lt;text&gt;&lt;![CDATA[]]&gt;&lt;/text&gt;</v>
      </c>
      <c r="B25" s="23" t="str">
        <f ca="1">PLANT_RESP_EN</f>
        <v/>
      </c>
      <c r="C25" s="304"/>
    </row>
    <row r="26" spans="1:4" x14ac:dyDescent="0.25">
      <c r="A26" s="304" t="s">
        <v>1090</v>
      </c>
      <c r="C26" s="304"/>
    </row>
    <row r="28" spans="1:4" x14ac:dyDescent="0.25">
      <c r="A28" s="304"/>
      <c r="B28" s="30"/>
    </row>
  </sheetData>
  <sheetProtection algorithmName="SHA-512" hashValue="r6P3YgUEvN+N8rIHLxKAp+wCGXPII10O7yTwGk4oYVliqJIZ9T21TpZLmqn4qV62jZhPiCdlSeEwvV08mw336g==" saltValue="ohahMg0tsQYDbLFlsnuGrQ==" spinCount="100000" sheet="1" objects="1" scenarios="1" selectLockedCells="1"/>
  <pageMargins left="0.7" right="0.7" top="0.75" bottom="0.75" header="0.3" footer="0.3"/>
</worksheet>
</file>

<file path=xl/worksheets/sheet2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Hoja_38"/>
  <dimension ref="A1:G28"/>
  <sheetViews>
    <sheetView showGridLines="0" showRowColHeaders="0" zoomScale="170" zoomScaleNormal="170" workbookViewId="0">
      <pane ySplit="2" topLeftCell="A3" activePane="bottomLeft" state="frozen"/>
      <selection activeCell="A4" sqref="A4:XFD105"/>
      <selection pane="bottomLeft"/>
    </sheetView>
  </sheetViews>
  <sheetFormatPr baseColWidth="10" defaultColWidth="0" defaultRowHeight="15" x14ac:dyDescent="0.25"/>
  <cols>
    <col min="1" max="1" width="93.85546875" style="306" customWidth="1"/>
    <col min="2" max="2" width="15.7109375" style="22" hidden="1" customWidth="1"/>
    <col min="3" max="3" width="40.7109375" style="306" hidden="1" customWidth="1"/>
    <col min="4" max="4" width="10.85546875" style="306" hidden="1" customWidth="1"/>
    <col min="5" max="6" width="11.42578125" style="304" hidden="1" customWidth="1"/>
    <col min="7" max="7" width="2.7109375" style="304" customWidth="1"/>
    <col min="8" max="16384" width="11.42578125" style="304" hidden="1"/>
  </cols>
  <sheetData>
    <row r="1" spans="1:6" x14ac:dyDescent="0.25">
      <c r="A1" s="306" t="str">
        <f>"&lt;!-- question: "&amp;PREGUNTA_ACTUAL&amp;"  --&gt;"</f>
        <v>&lt;!-- question: 1  --&gt;</v>
      </c>
      <c r="B1" s="24">
        <f ca="1">COUNTA(A1:A27)</f>
        <v>15</v>
      </c>
      <c r="C1" s="304" t="s">
        <v>1283</v>
      </c>
    </row>
    <row r="2" spans="1:6" x14ac:dyDescent="0.25">
      <c r="A2" s="309" t="s">
        <v>1205</v>
      </c>
      <c r="B2" s="23" t="s">
        <v>1206</v>
      </c>
      <c r="C2" s="304" t="str">
        <f>".clozeequalwidth"&amp;D2</f>
        <v>.clozeequalwidth1</v>
      </c>
      <c r="D2" s="304">
        <f>MAX(ANCHO_RC,1)</f>
        <v>1</v>
      </c>
    </row>
    <row r="3" spans="1:6" x14ac:dyDescent="0.25">
      <c r="A3" s="306" t="s">
        <v>27</v>
      </c>
      <c r="B3" s="306" t="s">
        <v>28</v>
      </c>
      <c r="C3" s="304" t="s">
        <v>1280</v>
      </c>
      <c r="D3" s="304"/>
    </row>
    <row r="4" spans="1:6" x14ac:dyDescent="0.25">
      <c r="A4" s="306" t="str">
        <f ca="1">"      &lt;text&gt;"&amp;B4&amp;"&lt;/text&gt;"</f>
        <v xml:space="preserve">      &lt;text&gt;&lt;/text&gt;</v>
      </c>
      <c r="B4" s="24" t="str">
        <f ca="1">NOMBRE_CL</f>
        <v/>
      </c>
      <c r="C4" s="304" t="str">
        <f>D2&amp;");
    });
&lt;/script&gt;"</f>
        <v>1);
    });
&lt;/script&gt;</v>
      </c>
    </row>
    <row r="5" spans="1:6" x14ac:dyDescent="0.25">
      <c r="A5" s="306" t="s">
        <v>29</v>
      </c>
      <c r="C5" s="306" t="str">
        <f>D5&amp;E5&amp;F5</f>
        <v>&lt;ol class="clozeequalwidth1"&gt;</v>
      </c>
      <c r="D5" s="304" t="s">
        <v>1281</v>
      </c>
      <c r="E5" s="306">
        <f>D2</f>
        <v>1</v>
      </c>
      <c r="F5" s="311" t="s">
        <v>1282</v>
      </c>
    </row>
    <row r="6" spans="1:6" x14ac:dyDescent="0.25">
      <c r="A6" s="306" t="s">
        <v>30</v>
      </c>
      <c r="B6" s="22" t="s">
        <v>24</v>
      </c>
    </row>
    <row r="7" spans="1:6" x14ac:dyDescent="0.25">
      <c r="A7" s="537" t="str">
        <f ca="1">"      &lt;text&gt;&lt;![CDATA["&amp;C7&amp;B7&amp;"&lt;/ol&gt;]]&gt;&lt;/text&gt;"</f>
        <v xml:space="preserve">      &lt;text&gt;&lt;![CDATA[&lt;script src="https://ajax.googleapis.com/ajax/libs/jquery/3.4.1/jquery.min.js"&gt;&lt;/script&gt;
&lt;script&gt;
    $(document).ready(function() {
        $(".clozeequalwidth1 .form-control.mb-1").attr('size',1);
    });
&lt;/script&gt;&lt;ol class="clozeequalwidth1"&gt;&lt;p style="text-align: center;"&gt;&lt;/ol&gt;]]&gt;&lt;/text&gt;</v>
      </c>
      <c r="B7" s="29" t="str">
        <f ca="1">IF(Centrar_Tabla_CL=TRUE,B8,"")&amp;IMG_CL&amp;IF(IMG_CL="","","&lt;/p&gt;")&amp;ENUNCIADO_CL</f>
        <v>&lt;p style="text-align: center;"&gt;</v>
      </c>
      <c r="C7" s="306" t="str">
        <f>C1&amp;C2&amp;C3&amp;C4&amp;
C5</f>
        <v>&lt;script src="https://ajax.googleapis.com/ajax/libs/jquery/3.4.1/jquery.min.js"&gt;&lt;/script&gt;
&lt;script&gt;
    $(document).ready(function() {
        $(".clozeequalwidth1 .form-control.mb-1").attr('size',1);
    });
&lt;/script&gt;&lt;ol class="clozeequalwidth1"&gt;</v>
      </c>
    </row>
    <row r="8" spans="1:6" x14ac:dyDescent="0.25">
      <c r="A8" s="306" t="s">
        <v>31</v>
      </c>
      <c r="B8" s="22" t="str">
        <f>'XML OM'!B8</f>
        <v>&lt;p style="text-align: center;"&gt;</v>
      </c>
    </row>
    <row r="9" spans="1:6" x14ac:dyDescent="0.25">
      <c r="A9" s="306" t="s">
        <v>32</v>
      </c>
      <c r="B9" s="38" t="s">
        <v>70</v>
      </c>
    </row>
    <row r="10" spans="1:6" x14ac:dyDescent="0.25">
      <c r="A10" s="306" t="str">
        <f>"      &lt;text&gt;&lt;![CDATA[&lt;p&gt;"&amp;B10&amp;"&lt;/p&gt;]]&gt;&lt;/text&gt;"</f>
        <v xml:space="preserve">      &lt;text&gt;&lt;![CDATA[&lt;p&gt;0&lt;/p&gt;]]&gt;&lt;/text&gt;</v>
      </c>
      <c r="B10" s="24">
        <f>Retroalim_GENERAL</f>
        <v>0</v>
      </c>
    </row>
    <row r="11" spans="1:6" x14ac:dyDescent="0.25">
      <c r="A11" s="306" t="s">
        <v>34</v>
      </c>
    </row>
    <row r="12" spans="1:6" x14ac:dyDescent="0.25">
      <c r="A12" s="306" t="str">
        <f>"    &lt;defaultgrade&gt;"&amp;B12&amp;"&lt;/defaultgrade&gt;"</f>
        <v xml:space="preserve">    &lt;defaultgrade&gt;1&lt;/defaultgrade&gt;</v>
      </c>
      <c r="B12" s="26">
        <f>PUNTUACION</f>
        <v>1</v>
      </c>
      <c r="C12" s="306" t="s">
        <v>35</v>
      </c>
    </row>
    <row r="13" spans="1:6" x14ac:dyDescent="0.25">
      <c r="A13" s="306" t="str">
        <f>"    &lt;penalty&gt;"&amp;REPLACE(B13,2,1,".")&amp;"&lt;/penalty&gt;"</f>
        <v xml:space="preserve">    &lt;penalty&gt;0.333333333333333&lt;/penalty&gt;</v>
      </c>
      <c r="B13" s="26">
        <f>PENALIZACION</f>
        <v>0.33333333333333331</v>
      </c>
      <c r="C13" s="306" t="s">
        <v>36</v>
      </c>
    </row>
    <row r="14" spans="1:6" x14ac:dyDescent="0.25">
      <c r="A14" s="306" t="str">
        <f>"    &lt;hidden&gt;"&amp;B14&amp;"&lt;/hidden&gt;"</f>
        <v xml:space="preserve">    &lt;hidden&gt;0&lt;/hidden&gt;</v>
      </c>
      <c r="B14" s="24">
        <f>Oculto</f>
        <v>0</v>
      </c>
      <c r="C14" s="306" t="s">
        <v>37</v>
      </c>
    </row>
    <row r="15" spans="1:6" x14ac:dyDescent="0.25">
      <c r="A15" s="306" t="str">
        <f>"    &lt;idnumber&gt;"&amp;B15&amp;"&lt;/idnumber&gt;"</f>
        <v xml:space="preserve">    &lt;idnumber&gt;&lt;/idnumber&gt;</v>
      </c>
      <c r="B15" s="22" t="str">
        <f>IF(CONTRASEN_A="","",A15)</f>
        <v/>
      </c>
      <c r="C15" s="306" t="s">
        <v>38</v>
      </c>
    </row>
    <row r="16" spans="1:6" x14ac:dyDescent="0.25">
      <c r="B16" s="28"/>
    </row>
    <row r="17" spans="1:2" x14ac:dyDescent="0.25">
      <c r="B17" s="29"/>
    </row>
    <row r="18" spans="1:2" x14ac:dyDescent="0.25">
      <c r="B18" s="24"/>
    </row>
    <row r="19" spans="1:2" x14ac:dyDescent="0.25">
      <c r="B19" s="23"/>
    </row>
    <row r="20" spans="1:2" x14ac:dyDescent="0.25">
      <c r="B20" s="23"/>
    </row>
    <row r="22" spans="1:2" x14ac:dyDescent="0.25">
      <c r="B22" s="28"/>
    </row>
    <row r="23" spans="1:2" x14ac:dyDescent="0.25">
      <c r="B23" s="29"/>
    </row>
    <row r="25" spans="1:2" x14ac:dyDescent="0.25">
      <c r="B25" s="23"/>
    </row>
    <row r="28" spans="1:2" x14ac:dyDescent="0.25">
      <c r="A28" s="304"/>
      <c r="B28" s="30"/>
    </row>
  </sheetData>
  <sheetProtection algorithmName="SHA-512" hashValue="qiQUw98qlBFKnGv0wP+ZE6SR3vguPMO5TWrfUE7ogcEDew2L9C/ksQCOPTj4bjqg/Rgtigv1U7R7AIDgtz/1nw==" saltValue="VOii5ftgfj3vzKSyQQPzVg==" spinCount="100000" sheet="1" objects="1" scenarios="1" selectLockedCells="1"/>
  <pageMargins left="0.7" right="0.7" top="0.75" bottom="0.75" header="0.3" footer="0.3"/>
</worksheet>
</file>

<file path=xl/worksheets/sheet2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Hoja_30"/>
  <dimension ref="A1:I4002"/>
  <sheetViews>
    <sheetView showGridLines="0" showRowColHeaders="0" zoomScale="140" zoomScaleNormal="140" workbookViewId="0">
      <pane ySplit="11" topLeftCell="A18" activePane="bottomLeft" state="frozen"/>
      <selection activeCell="A4" sqref="A4:XFD105"/>
      <selection pane="bottomLeft" sqref="A1:A1048576"/>
    </sheetView>
  </sheetViews>
  <sheetFormatPr baseColWidth="10" defaultColWidth="0" defaultRowHeight="15" x14ac:dyDescent="0.25"/>
  <cols>
    <col min="1" max="1" width="60.7109375" style="304" customWidth="1"/>
    <col min="2" max="2" width="45.7109375" style="304" customWidth="1"/>
    <col min="3" max="3" width="5.140625" style="304" customWidth="1"/>
    <col min="4" max="5" width="10.42578125" style="304" customWidth="1"/>
    <col min="6" max="6" width="5.42578125" style="304" customWidth="1"/>
    <col min="7" max="7" width="9.140625" style="304" customWidth="1"/>
    <col min="8" max="8" width="11.42578125" style="304" customWidth="1"/>
    <col min="9" max="9" width="2.7109375" style="304" customWidth="1"/>
    <col min="10" max="16384" width="11.42578125" style="304" hidden="1"/>
  </cols>
  <sheetData>
    <row r="1" spans="1:8" ht="15.75" thickBot="1" x14ac:dyDescent="0.3">
      <c r="B1" s="35">
        <f>COUNTA(A:A)+1</f>
        <v>1</v>
      </c>
      <c r="C1" s="529">
        <f>COUNTA(C2:C11)</f>
        <v>8</v>
      </c>
      <c r="D1" s="531" t="s">
        <v>18265</v>
      </c>
      <c r="E1" s="531"/>
      <c r="F1" s="536" t="s">
        <v>18272</v>
      </c>
      <c r="G1" s="35"/>
    </row>
    <row r="2" spans="1:8" x14ac:dyDescent="0.25">
      <c r="B2" s="525" t="s">
        <v>54</v>
      </c>
      <c r="C2" s="538" t="s">
        <v>18691</v>
      </c>
      <c r="D2" s="539" t="s">
        <v>18252</v>
      </c>
      <c r="E2" s="540" t="str">
        <f>FIN_1_1</f>
        <v>&lt;sup&gt;</v>
      </c>
      <c r="F2" s="538" t="s">
        <v>18693</v>
      </c>
      <c r="G2" s="539" t="s">
        <v>18259</v>
      </c>
      <c r="H2" s="539" t="str">
        <f>FIN_1_2</f>
        <v>&lt;/sup&gt;</v>
      </c>
    </row>
    <row r="3" spans="1:8" x14ac:dyDescent="0.25">
      <c r="B3" s="526" t="s">
        <v>55</v>
      </c>
      <c r="C3" s="524" t="s">
        <v>18692</v>
      </c>
      <c r="D3" s="532" t="s">
        <v>18253</v>
      </c>
      <c r="E3" s="528" t="str">
        <f>FIN_2_1</f>
        <v>&lt;sub&gt;</v>
      </c>
      <c r="F3" s="524" t="s">
        <v>18694</v>
      </c>
      <c r="G3" s="532" t="s">
        <v>18260</v>
      </c>
      <c r="H3" s="532" t="str">
        <f>FIN_2_2</f>
        <v>&lt;/sub&gt;</v>
      </c>
    </row>
    <row r="4" spans="1:8" x14ac:dyDescent="0.25">
      <c r="B4" s="526" t="s">
        <v>56</v>
      </c>
      <c r="C4" s="524" t="s">
        <v>18247</v>
      </c>
      <c r="D4" s="532" t="s">
        <v>18542</v>
      </c>
      <c r="E4" s="528" t="str">
        <f>FIN_3_1</f>
        <v>&lt;strong&gt;</v>
      </c>
      <c r="F4" s="524" t="s">
        <v>18254</v>
      </c>
      <c r="G4" s="532" t="s">
        <v>18543</v>
      </c>
      <c r="H4" s="532" t="str">
        <f>FIN_3_2</f>
        <v>&lt;/strong&gt;</v>
      </c>
    </row>
    <row r="5" spans="1:8" x14ac:dyDescent="0.25">
      <c r="B5" s="526" t="s">
        <v>57</v>
      </c>
      <c r="C5" s="524" t="s">
        <v>18249</v>
      </c>
      <c r="D5" s="532" t="s">
        <v>18264</v>
      </c>
      <c r="E5" s="528" t="s">
        <v>117</v>
      </c>
      <c r="F5" s="524" t="s">
        <v>18256</v>
      </c>
      <c r="G5" s="532" t="s">
        <v>18261</v>
      </c>
      <c r="H5" s="532" t="s">
        <v>117</v>
      </c>
    </row>
    <row r="6" spans="1:8" x14ac:dyDescent="0.25">
      <c r="A6" s="310"/>
      <c r="B6" s="527" t="str">
        <f>"      &lt;text&gt;$course$/top/"&amp;Tit_Categ&amp;IF(Tit_Subcat=FALSE,"","/"&amp;Tit_Subcat)&amp;"&lt;/text&gt;"</f>
        <v xml:space="preserve">      &lt;text&gt;$course$/top/&lt;/text&gt;</v>
      </c>
      <c r="C6" s="524" t="s">
        <v>18248</v>
      </c>
      <c r="D6" s="532" t="s">
        <v>18262</v>
      </c>
      <c r="E6" s="528" t="s">
        <v>117</v>
      </c>
      <c r="F6" s="524" t="s">
        <v>18257</v>
      </c>
      <c r="G6" s="532" t="s">
        <v>18261</v>
      </c>
      <c r="H6" s="532" t="s">
        <v>117</v>
      </c>
    </row>
    <row r="7" spans="1:8" x14ac:dyDescent="0.25">
      <c r="A7" s="310"/>
      <c r="B7" s="526" t="s">
        <v>58</v>
      </c>
      <c r="C7" s="524" t="s">
        <v>18251</v>
      </c>
      <c r="D7" s="532" t="s">
        <v>18263</v>
      </c>
      <c r="E7" s="528" t="s">
        <v>117</v>
      </c>
      <c r="F7" s="524" t="s">
        <v>18255</v>
      </c>
      <c r="G7" s="532" t="s">
        <v>18261</v>
      </c>
      <c r="H7" s="532" t="s">
        <v>117</v>
      </c>
    </row>
    <row r="8" spans="1:8" x14ac:dyDescent="0.25">
      <c r="A8" s="310"/>
      <c r="B8" s="526" t="s">
        <v>59</v>
      </c>
      <c r="C8" s="524" t="s">
        <v>18250</v>
      </c>
      <c r="D8" s="532" t="str">
        <f>"&lt;span style="&amp;CHAR(34)&amp;"color: #"&amp;CODIGO_COLOR&amp; ";" &amp; CHAR(34) &amp; "&gt;"</f>
        <v>&lt;span style="color: #123456;"&gt;</v>
      </c>
      <c r="E8" s="528" t="s">
        <v>117</v>
      </c>
      <c r="F8" s="524" t="s">
        <v>18258</v>
      </c>
      <c r="G8" s="532" t="s">
        <v>18261</v>
      </c>
      <c r="H8" s="532" t="s">
        <v>117</v>
      </c>
    </row>
    <row r="9" spans="1:8" x14ac:dyDescent="0.25">
      <c r="A9" s="310"/>
      <c r="B9" s="526" t="str">
        <f>"      &lt;text&gt;&lt;![CDATA[&lt;p&gt;"&amp;Des_Categ&amp;IF(Des_Subcat="FALSO","",", "&amp;Des_Subcat)&amp;"&lt;/p&gt;]]&gt;&lt;/text&gt;"</f>
        <v xml:space="preserve">      &lt;text&gt;&lt;![CDATA[&lt;p&gt;, &lt;/p&gt;]]&gt;&lt;/text&gt;</v>
      </c>
      <c r="C9" s="524" t="s">
        <v>18266</v>
      </c>
      <c r="D9" s="532" t="str">
        <f ca="1">IF(INDIRECT("Centrar_Tabla_"&amp;Tipo_Cuestionario_Cod)=TRUE,"&lt;td style="&amp;CHAR(34)&amp;"text-align: center;"&amp;CHAR(34)&amp;"&gt;",C9)</f>
        <v>&lt;td style="text-align: center;"&gt;</v>
      </c>
      <c r="E9" s="528" t="s">
        <v>117</v>
      </c>
      <c r="F9" s="524" t="s">
        <v>18267</v>
      </c>
      <c r="G9" s="532" t="s">
        <v>18267</v>
      </c>
      <c r="H9" s="532" t="s">
        <v>117</v>
      </c>
    </row>
    <row r="10" spans="1:8" x14ac:dyDescent="0.25">
      <c r="A10" s="310"/>
      <c r="B10" s="526" t="s">
        <v>60</v>
      </c>
      <c r="C10" s="524"/>
      <c r="D10" s="532"/>
      <c r="E10" s="528"/>
      <c r="F10" s="524"/>
      <c r="G10" s="532"/>
      <c r="H10" s="532"/>
    </row>
    <row r="11" spans="1:8" ht="15.75" thickBot="1" x14ac:dyDescent="0.3">
      <c r="A11" s="310"/>
      <c r="B11" s="530" t="s">
        <v>61</v>
      </c>
      <c r="C11" s="541"/>
      <c r="D11" s="542"/>
      <c r="E11" s="543"/>
      <c r="F11" s="541"/>
      <c r="G11" s="542"/>
      <c r="H11" s="542"/>
    </row>
    <row r="12" spans="1:8" x14ac:dyDescent="0.25">
      <c r="D12" s="507"/>
      <c r="E12" s="507"/>
      <c r="F12" s="507"/>
      <c r="G12" s="507"/>
    </row>
    <row r="15" spans="1:8" x14ac:dyDescent="0.25">
      <c r="A15" s="564"/>
    </row>
    <row r="18" spans="1:1" x14ac:dyDescent="0.25">
      <c r="A18" s="564"/>
    </row>
    <row r="28" spans="1:1" x14ac:dyDescent="0.25">
      <c r="A28" s="564"/>
    </row>
    <row r="31" spans="1:1" x14ac:dyDescent="0.25">
      <c r="A31" s="564"/>
    </row>
    <row r="34" spans="1:1" x14ac:dyDescent="0.25">
      <c r="A34" s="564"/>
    </row>
    <row r="37" spans="1:1" x14ac:dyDescent="0.25">
      <c r="A37" s="564"/>
    </row>
    <row r="40" spans="1:1" x14ac:dyDescent="0.25">
      <c r="A40" s="564"/>
    </row>
    <row r="43" spans="1:1" x14ac:dyDescent="0.25">
      <c r="A43" s="564"/>
    </row>
    <row r="50" spans="1:1" x14ac:dyDescent="0.25">
      <c r="A50" s="564"/>
    </row>
    <row r="56" spans="1:1" x14ac:dyDescent="0.25">
      <c r="A56" s="564"/>
    </row>
    <row r="59" spans="1:1" x14ac:dyDescent="0.25">
      <c r="A59" s="564"/>
    </row>
    <row r="62" spans="1:1" x14ac:dyDescent="0.25">
      <c r="A62" s="564"/>
    </row>
    <row r="66" spans="1:1" x14ac:dyDescent="0.25">
      <c r="A66" s="564"/>
    </row>
    <row r="68" spans="1:1" x14ac:dyDescent="0.25">
      <c r="A68" s="564"/>
    </row>
    <row r="75" spans="1:1" x14ac:dyDescent="0.25">
      <c r="A75" s="564"/>
    </row>
    <row r="81" spans="1:1" x14ac:dyDescent="0.25">
      <c r="A81" s="564"/>
    </row>
    <row r="82" spans="1:1" x14ac:dyDescent="0.25">
      <c r="A82" s="564"/>
    </row>
    <row r="84" spans="1:1" x14ac:dyDescent="0.25">
      <c r="A84" s="564"/>
    </row>
    <row r="93" spans="1:1" x14ac:dyDescent="0.25">
      <c r="A93" s="564"/>
    </row>
    <row r="94" spans="1:1" x14ac:dyDescent="0.25">
      <c r="A94" s="564"/>
    </row>
    <row r="98" spans="1:1" x14ac:dyDescent="0.25">
      <c r="A98" s="564"/>
    </row>
    <row r="106" spans="1:1" x14ac:dyDescent="0.25">
      <c r="A106" s="564"/>
    </row>
    <row r="109" spans="1:1" x14ac:dyDescent="0.25">
      <c r="A109" s="564"/>
    </row>
    <row r="112" spans="1:1" x14ac:dyDescent="0.25">
      <c r="A112" s="564"/>
    </row>
    <row r="113" spans="1:1" x14ac:dyDescent="0.25">
      <c r="A113" s="564"/>
    </row>
    <row r="114" spans="1:1" x14ac:dyDescent="0.25">
      <c r="A114" s="564"/>
    </row>
    <row r="118" spans="1:1" x14ac:dyDescent="0.25">
      <c r="A118" s="564"/>
    </row>
    <row r="124" spans="1:1" x14ac:dyDescent="0.25">
      <c r="A124" s="564"/>
    </row>
    <row r="130" spans="1:1" x14ac:dyDescent="0.25">
      <c r="A130" s="564"/>
    </row>
    <row r="131" spans="1:1" x14ac:dyDescent="0.25">
      <c r="A131" s="564"/>
    </row>
    <row r="132" spans="1:1" x14ac:dyDescent="0.25">
      <c r="A132" s="564"/>
    </row>
    <row r="134" spans="1:1" x14ac:dyDescent="0.25">
      <c r="A134" s="564"/>
    </row>
    <row r="136" spans="1:1" x14ac:dyDescent="0.25">
      <c r="A136" s="564"/>
    </row>
    <row r="143" spans="1:1" x14ac:dyDescent="0.25">
      <c r="A143" s="564"/>
    </row>
    <row r="146" spans="1:1" x14ac:dyDescent="0.25">
      <c r="A146" s="564"/>
    </row>
    <row r="151" spans="1:1" x14ac:dyDescent="0.25">
      <c r="A151" s="564"/>
    </row>
    <row r="156" spans="1:1" x14ac:dyDescent="0.25">
      <c r="A156" s="564"/>
    </row>
    <row r="159" spans="1:1" x14ac:dyDescent="0.25">
      <c r="A159" s="564"/>
    </row>
    <row r="162" spans="1:1" x14ac:dyDescent="0.25">
      <c r="A162" s="564"/>
    </row>
    <row r="168" spans="1:1" x14ac:dyDescent="0.25">
      <c r="A168" s="564"/>
    </row>
    <row r="170" spans="1:1" x14ac:dyDescent="0.25">
      <c r="A170" s="564"/>
    </row>
    <row r="178" spans="1:1" x14ac:dyDescent="0.25">
      <c r="A178" s="564"/>
    </row>
    <row r="181" spans="1:1" x14ac:dyDescent="0.25">
      <c r="A181" s="564"/>
    </row>
    <row r="184" spans="1:1" x14ac:dyDescent="0.25">
      <c r="A184" s="564"/>
    </row>
    <row r="189" spans="1:1" x14ac:dyDescent="0.25">
      <c r="A189" s="564"/>
    </row>
    <row r="193" spans="1:1" x14ac:dyDescent="0.25">
      <c r="A193" s="564"/>
    </row>
    <row r="194" spans="1:1" x14ac:dyDescent="0.25">
      <c r="A194" s="564"/>
    </row>
    <row r="206" spans="1:1" x14ac:dyDescent="0.25">
      <c r="A206" s="564"/>
    </row>
    <row r="208" spans="1:1" x14ac:dyDescent="0.25">
      <c r="A208" s="564"/>
    </row>
    <row r="209" spans="1:1" x14ac:dyDescent="0.25">
      <c r="A209" s="564"/>
    </row>
    <row r="210" spans="1:1" x14ac:dyDescent="0.25">
      <c r="A210" s="564"/>
    </row>
    <row r="218" spans="1:1" x14ac:dyDescent="0.25">
      <c r="A218" s="564"/>
    </row>
    <row r="226" spans="1:1" x14ac:dyDescent="0.25">
      <c r="A226" s="564"/>
    </row>
    <row r="227" spans="1:1" x14ac:dyDescent="0.25">
      <c r="A227" s="564"/>
    </row>
    <row r="231" spans="1:1" x14ac:dyDescent="0.25">
      <c r="A231" s="564"/>
    </row>
    <row r="234" spans="1:1" x14ac:dyDescent="0.25">
      <c r="A234" s="564"/>
    </row>
    <row r="242" spans="1:1" x14ac:dyDescent="0.25">
      <c r="A242" s="564"/>
    </row>
    <row r="243" spans="1:1" x14ac:dyDescent="0.25">
      <c r="A243" s="564"/>
    </row>
    <row r="246" spans="1:1" x14ac:dyDescent="0.25">
      <c r="A246" s="564"/>
    </row>
    <row r="256" spans="1:1" x14ac:dyDescent="0.25">
      <c r="A256" s="564"/>
    </row>
    <row r="258" spans="1:1" x14ac:dyDescent="0.25">
      <c r="A258" s="564"/>
    </row>
    <row r="259" spans="1:1" x14ac:dyDescent="0.25">
      <c r="A259" s="564"/>
    </row>
    <row r="265" spans="1:1" x14ac:dyDescent="0.25">
      <c r="A265" s="564"/>
    </row>
    <row r="268" spans="1:1" x14ac:dyDescent="0.25">
      <c r="A268" s="564"/>
    </row>
    <row r="274" spans="1:1" x14ac:dyDescent="0.25">
      <c r="A274" s="564"/>
    </row>
    <row r="281" spans="1:1" x14ac:dyDescent="0.25">
      <c r="A281" s="564"/>
    </row>
    <row r="284" spans="1:1" x14ac:dyDescent="0.25">
      <c r="A284" s="564"/>
    </row>
    <row r="290" spans="1:1" x14ac:dyDescent="0.25">
      <c r="A290" s="564"/>
    </row>
    <row r="293" spans="1:1" x14ac:dyDescent="0.25">
      <c r="A293" s="564"/>
    </row>
    <row r="303" spans="1:1" x14ac:dyDescent="0.25">
      <c r="A303" s="564"/>
    </row>
    <row r="306" spans="1:1" x14ac:dyDescent="0.25">
      <c r="A306" s="564"/>
    </row>
    <row r="309" spans="1:1" x14ac:dyDescent="0.25">
      <c r="A309" s="564"/>
    </row>
    <row r="318" spans="1:1" x14ac:dyDescent="0.25">
      <c r="A318" s="564"/>
    </row>
    <row r="322" spans="1:1" x14ac:dyDescent="0.25">
      <c r="A322" s="564"/>
    </row>
    <row r="331" spans="1:1" x14ac:dyDescent="0.25">
      <c r="A331" s="564"/>
    </row>
    <row r="334" spans="1:1" x14ac:dyDescent="0.25">
      <c r="A334" s="564"/>
    </row>
    <row r="341" spans="1:1" x14ac:dyDescent="0.25">
      <c r="A341" s="564"/>
    </row>
    <row r="343" spans="1:1" x14ac:dyDescent="0.25">
      <c r="A343" s="564"/>
    </row>
    <row r="356" spans="1:1" x14ac:dyDescent="0.25">
      <c r="A356" s="564"/>
    </row>
    <row r="359" spans="1:1" x14ac:dyDescent="0.25">
      <c r="A359" s="564"/>
    </row>
    <row r="360" spans="1:1" x14ac:dyDescent="0.25">
      <c r="A360" s="564"/>
    </row>
    <row r="368" spans="1:1" x14ac:dyDescent="0.25">
      <c r="A368" s="564"/>
    </row>
    <row r="379" spans="1:1" x14ac:dyDescent="0.25">
      <c r="A379" s="564"/>
    </row>
    <row r="381" spans="1:1" x14ac:dyDescent="0.25">
      <c r="A381" s="564"/>
    </row>
    <row r="384" spans="1:1" x14ac:dyDescent="0.25">
      <c r="A384" s="564"/>
    </row>
    <row r="393" spans="1:1" x14ac:dyDescent="0.25">
      <c r="A393" s="564"/>
    </row>
    <row r="398" spans="1:1" x14ac:dyDescent="0.25">
      <c r="A398" s="564"/>
    </row>
    <row r="406" spans="1:1" x14ac:dyDescent="0.25">
      <c r="A406" s="564"/>
    </row>
    <row r="409" spans="1:1" x14ac:dyDescent="0.25">
      <c r="A409" s="564"/>
    </row>
    <row r="417" spans="1:1" x14ac:dyDescent="0.25">
      <c r="A417" s="564"/>
    </row>
    <row r="418" spans="1:1" x14ac:dyDescent="0.25">
      <c r="A418" s="564"/>
    </row>
    <row r="431" spans="1:1" x14ac:dyDescent="0.25">
      <c r="A431" s="564"/>
    </row>
    <row r="434" spans="1:1" x14ac:dyDescent="0.25">
      <c r="A434" s="564"/>
    </row>
    <row r="436" spans="1:1" x14ac:dyDescent="0.25">
      <c r="A436" s="564"/>
    </row>
    <row r="443" spans="1:1" x14ac:dyDescent="0.25">
      <c r="A443" s="564"/>
    </row>
    <row r="455" spans="1:1" x14ac:dyDescent="0.25">
      <c r="A455" s="564"/>
    </row>
    <row r="456" spans="1:1" x14ac:dyDescent="0.25">
      <c r="A456" s="564"/>
    </row>
    <row r="459" spans="1:1" x14ac:dyDescent="0.25">
      <c r="A459" s="564"/>
    </row>
    <row r="468" spans="1:1" x14ac:dyDescent="0.25">
      <c r="A468" s="564"/>
    </row>
    <row r="474" spans="1:1" x14ac:dyDescent="0.25">
      <c r="A474" s="564"/>
    </row>
    <row r="481" spans="1:1" x14ac:dyDescent="0.25">
      <c r="A481" s="564"/>
    </row>
    <row r="484" spans="1:1" x14ac:dyDescent="0.25">
      <c r="A484" s="564"/>
    </row>
    <row r="493" spans="1:1" x14ac:dyDescent="0.25">
      <c r="A493" s="564"/>
    </row>
    <row r="506" spans="1:1" x14ac:dyDescent="0.25">
      <c r="A506" s="564"/>
    </row>
    <row r="509" spans="1:1" x14ac:dyDescent="0.25">
      <c r="A509" s="564"/>
    </row>
    <row r="512" spans="1:1" x14ac:dyDescent="0.25">
      <c r="A512" s="564"/>
    </row>
    <row r="518" spans="1:1" x14ac:dyDescent="0.25">
      <c r="A518" s="564"/>
    </row>
    <row r="531" spans="1:1" x14ac:dyDescent="0.25">
      <c r="A531" s="564"/>
    </row>
    <row r="534" spans="1:1" x14ac:dyDescent="0.25">
      <c r="A534" s="564"/>
    </row>
    <row r="539" spans="1:1" x14ac:dyDescent="0.25">
      <c r="A539" s="564"/>
    </row>
    <row r="543" spans="1:1" x14ac:dyDescent="0.25">
      <c r="A543" s="564"/>
    </row>
    <row r="545" spans="1:1" x14ac:dyDescent="0.25">
      <c r="A545" s="564"/>
    </row>
    <row r="550" spans="1:1" x14ac:dyDescent="0.25">
      <c r="A550" s="564"/>
    </row>
    <row r="551" spans="1:1" x14ac:dyDescent="0.25">
      <c r="A551" s="564"/>
    </row>
    <row r="556" spans="1:1" x14ac:dyDescent="0.25">
      <c r="A556" s="564"/>
    </row>
    <row r="557" spans="1:1" x14ac:dyDescent="0.25">
      <c r="A557" s="564"/>
    </row>
    <row r="559" spans="1:1" x14ac:dyDescent="0.25">
      <c r="A559" s="564"/>
    </row>
    <row r="568" spans="1:1" x14ac:dyDescent="0.25">
      <c r="A568" s="564"/>
    </row>
    <row r="569" spans="1:1" x14ac:dyDescent="0.25">
      <c r="A569" s="564"/>
    </row>
    <row r="581" spans="1:1" x14ac:dyDescent="0.25">
      <c r="A581" s="564"/>
    </row>
    <row r="584" spans="1:1" x14ac:dyDescent="0.25">
      <c r="A584" s="564"/>
    </row>
    <row r="593" spans="1:1" x14ac:dyDescent="0.25">
      <c r="A593" s="564"/>
    </row>
    <row r="606" spans="1:1" x14ac:dyDescent="0.25">
      <c r="A606" s="564"/>
    </row>
    <row r="609" spans="1:1" x14ac:dyDescent="0.25">
      <c r="A609" s="564"/>
    </row>
    <row r="618" spans="1:1" x14ac:dyDescent="0.25">
      <c r="A618" s="564"/>
    </row>
    <row r="631" spans="1:1" x14ac:dyDescent="0.25">
      <c r="A631" s="564"/>
    </row>
    <row r="634" spans="1:1" x14ac:dyDescent="0.25">
      <c r="A634" s="564"/>
    </row>
    <row r="643" spans="1:1" x14ac:dyDescent="0.25">
      <c r="A643" s="564"/>
    </row>
    <row r="656" spans="1:1" x14ac:dyDescent="0.25">
      <c r="A656" s="564"/>
    </row>
    <row r="659" spans="1:1" x14ac:dyDescent="0.25">
      <c r="A659" s="564"/>
    </row>
    <row r="668" spans="1:1" x14ac:dyDescent="0.25">
      <c r="A668" s="564"/>
    </row>
    <row r="681" spans="1:1" x14ac:dyDescent="0.25">
      <c r="A681" s="564"/>
    </row>
    <row r="684" spans="1:1" x14ac:dyDescent="0.25">
      <c r="A684" s="564"/>
    </row>
    <row r="693" spans="1:1" x14ac:dyDescent="0.25">
      <c r="A693" s="564"/>
    </row>
    <row r="706" spans="1:1" x14ac:dyDescent="0.25">
      <c r="A706" s="564"/>
    </row>
    <row r="709" spans="1:1" x14ac:dyDescent="0.25">
      <c r="A709" s="564"/>
    </row>
    <row r="718" spans="1:1" x14ac:dyDescent="0.25">
      <c r="A718" s="564"/>
    </row>
    <row r="731" spans="1:1" x14ac:dyDescent="0.25">
      <c r="A731" s="564"/>
    </row>
    <row r="734" spans="1:1" x14ac:dyDescent="0.25">
      <c r="A734" s="564"/>
    </row>
    <row r="743" spans="1:1" x14ac:dyDescent="0.25">
      <c r="A743" s="564"/>
    </row>
    <row r="756" spans="1:1" x14ac:dyDescent="0.25">
      <c r="A756" s="564"/>
    </row>
    <row r="759" spans="1:1" x14ac:dyDescent="0.25">
      <c r="A759" s="564"/>
    </row>
    <row r="1791" spans="1:1" x14ac:dyDescent="0.25">
      <c r="A1791" s="564"/>
    </row>
    <row r="1807" spans="1:1" x14ac:dyDescent="0.25">
      <c r="A1807" s="564"/>
    </row>
    <row r="1823" spans="1:1" x14ac:dyDescent="0.25">
      <c r="A1823" s="564"/>
    </row>
    <row r="1839" spans="1:1" x14ac:dyDescent="0.25">
      <c r="A1839" s="564"/>
    </row>
    <row r="1855" spans="1:1" x14ac:dyDescent="0.25">
      <c r="A1855" s="564"/>
    </row>
    <row r="2131" spans="1:1" x14ac:dyDescent="0.25">
      <c r="A2131" s="564"/>
    </row>
    <row r="2150" spans="1:1" x14ac:dyDescent="0.25">
      <c r="A2150" s="564"/>
    </row>
    <row r="2169" spans="1:1" x14ac:dyDescent="0.25">
      <c r="A2169" s="564"/>
    </row>
    <row r="2188" spans="1:1" x14ac:dyDescent="0.25">
      <c r="A2188" s="564"/>
    </row>
    <row r="2207" spans="1:1" x14ac:dyDescent="0.25">
      <c r="A2207" s="564"/>
    </row>
    <row r="2226" spans="1:1" x14ac:dyDescent="0.25">
      <c r="A2226" s="564"/>
    </row>
    <row r="2245" spans="1:1" x14ac:dyDescent="0.25">
      <c r="A2245" s="564"/>
    </row>
    <row r="2264" spans="1:1" x14ac:dyDescent="0.25">
      <c r="A2264" s="564"/>
    </row>
    <row r="2283" spans="1:1" x14ac:dyDescent="0.25">
      <c r="A2283" s="564"/>
    </row>
    <row r="2302" spans="1:1" x14ac:dyDescent="0.25">
      <c r="A2302" s="564"/>
    </row>
    <row r="2321" spans="1:1" x14ac:dyDescent="0.25">
      <c r="A2321" s="564"/>
    </row>
    <row r="2340" spans="1:1" x14ac:dyDescent="0.25">
      <c r="A2340" s="564"/>
    </row>
    <row r="2359" spans="1:1" x14ac:dyDescent="0.25">
      <c r="A2359" s="564"/>
    </row>
    <row r="2378" spans="1:1" x14ac:dyDescent="0.25">
      <c r="A2378" s="564"/>
    </row>
    <row r="2397" spans="1:1" x14ac:dyDescent="0.25">
      <c r="A2397" s="564"/>
    </row>
    <row r="2416" spans="1:1" x14ac:dyDescent="0.25">
      <c r="A2416" s="564"/>
    </row>
    <row r="2435" spans="1:1" x14ac:dyDescent="0.25">
      <c r="A2435" s="564"/>
    </row>
    <row r="2454" spans="1:1" x14ac:dyDescent="0.25">
      <c r="A2454" s="564"/>
    </row>
    <row r="2473" spans="1:1" x14ac:dyDescent="0.25">
      <c r="A2473" s="564"/>
    </row>
    <row r="2492" spans="1:1" x14ac:dyDescent="0.25">
      <c r="A2492" s="564"/>
    </row>
    <row r="2511" spans="1:1" x14ac:dyDescent="0.25">
      <c r="A2511" s="564"/>
    </row>
    <row r="2530" spans="1:1" x14ac:dyDescent="0.25">
      <c r="A2530" s="564"/>
    </row>
    <row r="2549" spans="1:1" x14ac:dyDescent="0.25">
      <c r="A2549" s="564"/>
    </row>
    <row r="2568" spans="1:1" x14ac:dyDescent="0.25">
      <c r="A2568" s="564"/>
    </row>
    <row r="2587" spans="1:1" x14ac:dyDescent="0.25">
      <c r="A2587" s="564"/>
    </row>
    <row r="2606" spans="1:1" x14ac:dyDescent="0.25">
      <c r="A2606" s="564"/>
    </row>
    <row r="2625" spans="1:1" x14ac:dyDescent="0.25">
      <c r="A2625" s="564"/>
    </row>
    <row r="2644" spans="1:1" x14ac:dyDescent="0.25">
      <c r="A2644" s="564"/>
    </row>
    <row r="2663" spans="1:1" x14ac:dyDescent="0.25">
      <c r="A2663" s="564"/>
    </row>
    <row r="2682" spans="1:1" x14ac:dyDescent="0.25">
      <c r="A2682" s="564"/>
    </row>
    <row r="2701" spans="1:1" x14ac:dyDescent="0.25">
      <c r="A2701" s="564"/>
    </row>
    <row r="2714" spans="1:1" x14ac:dyDescent="0.25">
      <c r="A2714" s="564"/>
    </row>
    <row r="2717" spans="1:1" x14ac:dyDescent="0.25">
      <c r="A2717" s="564"/>
    </row>
    <row r="2726" spans="1:1" x14ac:dyDescent="0.25">
      <c r="A2726" s="564"/>
    </row>
    <row r="2739" spans="1:1" x14ac:dyDescent="0.25">
      <c r="A2739" s="564"/>
    </row>
    <row r="2742" spans="1:1" x14ac:dyDescent="0.25">
      <c r="A2742" s="564"/>
    </row>
    <row r="2751" spans="1:1" x14ac:dyDescent="0.25">
      <c r="A2751" s="564"/>
    </row>
    <row r="2764" spans="1:1" x14ac:dyDescent="0.25">
      <c r="A2764" s="564"/>
    </row>
    <row r="2767" spans="1:1" x14ac:dyDescent="0.25">
      <c r="A2767" s="564"/>
    </row>
    <row r="2776" spans="1:1" x14ac:dyDescent="0.25">
      <c r="A2776" s="564"/>
    </row>
    <row r="2789" spans="1:1" x14ac:dyDescent="0.25">
      <c r="A2789" s="564"/>
    </row>
    <row r="2792" spans="1:1" x14ac:dyDescent="0.25">
      <c r="A2792" s="564"/>
    </row>
    <row r="2801" spans="1:1" x14ac:dyDescent="0.25">
      <c r="A2801" s="564"/>
    </row>
    <row r="2814" spans="1:1" x14ac:dyDescent="0.25">
      <c r="A2814" s="564"/>
    </row>
    <row r="2817" spans="1:1" x14ac:dyDescent="0.25">
      <c r="A2817" s="564"/>
    </row>
    <row r="2819" spans="1:1" x14ac:dyDescent="0.25">
      <c r="A2819" s="564"/>
    </row>
    <row r="2826" spans="1:1" x14ac:dyDescent="0.25">
      <c r="A2826" s="564"/>
    </row>
    <row r="2835" spans="1:1" x14ac:dyDescent="0.25">
      <c r="A2835" s="564"/>
    </row>
    <row r="2839" spans="1:1" x14ac:dyDescent="0.25">
      <c r="A2839" s="564"/>
    </row>
    <row r="2842" spans="1:1" x14ac:dyDescent="0.25">
      <c r="A2842" s="564"/>
    </row>
    <row r="2851" spans="1:1" x14ac:dyDescent="0.25">
      <c r="A2851" s="564"/>
    </row>
    <row r="2864" spans="1:1" x14ac:dyDescent="0.25">
      <c r="A2864" s="564"/>
    </row>
    <row r="2867" spans="1:1" x14ac:dyDescent="0.25">
      <c r="A2867" s="564"/>
    </row>
    <row r="2876" spans="1:1" x14ac:dyDescent="0.25">
      <c r="A2876" s="564"/>
    </row>
    <row r="2883" spans="1:1" x14ac:dyDescent="0.25">
      <c r="A2883" s="564"/>
    </row>
    <row r="2889" spans="1:1" x14ac:dyDescent="0.25">
      <c r="A2889" s="564"/>
    </row>
    <row r="2892" spans="1:1" x14ac:dyDescent="0.25">
      <c r="A2892" s="564"/>
    </row>
    <row r="2901" spans="1:1" x14ac:dyDescent="0.25">
      <c r="A2901" s="564"/>
    </row>
    <row r="2914" spans="1:1" x14ac:dyDescent="0.25">
      <c r="A2914" s="564"/>
    </row>
    <row r="2917" spans="1:1" x14ac:dyDescent="0.25">
      <c r="A2917" s="564"/>
    </row>
    <row r="2926" spans="1:1" x14ac:dyDescent="0.25">
      <c r="A2926" s="564"/>
    </row>
    <row r="2939" spans="1:1" x14ac:dyDescent="0.25">
      <c r="A2939" s="564"/>
    </row>
    <row r="2942" spans="1:1" x14ac:dyDescent="0.25">
      <c r="A2942" s="564"/>
    </row>
    <row r="2951" spans="1:1" x14ac:dyDescent="0.25">
      <c r="A2951" s="564"/>
    </row>
    <row r="2964" spans="1:1" x14ac:dyDescent="0.25">
      <c r="A2964" s="564"/>
    </row>
    <row r="2967" spans="1:1" x14ac:dyDescent="0.25">
      <c r="A2967" s="564"/>
    </row>
    <row r="2976" spans="1:1" x14ac:dyDescent="0.25">
      <c r="A2976" s="564"/>
    </row>
    <row r="2989" spans="1:1" x14ac:dyDescent="0.25">
      <c r="A2989" s="564"/>
    </row>
    <row r="2992" spans="1:1" x14ac:dyDescent="0.25">
      <c r="A2992" s="564"/>
    </row>
    <row r="3001" spans="1:1" x14ac:dyDescent="0.25">
      <c r="A3001" s="564"/>
    </row>
    <row r="3014" spans="1:1" x14ac:dyDescent="0.25">
      <c r="A3014" s="564"/>
    </row>
    <row r="3017" spans="1:1" x14ac:dyDescent="0.25">
      <c r="A3017" s="564"/>
    </row>
    <row r="3026" spans="1:1" x14ac:dyDescent="0.25">
      <c r="A3026" s="564"/>
    </row>
    <row r="3039" spans="1:1" x14ac:dyDescent="0.25">
      <c r="A3039" s="564"/>
    </row>
    <row r="3042" spans="1:1" x14ac:dyDescent="0.25">
      <c r="A3042" s="564"/>
    </row>
    <row r="3051" spans="1:1" x14ac:dyDescent="0.25">
      <c r="A3051" s="564"/>
    </row>
    <row r="3064" spans="1:1" x14ac:dyDescent="0.25">
      <c r="A3064" s="564"/>
    </row>
    <row r="3067" spans="1:1" x14ac:dyDescent="0.25">
      <c r="A3067" s="564"/>
    </row>
    <row r="3076" spans="1:1" x14ac:dyDescent="0.25">
      <c r="A3076" s="564"/>
    </row>
    <row r="3089" spans="1:1" x14ac:dyDescent="0.25">
      <c r="A3089" s="564"/>
    </row>
    <row r="3092" spans="1:1" x14ac:dyDescent="0.25">
      <c r="A3092" s="564"/>
    </row>
    <row r="3101" spans="1:1" x14ac:dyDescent="0.25">
      <c r="A3101" s="564"/>
    </row>
    <row r="3114" spans="1:1" x14ac:dyDescent="0.25">
      <c r="A3114" s="564"/>
    </row>
    <row r="3117" spans="1:1" x14ac:dyDescent="0.25">
      <c r="A3117" s="564"/>
    </row>
    <row r="3126" spans="1:1" x14ac:dyDescent="0.25">
      <c r="A3126" s="564"/>
    </row>
    <row r="3139" spans="1:1" x14ac:dyDescent="0.25">
      <c r="A3139" s="564"/>
    </row>
    <row r="3142" spans="1:1" x14ac:dyDescent="0.25">
      <c r="A3142" s="564"/>
    </row>
    <row r="3151" spans="1:1" x14ac:dyDescent="0.25">
      <c r="A3151" s="564"/>
    </row>
    <row r="3164" spans="1:1" x14ac:dyDescent="0.25">
      <c r="A3164" s="564"/>
    </row>
    <row r="3167" spans="1:1" x14ac:dyDescent="0.25">
      <c r="A3167" s="564"/>
    </row>
    <row r="3176" spans="1:1" x14ac:dyDescent="0.25">
      <c r="A3176" s="564"/>
    </row>
    <row r="3189" spans="1:1" x14ac:dyDescent="0.25">
      <c r="A3189" s="564"/>
    </row>
    <row r="3192" spans="1:1" x14ac:dyDescent="0.25">
      <c r="A3192" s="564"/>
    </row>
    <row r="3201" spans="1:1" x14ac:dyDescent="0.25">
      <c r="A3201" s="564"/>
    </row>
    <row r="3214" spans="1:1" x14ac:dyDescent="0.25">
      <c r="A3214" s="564"/>
    </row>
    <row r="3217" spans="1:1" x14ac:dyDescent="0.25">
      <c r="A3217" s="564"/>
    </row>
    <row r="3226" spans="1:1" x14ac:dyDescent="0.25">
      <c r="A3226" s="564"/>
    </row>
    <row r="3239" spans="1:1" x14ac:dyDescent="0.25">
      <c r="A3239" s="564"/>
    </row>
    <row r="3242" spans="1:1" x14ac:dyDescent="0.25">
      <c r="A3242" s="564"/>
    </row>
    <row r="3251" spans="1:1" x14ac:dyDescent="0.25">
      <c r="A3251" s="564"/>
    </row>
    <row r="3264" spans="1:1" x14ac:dyDescent="0.25">
      <c r="A3264" s="564"/>
    </row>
    <row r="3267" spans="1:1" x14ac:dyDescent="0.25">
      <c r="A3267" s="564"/>
    </row>
    <row r="3276" spans="1:1" x14ac:dyDescent="0.25">
      <c r="A3276" s="564"/>
    </row>
    <row r="3289" spans="1:1" x14ac:dyDescent="0.25">
      <c r="A3289" s="564"/>
    </row>
    <row r="3292" spans="1:1" x14ac:dyDescent="0.25">
      <c r="A3292" s="564"/>
    </row>
    <row r="3301" spans="1:1" x14ac:dyDescent="0.25">
      <c r="A3301" s="564"/>
    </row>
    <row r="3314" spans="1:1" x14ac:dyDescent="0.25">
      <c r="A3314" s="564"/>
    </row>
    <row r="3317" spans="1:1" x14ac:dyDescent="0.25">
      <c r="A3317" s="564"/>
    </row>
    <row r="3326" spans="1:1" x14ac:dyDescent="0.25">
      <c r="A3326" s="564"/>
    </row>
    <row r="3339" spans="1:1" x14ac:dyDescent="0.25">
      <c r="A3339" s="564"/>
    </row>
    <row r="3342" spans="1:1" x14ac:dyDescent="0.25">
      <c r="A3342" s="564"/>
    </row>
    <row r="3351" spans="1:1" x14ac:dyDescent="0.25">
      <c r="A3351" s="564"/>
    </row>
    <row r="3364" spans="1:1" x14ac:dyDescent="0.25">
      <c r="A3364" s="564"/>
    </row>
    <row r="3367" spans="1:1" x14ac:dyDescent="0.25">
      <c r="A3367" s="564"/>
    </row>
    <row r="3376" spans="1:1" x14ac:dyDescent="0.25">
      <c r="A3376" s="564"/>
    </row>
    <row r="3389" spans="1:1" x14ac:dyDescent="0.25">
      <c r="A3389" s="564"/>
    </row>
    <row r="3392" spans="1:1" x14ac:dyDescent="0.25">
      <c r="A3392" s="564"/>
    </row>
    <row r="3401" spans="1:1" x14ac:dyDescent="0.25">
      <c r="A3401" s="564"/>
    </row>
    <row r="3414" spans="1:1" x14ac:dyDescent="0.25">
      <c r="A3414" s="564"/>
    </row>
    <row r="3417" spans="1:1" x14ac:dyDescent="0.25">
      <c r="A3417" s="564"/>
    </row>
    <row r="3426" spans="1:1" x14ac:dyDescent="0.25">
      <c r="A3426" s="564"/>
    </row>
    <row r="3439" spans="1:1" x14ac:dyDescent="0.25">
      <c r="A3439" s="564"/>
    </row>
    <row r="3442" spans="1:1" x14ac:dyDescent="0.25">
      <c r="A3442" s="564"/>
    </row>
    <row r="3451" spans="1:1" x14ac:dyDescent="0.25">
      <c r="A3451" s="564"/>
    </row>
    <row r="3470" spans="1:1" x14ac:dyDescent="0.25">
      <c r="A3470" s="564"/>
    </row>
    <row r="3489" spans="1:1" x14ac:dyDescent="0.25">
      <c r="A3489" s="564"/>
    </row>
    <row r="3508" spans="1:1" x14ac:dyDescent="0.25">
      <c r="A3508" s="564"/>
    </row>
    <row r="3527" spans="1:1" x14ac:dyDescent="0.25">
      <c r="A3527" s="564"/>
    </row>
    <row r="3546" spans="1:1" x14ac:dyDescent="0.25">
      <c r="A3546" s="564"/>
    </row>
    <row r="3565" spans="1:1" x14ac:dyDescent="0.25">
      <c r="A3565" s="564"/>
    </row>
    <row r="3584" spans="1:1" x14ac:dyDescent="0.25">
      <c r="A3584" s="564"/>
    </row>
    <row r="3603" spans="1:1" x14ac:dyDescent="0.25">
      <c r="A3603" s="564"/>
    </row>
    <row r="3622" spans="1:1" x14ac:dyDescent="0.25">
      <c r="A3622" s="564"/>
    </row>
    <row r="3641" spans="1:1" x14ac:dyDescent="0.25">
      <c r="A3641" s="564"/>
    </row>
    <row r="3660" spans="1:1" x14ac:dyDescent="0.25">
      <c r="A3660" s="564"/>
    </row>
    <row r="3679" spans="1:1" x14ac:dyDescent="0.25">
      <c r="A3679" s="564"/>
    </row>
    <row r="3698" spans="1:1" x14ac:dyDescent="0.25">
      <c r="A3698" s="564"/>
    </row>
    <row r="3717" spans="1:1" x14ac:dyDescent="0.25">
      <c r="A3717" s="564"/>
    </row>
    <row r="3736" spans="1:1" x14ac:dyDescent="0.25">
      <c r="A3736" s="564"/>
    </row>
    <row r="3755" spans="1:1" x14ac:dyDescent="0.25">
      <c r="A3755" s="564"/>
    </row>
    <row r="3774" spans="1:1" x14ac:dyDescent="0.25">
      <c r="A3774" s="564"/>
    </row>
    <row r="3793" spans="1:1" x14ac:dyDescent="0.25">
      <c r="A3793" s="564"/>
    </row>
    <row r="3812" spans="1:1" x14ac:dyDescent="0.25">
      <c r="A3812" s="564"/>
    </row>
    <row r="3831" spans="1:1" x14ac:dyDescent="0.25">
      <c r="A3831" s="564"/>
    </row>
    <row r="3850" spans="1:1" x14ac:dyDescent="0.25">
      <c r="A3850" s="564"/>
    </row>
    <row r="3869" spans="1:1" x14ac:dyDescent="0.25">
      <c r="A3869" s="564"/>
    </row>
    <row r="3888" spans="1:1" x14ac:dyDescent="0.25">
      <c r="A3888" s="564"/>
    </row>
    <row r="3907" spans="1:1" x14ac:dyDescent="0.25">
      <c r="A3907" s="564"/>
    </row>
    <row r="3926" spans="1:1" x14ac:dyDescent="0.25">
      <c r="A3926" s="564"/>
    </row>
    <row r="3945" spans="1:1" x14ac:dyDescent="0.25">
      <c r="A3945" s="564"/>
    </row>
    <row r="3964" spans="1:1" x14ac:dyDescent="0.25">
      <c r="A3964" s="564"/>
    </row>
    <row r="3983" spans="1:1" x14ac:dyDescent="0.25">
      <c r="A3983" s="564"/>
    </row>
    <row r="4002" spans="1:1" x14ac:dyDescent="0.25">
      <c r="A4002" s="564"/>
    </row>
  </sheetData>
  <sheetProtection algorithmName="SHA-512" hashValue="kO5QUHcAzxCAu91h6WKRUmwtju8Ee92oIpxbMDuN6q3ehdPkJf/VB3TVbfKRbW73yxBG9mGW0zgeZ21lLNPbeg==" saltValue="tljbgxhb1fO9xKuYxVXUAQ==" spinCount="100000" sheet="1" objects="1" scenarios="1" selectLockedCells="1"/>
  <dataConsolidate/>
  <pageMargins left="0.7" right="0.7" top="0.75" bottom="0.75" header="0.3" footer="0.3"/>
  <pageSetup paperSize="9" orientation="portrait" horizontalDpi="1200" verticalDpi="1200" r:id="rId1"/>
</worksheet>
</file>

<file path=xl/worksheets/sheet2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Hoja_40"/>
  <dimension ref="A1:BZ4"/>
  <sheetViews>
    <sheetView showGridLines="0" showRowColHeaders="0" showZeros="0" zoomScale="130" zoomScaleNormal="130" workbookViewId="0">
      <pane xSplit="2" ySplit="2" topLeftCell="C3" activePane="bottomRight" state="frozen"/>
      <selection activeCell="A4" sqref="A4:XFD105"/>
      <selection pane="topRight" activeCell="A4" sqref="A4:XFD105"/>
      <selection pane="bottomLeft" activeCell="A4" sqref="A4:XFD105"/>
      <selection pane="bottomRight" activeCell="A5" sqref="A5:XFD9"/>
    </sheetView>
  </sheetViews>
  <sheetFormatPr baseColWidth="10" defaultColWidth="0" defaultRowHeight="15" outlineLevelCol="1" x14ac:dyDescent="0.25"/>
  <cols>
    <col min="1" max="1" width="5.85546875" hidden="1" customWidth="1"/>
    <col min="2" max="2" width="55.42578125" customWidth="1"/>
    <col min="3" max="3" width="14.7109375" customWidth="1"/>
    <col min="4" max="26" width="14.7109375" hidden="1" customWidth="1" outlineLevel="1"/>
    <col min="27" max="27" width="8.28515625" customWidth="1" collapsed="1"/>
    <col min="28" max="50" width="8.28515625" hidden="1" customWidth="1" outlineLevel="1"/>
    <col min="51" max="51" width="5.140625" customWidth="1" collapsed="1"/>
    <col min="52" max="74" width="5.140625" hidden="1" customWidth="1" outlineLevel="1"/>
    <col min="75" max="75" width="5.7109375" customWidth="1" collapsed="1"/>
    <col min="76" max="76" width="9.140625" customWidth="1"/>
    <col min="77" max="77" width="18.140625" customWidth="1"/>
    <col min="78" max="78" width="2.7109375" customWidth="1"/>
    <col min="79" max="16384" width="11.42578125" hidden="1"/>
  </cols>
  <sheetData>
    <row r="1" spans="1:77" hidden="1" x14ac:dyDescent="0.25">
      <c r="A1" s="500">
        <f ca="1">N_INICIAL-P_Min+1</f>
        <v>1</v>
      </c>
      <c r="B1" s="36" t="s">
        <v>1813</v>
      </c>
      <c r="C1" s="36" t="str">
        <f>CHAR(CODE(B1)+1)</f>
        <v>H</v>
      </c>
      <c r="D1" s="36" t="str">
        <f>CHAR(CODE(C1)+1)</f>
        <v>I</v>
      </c>
      <c r="E1" s="36" t="str">
        <f t="shared" ref="E1:U1" si="0">CHAR(CODE(D1)+1)</f>
        <v>J</v>
      </c>
      <c r="F1" s="36" t="str">
        <f t="shared" si="0"/>
        <v>K</v>
      </c>
      <c r="G1" s="36" t="str">
        <f t="shared" si="0"/>
        <v>L</v>
      </c>
      <c r="H1" s="36" t="str">
        <f t="shared" si="0"/>
        <v>M</v>
      </c>
      <c r="I1" s="36" t="str">
        <f t="shared" si="0"/>
        <v>N</v>
      </c>
      <c r="J1" s="36" t="str">
        <f t="shared" si="0"/>
        <v>O</v>
      </c>
      <c r="K1" s="36" t="str">
        <f t="shared" si="0"/>
        <v>P</v>
      </c>
      <c r="L1" s="36" t="str">
        <f t="shared" si="0"/>
        <v>Q</v>
      </c>
      <c r="M1" s="36" t="str">
        <f t="shared" si="0"/>
        <v>R</v>
      </c>
      <c r="N1" s="36" t="str">
        <f t="shared" si="0"/>
        <v>S</v>
      </c>
      <c r="O1" s="36" t="str">
        <f t="shared" si="0"/>
        <v>T</v>
      </c>
      <c r="P1" s="36" t="str">
        <f t="shared" si="0"/>
        <v>U</v>
      </c>
      <c r="Q1" s="36" t="str">
        <f t="shared" si="0"/>
        <v>V</v>
      </c>
      <c r="R1" s="36" t="str">
        <f t="shared" si="0"/>
        <v>W</v>
      </c>
      <c r="S1" s="36" t="str">
        <f t="shared" si="0"/>
        <v>X</v>
      </c>
      <c r="T1" s="36" t="str">
        <f t="shared" si="0"/>
        <v>Y</v>
      </c>
      <c r="U1" s="36" t="str">
        <f t="shared" si="0"/>
        <v>Z</v>
      </c>
      <c r="V1" s="36" t="str">
        <f>"A"&amp;CHAR(CODE("A")+COUNTA($U$1:U1)-1)</f>
        <v>AA</v>
      </c>
      <c r="W1" s="36" t="str">
        <f>"A"&amp;CHAR(CODE("A")+COUNTA($U$1:V1)-1)</f>
        <v>AB</v>
      </c>
      <c r="X1" s="36" t="str">
        <f>"A"&amp;CHAR(CODE("A")+COUNTA($U$1:W1)-1)</f>
        <v>AC</v>
      </c>
      <c r="Y1" s="36" t="str">
        <f>"A"&amp;CHAR(CODE("A")+COUNTA($U$1:X1)-1)</f>
        <v>AD</v>
      </c>
      <c r="Z1" s="36" t="str">
        <f>"A"&amp;CHAR(CODE("A")+COUNTA($U$1:Y1)-1)</f>
        <v>AE</v>
      </c>
      <c r="AA1" t="str">
        <f>"B"&amp;CHAR(CODE("A")+COUNTA(BY$1:$BY1)-1)</f>
        <v>BA</v>
      </c>
      <c r="AB1" t="str">
        <f>"B"&amp;CHAR(CODE("A")+COUNTA($AA$1:AA1)-1)</f>
        <v>BA</v>
      </c>
      <c r="AC1" t="str">
        <f>"B"&amp;CHAR(CODE("A")+COUNTA($AA$1:AB1)-1)</f>
        <v>BB</v>
      </c>
      <c r="AD1" t="str">
        <f>"B"&amp;CHAR(CODE("A")+COUNTA($AA$1:AC1)-1)</f>
        <v>BC</v>
      </c>
      <c r="AE1" t="str">
        <f>"B"&amp;CHAR(CODE("A")+COUNTA($AA$1:AD1)-1)</f>
        <v>BD</v>
      </c>
      <c r="AF1" t="str">
        <f>"B"&amp;CHAR(CODE("A")+COUNTA($AA$1:AE1)-1)</f>
        <v>BE</v>
      </c>
      <c r="AG1" t="str">
        <f>"B"&amp;CHAR(CODE("A")+COUNTA($AA$1:AF1)-1)</f>
        <v>BF</v>
      </c>
      <c r="AH1" t="str">
        <f>"B"&amp;CHAR(CODE("A")+COUNTA($AA$1:AG1)-1)</f>
        <v>BG</v>
      </c>
      <c r="AI1" t="str">
        <f>"B"&amp;CHAR(CODE("A")+COUNTA($AA$1:AH1)-1)</f>
        <v>BH</v>
      </c>
      <c r="AJ1" t="str">
        <f>"B"&amp;CHAR(CODE("A")+COUNTA($AA$1:AI1)-1)</f>
        <v>BI</v>
      </c>
      <c r="AK1" t="str">
        <f>"B"&amp;CHAR(CODE("A")+COUNTA($AA$1:AJ1)-1)</f>
        <v>BJ</v>
      </c>
      <c r="AL1" t="str">
        <f>"B"&amp;CHAR(CODE("A")+COUNTA($AA$1:AK1)-1)</f>
        <v>BK</v>
      </c>
      <c r="AM1" t="str">
        <f>"B"&amp;CHAR(CODE("A")+COUNTA($AA$1:AL1)-1)</f>
        <v>BL</v>
      </c>
      <c r="AN1" t="str">
        <f>"B"&amp;CHAR(CODE("A")+COUNTA($AA$1:AM1)-1)</f>
        <v>BM</v>
      </c>
      <c r="AO1" t="str">
        <f>"B"&amp;CHAR(CODE("A")+COUNTA($AA$1:AN1)-1)</f>
        <v>BN</v>
      </c>
      <c r="AP1" t="str">
        <f>"B"&amp;CHAR(CODE("A")+COUNTA($AA$1:AO1)-1)</f>
        <v>BO</v>
      </c>
      <c r="AQ1" t="str">
        <f>"B"&amp;CHAR(CODE("A")+COUNTA($AA$1:AP1)-1)</f>
        <v>BP</v>
      </c>
      <c r="AR1" t="str">
        <f>"B"&amp;CHAR(CODE("A")+COUNTA($AA$1:AQ1)-1)</f>
        <v>BQ</v>
      </c>
      <c r="AS1" t="str">
        <f>"B"&amp;CHAR(CODE("A")+COUNTA($AA$1:AR1)-1)</f>
        <v>BR</v>
      </c>
      <c r="AT1" t="str">
        <f>"B"&amp;CHAR(CODE("A")+COUNTA($AA$1:AS1)-1)</f>
        <v>BS</v>
      </c>
      <c r="AU1" t="str">
        <f>"B"&amp;CHAR(CODE("A")+COUNTA($AA$1:AT1)-1)</f>
        <v>BT</v>
      </c>
      <c r="AV1" t="str">
        <f>"B"&amp;CHAR(CODE("A")+COUNTA($AA$1:AU1)-1)</f>
        <v>BU</v>
      </c>
      <c r="AW1" t="str">
        <f>"B"&amp;CHAR(CODE("A")+COUNTA($AA$1:AV1)-1)</f>
        <v>BV</v>
      </c>
      <c r="AX1" t="str">
        <f>"B"&amp;CHAR(CODE("A")+COUNTA($AA$1:AW1)-1)</f>
        <v>BW</v>
      </c>
      <c r="AY1" t="str">
        <f t="shared" ref="AY1:BV1" si="1">AA1</f>
        <v>BA</v>
      </c>
      <c r="AZ1" t="str">
        <f t="shared" si="1"/>
        <v>BA</v>
      </c>
      <c r="BA1" t="str">
        <f t="shared" si="1"/>
        <v>BB</v>
      </c>
      <c r="BB1" t="str">
        <f t="shared" si="1"/>
        <v>BC</v>
      </c>
      <c r="BC1" t="str">
        <f t="shared" si="1"/>
        <v>BD</v>
      </c>
      <c r="BD1" t="str">
        <f t="shared" si="1"/>
        <v>BE</v>
      </c>
      <c r="BE1" t="str">
        <f t="shared" si="1"/>
        <v>BF</v>
      </c>
      <c r="BF1" t="str">
        <f t="shared" si="1"/>
        <v>BG</v>
      </c>
      <c r="BG1" t="str">
        <f t="shared" si="1"/>
        <v>BH</v>
      </c>
      <c r="BH1" t="str">
        <f t="shared" si="1"/>
        <v>BI</v>
      </c>
      <c r="BI1" t="str">
        <f t="shared" si="1"/>
        <v>BJ</v>
      </c>
      <c r="BJ1" t="str">
        <f t="shared" si="1"/>
        <v>BK</v>
      </c>
      <c r="BK1" t="str">
        <f t="shared" si="1"/>
        <v>BL</v>
      </c>
      <c r="BL1" t="str">
        <f t="shared" si="1"/>
        <v>BM</v>
      </c>
      <c r="BM1" t="str">
        <f t="shared" si="1"/>
        <v>BN</v>
      </c>
      <c r="BN1" t="str">
        <f t="shared" si="1"/>
        <v>BO</v>
      </c>
      <c r="BO1" t="str">
        <f t="shared" si="1"/>
        <v>BP</v>
      </c>
      <c r="BP1" t="str">
        <f t="shared" si="1"/>
        <v>BQ</v>
      </c>
      <c r="BQ1" t="str">
        <f t="shared" si="1"/>
        <v>BR</v>
      </c>
      <c r="BR1" t="str">
        <f t="shared" si="1"/>
        <v>BS</v>
      </c>
      <c r="BS1" t="str">
        <f t="shared" si="1"/>
        <v>BT</v>
      </c>
      <c r="BT1" t="str">
        <f t="shared" si="1"/>
        <v>BU</v>
      </c>
      <c r="BU1" t="str">
        <f t="shared" si="1"/>
        <v>BV</v>
      </c>
      <c r="BV1" t="str">
        <f t="shared" si="1"/>
        <v>BW</v>
      </c>
      <c r="BY1" t="s">
        <v>1845</v>
      </c>
    </row>
    <row r="2" spans="1:77" x14ac:dyDescent="0.25">
      <c r="A2" s="166" t="s">
        <v>1577</v>
      </c>
      <c r="B2" s="323" t="str">
        <f ca="1">"PREGUNTAS TIPO: "&amp;Tipo_Cuestionario_Nom&amp;" - "&amp;Tit_Categ&amp;" - "&amp;Tit_Subcat&amp;" - "&amp;PREF_PREGUNTA</f>
        <v xml:space="preserve">PREGUNTAS TIPO: Opción Múltiple 1R  -  -  - </v>
      </c>
      <c r="C2" s="37" t="str">
        <f ca="1">IF(COUNTA($B$1:B1)&gt;N_Respuestas,"",IF(OR(Tipo_Cuestionario_Cod="OM",Tipo_Cuestionario_Cod="O2",Tipo_Cuestionario_Cod="VF"),CHAR(96+COUNTA($B2:B2))&amp;") ",
IF(MID(INDIRECT("'Datos "&amp;Tipo_Cuestionario_Cod&amp;"'!"&amp;C1&amp;"6"),1,5)="Retro","",
IF(MID(INDIRECT("'Datos "&amp;Tipo_Cuestionario_Cod&amp;"'!"&amp;C1&amp;"6"),1,5)="Punto",$A$2,
IF(OR(Tipo_Cuestionario_Cod="EM",Tipo_Cuestionario_Cod="PP"),IF(MOD(COUNTA($B$2:B2),2)=0,$A$2," - "),
IF(Tipo_Cuestionario_Cod="RC",IF(MOD(COUNTA($B$2:B2),3)=0,$A$2," - "),
INDIRECT("'Datos "&amp;Tipo_Cuestionario_Cod&amp;"'!"&amp;C$1&amp;"6")&amp;") "))))))</f>
        <v xml:space="preserve">a) </v>
      </c>
      <c r="D2" s="37" t="str">
        <f ca="1">IF(COUNTA($B$1:C1)&gt;N_Respuestas,"",IF(OR(Tipo_Cuestionario_Cod="OM",Tipo_Cuestionario_Cod="O2",Tipo_Cuestionario_Cod="VF"),CHAR(96+COUNTA($B2:C2))&amp;") ",
IF(MID(INDIRECT("'Datos "&amp;Tipo_Cuestionario_Cod&amp;"'!"&amp;D1&amp;"6"),1,5)="Retro","",
IF(MID(INDIRECT("'Datos "&amp;Tipo_Cuestionario_Cod&amp;"'!"&amp;D1&amp;"6"),1,5)="Punto",$A$2,
IF(OR(Tipo_Cuestionario_Cod="EM",Tipo_Cuestionario_Cod="PP"),IF(MOD(COUNTA($B$2:C2),2)=0,$A$2," - "),
IF(Tipo_Cuestionario_Cod="RC",IF(MOD(COUNTA($B$2:C2),3)=0,$A$2," - "),
INDIRECT("'Datos "&amp;Tipo_Cuestionario_Cod&amp;"'!"&amp;D$1&amp;"6")&amp;") "))))))</f>
        <v xml:space="preserve">b) </v>
      </c>
      <c r="E2" s="37" t="str">
        <f ca="1">IF(COUNTA($B$1:D1)&gt;N_Respuestas,"",IF(OR(Tipo_Cuestionario_Cod="OM",Tipo_Cuestionario_Cod="O2",Tipo_Cuestionario_Cod="VF"),CHAR(96+COUNTA($B2:D2))&amp;") ",
IF(MID(INDIRECT("'Datos "&amp;Tipo_Cuestionario_Cod&amp;"'!"&amp;E1&amp;"6"),1,5)="Retro","",
IF(MID(INDIRECT("'Datos "&amp;Tipo_Cuestionario_Cod&amp;"'!"&amp;E1&amp;"6"),1,5)="Punto",$A$2,
IF(OR(Tipo_Cuestionario_Cod="EM",Tipo_Cuestionario_Cod="PP"),IF(MOD(COUNTA($B$2:D2),2)=0,$A$2," - "),
IF(Tipo_Cuestionario_Cod="RC",IF(MOD(COUNTA($B$2:D2),3)=0,$A$2," - "),
INDIRECT("'Datos "&amp;Tipo_Cuestionario_Cod&amp;"'!"&amp;E$1&amp;"6")&amp;") "))))))</f>
        <v xml:space="preserve">c) </v>
      </c>
      <c r="F2" s="37" t="str">
        <f ca="1">IF(COUNTA($B$1:E1)&gt;N_Respuestas,"",IF(OR(Tipo_Cuestionario_Cod="OM",Tipo_Cuestionario_Cod="O2",Tipo_Cuestionario_Cod="VF"),CHAR(96+COUNTA($B2:E2))&amp;") ",
IF(MID(INDIRECT("'Datos "&amp;Tipo_Cuestionario_Cod&amp;"'!"&amp;F1&amp;"6"),1,5)="Retro","",
IF(MID(INDIRECT("'Datos "&amp;Tipo_Cuestionario_Cod&amp;"'!"&amp;F1&amp;"6"),1,5)="Punto",$A$2,
IF(OR(Tipo_Cuestionario_Cod="EM",Tipo_Cuestionario_Cod="PP"),IF(MOD(COUNTA($B$2:E2),2)=0,$A$2," - "),
IF(Tipo_Cuestionario_Cod="RC",IF(MOD(COUNTA($B$2:E2),3)=0,$A$2," - "),
INDIRECT("'Datos "&amp;Tipo_Cuestionario_Cod&amp;"'!"&amp;F$1&amp;"6")&amp;") "))))))</f>
        <v xml:space="preserve">d) </v>
      </c>
      <c r="G2" s="37" t="str">
        <f ca="1">IF(COUNTA($B$1:F1)&gt;N_Respuestas,"",IF(OR(Tipo_Cuestionario_Cod="OM",Tipo_Cuestionario_Cod="O2",Tipo_Cuestionario_Cod="VF"),CHAR(96+COUNTA($B2:F2))&amp;") ",
IF(MID(INDIRECT("'Datos "&amp;Tipo_Cuestionario_Cod&amp;"'!"&amp;G1&amp;"6"),1,5)="Retro","",
IF(MID(INDIRECT("'Datos "&amp;Tipo_Cuestionario_Cod&amp;"'!"&amp;G1&amp;"6"),1,5)="Punto",$A$2,
IF(OR(Tipo_Cuestionario_Cod="EM",Tipo_Cuestionario_Cod="PP"),IF(MOD(COUNTA($B$2:F2),2)=0,$A$2," - "),
IF(Tipo_Cuestionario_Cod="RC",IF(MOD(COUNTA($B$2:F2),3)=0,$A$2," - "),
INDIRECT("'Datos "&amp;Tipo_Cuestionario_Cod&amp;"'!"&amp;G$1&amp;"6")&amp;") "))))))</f>
        <v xml:space="preserve">e) </v>
      </c>
      <c r="H2" s="37" t="str">
        <f ca="1">IF(COUNTA($B$1:G1)&gt;N_Respuestas,"",IF(OR(Tipo_Cuestionario_Cod="OM",Tipo_Cuestionario_Cod="O2",Tipo_Cuestionario_Cod="VF"),CHAR(96+COUNTA($B2:G2))&amp;") ",
IF(MID(INDIRECT("'Datos "&amp;Tipo_Cuestionario_Cod&amp;"'!"&amp;H1&amp;"6"),1,5)="Retro","",
IF(MID(INDIRECT("'Datos "&amp;Tipo_Cuestionario_Cod&amp;"'!"&amp;H1&amp;"6"),1,5)="Punto",$A$2,
IF(OR(Tipo_Cuestionario_Cod="EM",Tipo_Cuestionario_Cod="PP"),IF(MOD(COUNTA($B$2:G2),2)=0,$A$2," - "),
IF(Tipo_Cuestionario_Cod="RC",IF(MOD(COUNTA($B$2:G2),3)=0,$A$2," - "),
INDIRECT("'Datos "&amp;Tipo_Cuestionario_Cod&amp;"'!"&amp;H$1&amp;"6")&amp;") "))))))</f>
        <v xml:space="preserve">f) </v>
      </c>
      <c r="I2" s="37" t="str">
        <f ca="1">IF(COUNTA($B$1:H1)&gt;N_Respuestas,"",IF(OR(Tipo_Cuestionario_Cod="OM",Tipo_Cuestionario_Cod="O2",Tipo_Cuestionario_Cod="VF"),CHAR(96+COUNTA($B2:H2))&amp;") ",
IF(MID(INDIRECT("'Datos "&amp;Tipo_Cuestionario_Cod&amp;"'!"&amp;I1&amp;"6"),1,5)="Retro","",
IF(MID(INDIRECT("'Datos "&amp;Tipo_Cuestionario_Cod&amp;"'!"&amp;I1&amp;"6"),1,5)="Punto",$A$2,
IF(OR(Tipo_Cuestionario_Cod="EM",Tipo_Cuestionario_Cod="PP"),IF(MOD(COUNTA($B$2:H2),2)=0,$A$2," - "),
IF(Tipo_Cuestionario_Cod="RC",IF(MOD(COUNTA($B$2:H2),3)=0,$A$2," - "),
INDIRECT("'Datos "&amp;Tipo_Cuestionario_Cod&amp;"'!"&amp;I$1&amp;"6")&amp;") "))))))</f>
        <v/>
      </c>
      <c r="J2" s="37" t="str">
        <f ca="1">IF(COUNTA($B$1:I1)&gt;N_Respuestas,"",IF(OR(Tipo_Cuestionario_Cod="OM",Tipo_Cuestionario_Cod="O2",Tipo_Cuestionario_Cod="VF"),CHAR(96+COUNTA($B2:I2))&amp;") ",
IF(MID(INDIRECT("'Datos "&amp;Tipo_Cuestionario_Cod&amp;"'!"&amp;J1&amp;"6"),1,5)="Retro","",
IF(MID(INDIRECT("'Datos "&amp;Tipo_Cuestionario_Cod&amp;"'!"&amp;J1&amp;"6"),1,5)="Punto",$A$2,
IF(OR(Tipo_Cuestionario_Cod="EM",Tipo_Cuestionario_Cod="PP"),IF(MOD(COUNTA($B$2:I2),2)=0,$A$2," - "),
IF(Tipo_Cuestionario_Cod="RC",IF(MOD(COUNTA($B$2:I2),3)=0,$A$2," - "),
INDIRECT("'Datos "&amp;Tipo_Cuestionario_Cod&amp;"'!"&amp;J$1&amp;"6")&amp;") "))))))</f>
        <v/>
      </c>
      <c r="K2" s="37" t="str">
        <f ca="1">IF(COUNTA($B$1:J1)&gt;N_Respuestas,"",IF(OR(Tipo_Cuestionario_Cod="OM",Tipo_Cuestionario_Cod="O2",Tipo_Cuestionario_Cod="VF"),CHAR(96+COUNTA($B2:J2))&amp;") ",
IF(MID(INDIRECT("'Datos "&amp;Tipo_Cuestionario_Cod&amp;"'!"&amp;K1&amp;"6"),1,5)="Retro","",
IF(MID(INDIRECT("'Datos "&amp;Tipo_Cuestionario_Cod&amp;"'!"&amp;K1&amp;"6"),1,5)="Punto",$A$2,
IF(OR(Tipo_Cuestionario_Cod="EM",Tipo_Cuestionario_Cod="PP"),IF(MOD(COUNTA($B$2:J2),2)=0,$A$2," - "),
IF(Tipo_Cuestionario_Cod="RC",IF(MOD(COUNTA($B$2:J2),3)=0,$A$2," - "),
INDIRECT("'Datos "&amp;Tipo_Cuestionario_Cod&amp;"'!"&amp;K$1&amp;"6")&amp;") "))))))</f>
        <v/>
      </c>
      <c r="L2" s="37" t="str">
        <f ca="1">IF(COUNTA($B$1:K1)&gt;N_Respuestas,"",IF(OR(Tipo_Cuestionario_Cod="OM",Tipo_Cuestionario_Cod="O2",Tipo_Cuestionario_Cod="VF"),CHAR(96+COUNTA($B2:K2))&amp;") ",
IF(MID(INDIRECT("'Datos "&amp;Tipo_Cuestionario_Cod&amp;"'!"&amp;L1&amp;"6"),1,5)="Retro","",
IF(MID(INDIRECT("'Datos "&amp;Tipo_Cuestionario_Cod&amp;"'!"&amp;L1&amp;"6"),1,5)="Punto",$A$2,
IF(OR(Tipo_Cuestionario_Cod="EM",Tipo_Cuestionario_Cod="PP"),IF(MOD(COUNTA($B$2:K2),2)=0,$A$2," - "),
IF(Tipo_Cuestionario_Cod="RC",IF(MOD(COUNTA($B$2:K2),3)=0,$A$2," - "),
INDIRECT("'Datos "&amp;Tipo_Cuestionario_Cod&amp;"'!"&amp;L$1&amp;"6")&amp;") "))))))</f>
        <v/>
      </c>
      <c r="M2" s="37" t="str">
        <f ca="1">IF(COUNTA($B$1:L1)&gt;N_Respuestas,"",IF(OR(Tipo_Cuestionario_Cod="OM",Tipo_Cuestionario_Cod="O2",Tipo_Cuestionario_Cod="VF"),CHAR(96+COUNTA($B2:L2))&amp;") ",
IF(MID(INDIRECT("'Datos "&amp;Tipo_Cuestionario_Cod&amp;"'!"&amp;M1&amp;"6"),1,5)="Retro","",
IF(MID(INDIRECT("'Datos "&amp;Tipo_Cuestionario_Cod&amp;"'!"&amp;M1&amp;"6"),1,5)="Punto",$A$2,
IF(OR(Tipo_Cuestionario_Cod="EM",Tipo_Cuestionario_Cod="PP"),IF(MOD(COUNTA($B$2:L2),2)=0,$A$2," - "),
IF(Tipo_Cuestionario_Cod="RC",IF(MOD(COUNTA($B$2:L2),3)=0,$A$2," - "),
INDIRECT("'Datos "&amp;Tipo_Cuestionario_Cod&amp;"'!"&amp;M$1&amp;"6")&amp;") "))))))</f>
        <v/>
      </c>
      <c r="N2" s="37" t="str">
        <f ca="1">IF(COUNTA($B$1:M1)&gt;N_Respuestas,"",IF(OR(Tipo_Cuestionario_Cod="OM",Tipo_Cuestionario_Cod="O2",Tipo_Cuestionario_Cod="VF"),CHAR(96+COUNTA($B2:M2))&amp;") ",
IF(MID(INDIRECT("'Datos "&amp;Tipo_Cuestionario_Cod&amp;"'!"&amp;N1&amp;"6"),1,5)="Retro","",
IF(MID(INDIRECT("'Datos "&amp;Tipo_Cuestionario_Cod&amp;"'!"&amp;N1&amp;"6"),1,5)="Punto",$A$2,
IF(OR(Tipo_Cuestionario_Cod="EM",Tipo_Cuestionario_Cod="PP"),IF(MOD(COUNTA($B$2:M2),2)=0,$A$2," - "),
IF(Tipo_Cuestionario_Cod="RC",IF(MOD(COUNTA($B$2:M2),3)=0,$A$2," - "),
INDIRECT("'Datos "&amp;Tipo_Cuestionario_Cod&amp;"'!"&amp;N$1&amp;"6")&amp;") "))))))</f>
        <v/>
      </c>
      <c r="O2" s="37" t="str">
        <f ca="1">IF(COUNTA($B$1:N1)&gt;N_Respuestas,"",IF(OR(Tipo_Cuestionario_Cod="OM",Tipo_Cuestionario_Cod="O2",Tipo_Cuestionario_Cod="VF"),CHAR(96+COUNTA($B2:N2))&amp;") ",
IF(MID(INDIRECT("'Datos "&amp;Tipo_Cuestionario_Cod&amp;"'!"&amp;O1&amp;"6"),1,5)="Retro","",
IF(MID(INDIRECT("'Datos "&amp;Tipo_Cuestionario_Cod&amp;"'!"&amp;O1&amp;"6"),1,5)="Punto",$A$2,
IF(OR(Tipo_Cuestionario_Cod="EM",Tipo_Cuestionario_Cod="PP"),IF(MOD(COUNTA($B$2:N2),2)=0,$A$2," - "),
IF(Tipo_Cuestionario_Cod="RC",IF(MOD(COUNTA($B$2:N2),3)=0,$A$2," - "),
INDIRECT("'Datos "&amp;Tipo_Cuestionario_Cod&amp;"'!"&amp;O$1&amp;"6")&amp;") "))))))</f>
        <v/>
      </c>
      <c r="P2" s="37" t="str">
        <f ca="1">IF(COUNTA($B$1:O1)&gt;N_Respuestas,"",IF(OR(Tipo_Cuestionario_Cod="OM",Tipo_Cuestionario_Cod="O2",Tipo_Cuestionario_Cod="VF"),CHAR(96+COUNTA($B2:O2))&amp;") ",
IF(MID(INDIRECT("'Datos "&amp;Tipo_Cuestionario_Cod&amp;"'!"&amp;P1&amp;"6"),1,5)="Retro","",
IF(MID(INDIRECT("'Datos "&amp;Tipo_Cuestionario_Cod&amp;"'!"&amp;P1&amp;"6"),1,5)="Punto",$A$2,
IF(OR(Tipo_Cuestionario_Cod="EM",Tipo_Cuestionario_Cod="PP"),IF(MOD(COUNTA($B$2:O2),2)=0,$A$2," - "),
IF(Tipo_Cuestionario_Cod="RC",IF(MOD(COUNTA($B$2:O2),3)=0,$A$2," - "),
INDIRECT("'Datos "&amp;Tipo_Cuestionario_Cod&amp;"'!"&amp;P$1&amp;"6")&amp;") "))))))</f>
        <v/>
      </c>
      <c r="Q2" s="37" t="str">
        <f ca="1">IF(COUNTA($B$1:P1)&gt;N_Respuestas,"",IF(OR(Tipo_Cuestionario_Cod="OM",Tipo_Cuestionario_Cod="O2",Tipo_Cuestionario_Cod="VF"),CHAR(96+COUNTA($B2:P2))&amp;") ",
IF(MID(INDIRECT("'Datos "&amp;Tipo_Cuestionario_Cod&amp;"'!"&amp;Q1&amp;"6"),1,5)="Retro","",
IF(MID(INDIRECT("'Datos "&amp;Tipo_Cuestionario_Cod&amp;"'!"&amp;Q1&amp;"6"),1,5)="Punto",$A$2,
IF(OR(Tipo_Cuestionario_Cod="EM",Tipo_Cuestionario_Cod="PP"),IF(MOD(COUNTA($B$2:P2),2)=0,$A$2," - "),
IF(Tipo_Cuestionario_Cod="RC",IF(MOD(COUNTA($B$2:P2),3)=0,$A$2," - "),
INDIRECT("'Datos "&amp;Tipo_Cuestionario_Cod&amp;"'!"&amp;Q$1&amp;"6")&amp;") "))))))</f>
        <v/>
      </c>
      <c r="R2" s="37" t="str">
        <f ca="1">IF(COUNTA($B$1:Q1)&gt;N_Respuestas,"",IF(OR(Tipo_Cuestionario_Cod="OM",Tipo_Cuestionario_Cod="O2",Tipo_Cuestionario_Cod="VF"),CHAR(96+COUNTA($B2:Q2))&amp;") ",
IF(MID(INDIRECT("'Datos "&amp;Tipo_Cuestionario_Cod&amp;"'!"&amp;R1&amp;"6"),1,5)="Retro","",
IF(MID(INDIRECT("'Datos "&amp;Tipo_Cuestionario_Cod&amp;"'!"&amp;R1&amp;"6"),1,5)="Punto",$A$2,
IF(OR(Tipo_Cuestionario_Cod="EM",Tipo_Cuestionario_Cod="PP"),IF(MOD(COUNTA($B$2:Q2),2)=0,$A$2," - "),
IF(Tipo_Cuestionario_Cod="RC",IF(MOD(COUNTA($B$2:Q2),3)=0,$A$2," - "),
INDIRECT("'Datos "&amp;Tipo_Cuestionario_Cod&amp;"'!"&amp;R$1&amp;"6")&amp;") "))))))</f>
        <v/>
      </c>
      <c r="S2" s="37" t="str">
        <f ca="1">IF(COUNTA($B$1:R1)&gt;N_Respuestas,"",IF(OR(Tipo_Cuestionario_Cod="OM",Tipo_Cuestionario_Cod="O2",Tipo_Cuestionario_Cod="VF"),CHAR(96+COUNTA($B2:R2))&amp;") ",
IF(MID(INDIRECT("'Datos "&amp;Tipo_Cuestionario_Cod&amp;"'!"&amp;S1&amp;"6"),1,5)="Retro","",
IF(MID(INDIRECT("'Datos "&amp;Tipo_Cuestionario_Cod&amp;"'!"&amp;S1&amp;"6"),1,5)="Punto",$A$2,
IF(OR(Tipo_Cuestionario_Cod="EM",Tipo_Cuestionario_Cod="PP"),IF(MOD(COUNTA($B$2:R2),2)=0,$A$2," - "),
IF(Tipo_Cuestionario_Cod="RC",IF(MOD(COUNTA($B$2:R2),3)=0,$A$2," - "),
INDIRECT("'Datos "&amp;Tipo_Cuestionario_Cod&amp;"'!"&amp;S$1&amp;"6")&amp;") "))))))</f>
        <v/>
      </c>
      <c r="T2" s="37" t="str">
        <f ca="1">IF(COUNTA($B$1:S1)&gt;N_Respuestas,"",IF(OR(Tipo_Cuestionario_Cod="OM",Tipo_Cuestionario_Cod="O2",Tipo_Cuestionario_Cod="VF"),CHAR(96+COUNTA($B2:S2))&amp;") ",
IF(MID(INDIRECT("'Datos "&amp;Tipo_Cuestionario_Cod&amp;"'!"&amp;T1&amp;"6"),1,5)="Retro","",
IF(MID(INDIRECT("'Datos "&amp;Tipo_Cuestionario_Cod&amp;"'!"&amp;T1&amp;"6"),1,5)="Punto",$A$2,
IF(OR(Tipo_Cuestionario_Cod="EM",Tipo_Cuestionario_Cod="PP"),IF(MOD(COUNTA($B$2:S2),2)=0,$A$2," - "),
IF(Tipo_Cuestionario_Cod="RC",IF(MOD(COUNTA($B$2:S2),3)=0,$A$2," - "),
INDIRECT("'Datos "&amp;Tipo_Cuestionario_Cod&amp;"'!"&amp;T$1&amp;"6")&amp;") "))))))</f>
        <v/>
      </c>
      <c r="U2" s="37" t="str">
        <f ca="1">IF(COUNTA($B$1:T1)&gt;N_Respuestas,"",IF(OR(Tipo_Cuestionario_Cod="OM",Tipo_Cuestionario_Cod="O2",Tipo_Cuestionario_Cod="VF"),CHAR(96+COUNTA($B2:T2))&amp;") ",
IF(MID(INDIRECT("'Datos "&amp;Tipo_Cuestionario_Cod&amp;"'!"&amp;U1&amp;"6"),1,5)="Retro","",
IF(MID(INDIRECT("'Datos "&amp;Tipo_Cuestionario_Cod&amp;"'!"&amp;U1&amp;"6"),1,5)="Punto",$A$2,
IF(OR(Tipo_Cuestionario_Cod="EM",Tipo_Cuestionario_Cod="PP"),IF(MOD(COUNTA($B$2:T2),2)=0,$A$2," - "),
IF(Tipo_Cuestionario_Cod="RC",IF(MOD(COUNTA($B$2:T2),3)=0,$A$2," - "),
INDIRECT("'Datos "&amp;Tipo_Cuestionario_Cod&amp;"'!"&amp;U$1&amp;"6")&amp;") "))))))</f>
        <v/>
      </c>
      <c r="V2" s="37" t="str">
        <f ca="1">IF(COUNTA($B$1:U1)&gt;N_Respuestas,"",IF(OR(Tipo_Cuestionario_Cod="OM",Tipo_Cuestionario_Cod="O2",Tipo_Cuestionario_Cod="VF"),CHAR(96+COUNTA($B2:U2))&amp;") ",
IF(MID(INDIRECT("'Datos "&amp;Tipo_Cuestionario_Cod&amp;"'!"&amp;V1&amp;"6"),1,5)="Retro","",
IF(MID(INDIRECT("'Datos "&amp;Tipo_Cuestionario_Cod&amp;"'!"&amp;V1&amp;"6"),1,5)="Punto",$A$2,
IF(OR(Tipo_Cuestionario_Cod="EM",Tipo_Cuestionario_Cod="PP"),IF(MOD(COUNTA($B$2:U2),2)=0,$A$2," - "),
IF(Tipo_Cuestionario_Cod="RC",IF(MOD(COUNTA($B$2:U2),3)=0,$A$2," - "),
INDIRECT("'Datos "&amp;Tipo_Cuestionario_Cod&amp;"'!"&amp;V$1&amp;"6")&amp;") "))))))</f>
        <v/>
      </c>
      <c r="W2" s="37" t="str">
        <f ca="1">IF(COUNTA($B$1:V1)&gt;N_Respuestas,"",IF(OR(Tipo_Cuestionario_Cod="OM",Tipo_Cuestionario_Cod="O2",Tipo_Cuestionario_Cod="VF"),CHAR(96+COUNTA($B2:V2))&amp;") ",
IF(MID(INDIRECT("'Datos "&amp;Tipo_Cuestionario_Cod&amp;"'!"&amp;W1&amp;"6"),1,5)="Retro","",
IF(MID(INDIRECT("'Datos "&amp;Tipo_Cuestionario_Cod&amp;"'!"&amp;W1&amp;"6"),1,5)="Punto",$A$2,
IF(OR(Tipo_Cuestionario_Cod="EM",Tipo_Cuestionario_Cod="PP"),IF(MOD(COUNTA($B$2:V2),2)=0,$A$2," - "),
IF(Tipo_Cuestionario_Cod="RC",IF(MOD(COUNTA($B$2:V2),3)=0,$A$2," - "),
INDIRECT("'Datos "&amp;Tipo_Cuestionario_Cod&amp;"'!"&amp;W$1&amp;"6")&amp;") "))))))</f>
        <v/>
      </c>
      <c r="X2" s="37" t="str">
        <f ca="1">IF(COUNTA($B$1:W1)&gt;N_Respuestas,"",IF(OR(Tipo_Cuestionario_Cod="OM",Tipo_Cuestionario_Cod="O2",Tipo_Cuestionario_Cod="VF"),CHAR(96+COUNTA($B2:W2))&amp;") ",
IF(MID(INDIRECT("'Datos "&amp;Tipo_Cuestionario_Cod&amp;"'!"&amp;X1&amp;"6"),1,5)="Retro","",
IF(MID(INDIRECT("'Datos "&amp;Tipo_Cuestionario_Cod&amp;"'!"&amp;X1&amp;"6"),1,5)="Punto",$A$2,
IF(OR(Tipo_Cuestionario_Cod="EM",Tipo_Cuestionario_Cod="PP"),IF(MOD(COUNTA($B$2:W2),2)=0,$A$2," - "),
IF(Tipo_Cuestionario_Cod="RC",IF(MOD(COUNTA($B$2:W2),3)=0,$A$2," - "),
INDIRECT("'Datos "&amp;Tipo_Cuestionario_Cod&amp;"'!"&amp;X$1&amp;"6")&amp;") "))))))</f>
        <v/>
      </c>
      <c r="Y2" s="37" t="str">
        <f ca="1">IF(COUNTA($B$1:X1)&gt;N_Respuestas,"",IF(OR(Tipo_Cuestionario_Cod="OM",Tipo_Cuestionario_Cod="O2",Tipo_Cuestionario_Cod="VF"),CHAR(96+COUNTA($B2:X2))&amp;") ",
IF(MID(INDIRECT("'Datos "&amp;Tipo_Cuestionario_Cod&amp;"'!"&amp;Y1&amp;"6"),1,5)="Retro","",
IF(MID(INDIRECT("'Datos "&amp;Tipo_Cuestionario_Cod&amp;"'!"&amp;Y1&amp;"6"),1,5)="Punto",$A$2,
IF(OR(Tipo_Cuestionario_Cod="EM",Tipo_Cuestionario_Cod="PP"),IF(MOD(COUNTA($B$2:X2),2)=0,$A$2," - "),
IF(Tipo_Cuestionario_Cod="RC",IF(MOD(COUNTA($B$2:X2),3)=0,$A$2," - "),
INDIRECT("'Datos "&amp;Tipo_Cuestionario_Cod&amp;"'!"&amp;Y$1&amp;"6")&amp;") "))))))</f>
        <v/>
      </c>
      <c r="Z2" s="37" t="str">
        <f ca="1">IF(COUNTA($B$1:Y1)&gt;N_Respuestas,"",IF(OR(Tipo_Cuestionario_Cod="OM",Tipo_Cuestionario_Cod="O2",Tipo_Cuestionario_Cod="VF"),CHAR(96+COUNTA($B2:Y2))&amp;") ",
IF(MID(INDIRECT("'Datos "&amp;Tipo_Cuestionario_Cod&amp;"'!"&amp;Z1&amp;"6"),1,5)="Retro","",
IF(MID(INDIRECT("'Datos "&amp;Tipo_Cuestionario_Cod&amp;"'!"&amp;Z1&amp;"6"),1,5)="Punto",$A$2,
IF(OR(Tipo_Cuestionario_Cod="EM",Tipo_Cuestionario_Cod="PP"),IF(MOD(COUNTA($B$2:Y2),2)=0,$A$2," - "),
IF(Tipo_Cuestionario_Cod="RC",IF(MOD(COUNTA($B$2:Y2),3)=0,$A$2," - "),
INDIRECT("'Datos "&amp;Tipo_Cuestionario_Cod&amp;"'!"&amp;Z$1&amp;"6")&amp;") "))))))</f>
        <v/>
      </c>
      <c r="AA2">
        <v>1</v>
      </c>
      <c r="AB2">
        <f t="shared" ref="AB2:AX2" si="2">AA2+1</f>
        <v>2</v>
      </c>
      <c r="AC2">
        <f t="shared" si="2"/>
        <v>3</v>
      </c>
      <c r="AD2">
        <f t="shared" si="2"/>
        <v>4</v>
      </c>
      <c r="AE2">
        <f t="shared" si="2"/>
        <v>5</v>
      </c>
      <c r="AF2">
        <f t="shared" si="2"/>
        <v>6</v>
      </c>
      <c r="AG2">
        <f t="shared" si="2"/>
        <v>7</v>
      </c>
      <c r="AH2">
        <f t="shared" si="2"/>
        <v>8</v>
      </c>
      <c r="AI2">
        <f t="shared" si="2"/>
        <v>9</v>
      </c>
      <c r="AJ2">
        <f t="shared" si="2"/>
        <v>10</v>
      </c>
      <c r="AK2">
        <f t="shared" si="2"/>
        <v>11</v>
      </c>
      <c r="AL2">
        <f t="shared" si="2"/>
        <v>12</v>
      </c>
      <c r="AM2">
        <f t="shared" si="2"/>
        <v>13</v>
      </c>
      <c r="AN2">
        <f t="shared" si="2"/>
        <v>14</v>
      </c>
      <c r="AO2">
        <f t="shared" si="2"/>
        <v>15</v>
      </c>
      <c r="AP2">
        <f t="shared" si="2"/>
        <v>16</v>
      </c>
      <c r="AQ2">
        <f t="shared" si="2"/>
        <v>17</v>
      </c>
      <c r="AR2">
        <f t="shared" si="2"/>
        <v>18</v>
      </c>
      <c r="AS2">
        <f t="shared" si="2"/>
        <v>19</v>
      </c>
      <c r="AT2">
        <f t="shared" si="2"/>
        <v>20</v>
      </c>
      <c r="AU2">
        <f t="shared" si="2"/>
        <v>21</v>
      </c>
      <c r="AV2">
        <f t="shared" si="2"/>
        <v>22</v>
      </c>
      <c r="AW2">
        <f t="shared" si="2"/>
        <v>23</v>
      </c>
      <c r="AX2">
        <f t="shared" si="2"/>
        <v>24</v>
      </c>
    </row>
    <row r="3" spans="1:77" hidden="1" x14ac:dyDescent="0.25">
      <c r="A3" s="365" t="s">
        <v>1811</v>
      </c>
      <c r="B3" s="365" t="s">
        <v>1812</v>
      </c>
      <c r="C3" s="365" t="s">
        <v>858</v>
      </c>
      <c r="D3" s="365" t="s">
        <v>856</v>
      </c>
      <c r="E3" s="365" t="s">
        <v>859</v>
      </c>
      <c r="F3" s="365" t="s">
        <v>857</v>
      </c>
      <c r="G3" s="365" t="s">
        <v>1689</v>
      </c>
      <c r="H3" s="365" t="s">
        <v>1807</v>
      </c>
      <c r="I3" s="365" t="s">
        <v>1808</v>
      </c>
      <c r="J3" s="365" t="s">
        <v>1809</v>
      </c>
      <c r="K3" s="365" t="s">
        <v>1810</v>
      </c>
      <c r="L3" s="365" t="s">
        <v>207</v>
      </c>
      <c r="M3" s="365" t="s">
        <v>208</v>
      </c>
      <c r="N3" s="365" t="s">
        <v>209</v>
      </c>
      <c r="O3" s="365" t="s">
        <v>210</v>
      </c>
      <c r="P3" s="365" t="s">
        <v>211</v>
      </c>
      <c r="Q3" s="365" t="s">
        <v>212</v>
      </c>
      <c r="R3" s="365" t="s">
        <v>213</v>
      </c>
      <c r="S3" s="365" t="s">
        <v>214</v>
      </c>
      <c r="T3" s="365" t="s">
        <v>215</v>
      </c>
      <c r="U3" s="365" t="s">
        <v>216</v>
      </c>
      <c r="V3" s="365" t="s">
        <v>217</v>
      </c>
      <c r="W3" s="365" t="s">
        <v>218</v>
      </c>
      <c r="X3" s="365" t="s">
        <v>219</v>
      </c>
      <c r="Y3" s="365" t="s">
        <v>220</v>
      </c>
      <c r="Z3" s="365" t="s">
        <v>221</v>
      </c>
      <c r="AA3" s="406" t="s">
        <v>1847</v>
      </c>
      <c r="AB3" s="406" t="s">
        <v>881</v>
      </c>
      <c r="AC3" s="406" t="s">
        <v>11</v>
      </c>
      <c r="AD3" s="406" t="s">
        <v>123</v>
      </c>
      <c r="AE3" s="406" t="s">
        <v>1813</v>
      </c>
      <c r="AF3" s="406" t="s">
        <v>65</v>
      </c>
      <c r="AG3" s="406" t="s">
        <v>122</v>
      </c>
      <c r="AH3" s="406" t="s">
        <v>1814</v>
      </c>
      <c r="AI3" s="406" t="s">
        <v>1815</v>
      </c>
      <c r="AJ3" s="406" t="s">
        <v>1816</v>
      </c>
      <c r="AK3" s="406" t="s">
        <v>1817</v>
      </c>
      <c r="AL3" s="406" t="s">
        <v>18193</v>
      </c>
      <c r="AM3" s="406" t="s">
        <v>1818</v>
      </c>
      <c r="AN3" s="406" t="s">
        <v>124</v>
      </c>
      <c r="AO3" s="406" t="s">
        <v>1848</v>
      </c>
      <c r="AP3" s="406" t="s">
        <v>1849</v>
      </c>
      <c r="AQ3" s="406" t="s">
        <v>125</v>
      </c>
      <c r="AR3" s="406" t="s">
        <v>1850</v>
      </c>
      <c r="AS3" s="406" t="s">
        <v>1851</v>
      </c>
      <c r="AT3" s="406" t="s">
        <v>1852</v>
      </c>
      <c r="AU3" s="406" t="s">
        <v>1853</v>
      </c>
      <c r="AV3" s="406" t="s">
        <v>1854</v>
      </c>
      <c r="AW3" s="406" t="s">
        <v>1855</v>
      </c>
      <c r="AX3" s="406" t="s">
        <v>1845</v>
      </c>
      <c r="AY3" s="406" t="s">
        <v>1819</v>
      </c>
      <c r="AZ3" s="406" t="s">
        <v>1820</v>
      </c>
      <c r="BA3" s="406" t="s">
        <v>1821</v>
      </c>
      <c r="BB3" s="406" t="s">
        <v>1822</v>
      </c>
      <c r="BC3" s="406" t="s">
        <v>1823</v>
      </c>
      <c r="BD3" s="406" t="s">
        <v>1824</v>
      </c>
      <c r="BE3" s="406" t="s">
        <v>1825</v>
      </c>
      <c r="BF3" s="406" t="s">
        <v>1826</v>
      </c>
      <c r="BG3" s="406" t="s">
        <v>1827</v>
      </c>
      <c r="BH3" s="406" t="s">
        <v>1828</v>
      </c>
      <c r="BI3" s="406" t="s">
        <v>1829</v>
      </c>
      <c r="BJ3" s="406" t="s">
        <v>1830</v>
      </c>
      <c r="BK3" s="406" t="s">
        <v>1831</v>
      </c>
      <c r="BL3" s="406" t="s">
        <v>1832</v>
      </c>
      <c r="BM3" s="406" t="s">
        <v>1833</v>
      </c>
      <c r="BN3" s="406" t="s">
        <v>1834</v>
      </c>
      <c r="BO3" s="406" t="s">
        <v>1835</v>
      </c>
      <c r="BP3" s="406" t="s">
        <v>1836</v>
      </c>
      <c r="BQ3" s="406" t="s">
        <v>1837</v>
      </c>
      <c r="BR3" s="406" t="s">
        <v>1838</v>
      </c>
      <c r="BS3" s="406" t="s">
        <v>1839</v>
      </c>
      <c r="BT3" s="406" t="s">
        <v>1840</v>
      </c>
      <c r="BU3" s="406" t="s">
        <v>1841</v>
      </c>
      <c r="BV3" s="406" t="s">
        <v>1842</v>
      </c>
      <c r="BW3" s="365" t="s">
        <v>1846</v>
      </c>
      <c r="BX3" s="406" t="s">
        <v>1843</v>
      </c>
      <c r="BY3" s="406" t="s">
        <v>1844</v>
      </c>
    </row>
    <row r="4" spans="1:77" x14ac:dyDescent="0.25">
      <c r="A4" s="501">
        <f ca="1">IF(ROW()=4,$A$1,A3+1)</f>
        <v>1</v>
      </c>
      <c r="B4" s="366" t="str">
        <f ca="1">IF(Tabla_DOC[[#This Row],[N]]="","",Tabla_DOC[[#This Row],[N]]&amp;") "&amp;IF(INDIRECT("'Datos "&amp;Tipo_Cuestionario_Cod&amp;"'!"&amp;B$1&amp;N_I_Tabla+Tabla_DOC[[#This Row],[N]]-1)="","",INDIRECT("'Datos "&amp;Tipo_Cuestionario_Cod&amp;"'!"&amp;B$1&amp;N_I_Tabla+Tabla_DOC[[#This Row],[N]]-1)))</f>
        <v xml:space="preserve">1) </v>
      </c>
      <c r="C4" s="367" t="str">
        <f ca="1">IFERROR(IF(AND(Tipo_Cuestionario_Cod="VF",C$1="I"),C$2&amp;IF(Tabla_DOC[[#This Row],[1]]=$C$2&amp;'Formulario VF'!$I$38,'Formulario VF'!$J$38,'Formulario VF'!$I$38),
IF(OR(INDIRECT("'Datos "&amp;Tipo_Cuestionario_Cod&amp;"'!"&amp;C$1&amp;N_I_Tabla+Tabla_DOC[[#This Row],[N]]-1)="",C$2="",Tabla_DOC[[#This Row],[ENUNCIADO]]=""),"",
IF(Tipo_Cuestionario_Cod="EN",INDIRECT("'Datos EN'!C"&amp;ROW()+1+$A$1),
IF(Tipo_Cuestionario_Cod="RC",IF(C$1="H",INDIRECT("'Datos RC'!C"&amp;ROW()+1+$A$1),""),
C$2&amp;INDIRECT("'Datos "&amp;Tipo_Cuestionario_Cod&amp;"'!"&amp;C$1&amp;N_I_Tabla+Tabla_DOC[[#This Row],[N]]-1))))),"")</f>
        <v/>
      </c>
      <c r="D4" s="367" t="str">
        <f ca="1">IFERROR(IF(AND(Tipo_Cuestionario_Cod="VF",D$1="I"),D$2&amp;IF(Tabla_DOC[[#This Row],[1]]=$C$2&amp;'Formulario VF'!$I$38,'Formulario VF'!$J$38,'Formulario VF'!$I$38),
IF(OR(INDIRECT("'Datos "&amp;Tipo_Cuestionario_Cod&amp;"'!"&amp;D$1&amp;N_I_Tabla+Tabla_DOC[[#This Row],[N]]-1)="",D$2="",Tabla_DOC[[#This Row],[ENUNCIADO]]=""),"",
IF(Tipo_Cuestionario_Cod="EN",'Datos EN'!#REF!&amp;" "&amp;'Datos EN'!#REF!&amp;" "&amp;'Datos EN'!#REF!&amp;" "&amp;'Datos EN'!#REF!&amp;" "&amp;'Datos EN'!#REF!&amp;" "&amp;'Datos EN'!#REF!&amp;" "&amp;'Datos EN'!#REF!&amp;" "&amp;'Datos EN'!#REF!,
IF(Tipo_Cuestionario_Cod="RC",IF(D$1="H",'Datos RC'!#REF!&amp;" "&amp;'Datos RC'!#REF!&amp;" "&amp;'Datos RC'!#REF!&amp;" "&amp;'Datos RC'!#REF!&amp;" "&amp;'Datos RC'!#REF!&amp;" "&amp;'Datos RC'!#REF!&amp;" "&amp;'Datos RC'!#REF!&amp;" "&amp;'Datos RC'!#REF!,""),
D$2&amp;INDIRECT("'Datos "&amp;Tipo_Cuestionario_Cod&amp;"'!"&amp;D$1&amp;N_I_Tabla+Tabla_DOC[[#This Row],[N]]-1))))),"")</f>
        <v/>
      </c>
      <c r="E4" s="367" t="str">
        <f ca="1">IFERROR(IF(AND(Tipo_Cuestionario_Cod="VF",E$1="I"),E$2&amp;IF(Tabla_DOC[[#This Row],[1]]=$C$2&amp;'Formulario VF'!$I$38,'Formulario VF'!$J$38,'Formulario VF'!$I$38),
IF(OR(INDIRECT("'Datos "&amp;Tipo_Cuestionario_Cod&amp;"'!"&amp;E$1&amp;N_I_Tabla+Tabla_DOC[[#This Row],[N]]-1)="",E$2="",Tabla_DOC[[#This Row],[ENUNCIADO]]=""),"",
IF(Tipo_Cuestionario_Cod="EN",'Datos EN'!#REF!&amp;" "&amp;'Datos EN'!#REF!&amp;" "&amp;'Datos EN'!#REF!&amp;" "&amp;'Datos EN'!#REF!&amp;" "&amp;'Datos EN'!#REF!&amp;" "&amp;'Datos EN'!#REF!&amp;" "&amp;'Datos EN'!#REF!&amp;" "&amp;'Datos EN'!#REF!,
IF(Tipo_Cuestionario_Cod="RC",IF(E$1="H",'Datos RC'!#REF!&amp;" "&amp;'Datos RC'!#REF!&amp;" "&amp;'Datos RC'!#REF!&amp;" "&amp;'Datos RC'!#REF!&amp;" "&amp;'Datos RC'!#REF!&amp;" "&amp;'Datos RC'!#REF!&amp;" "&amp;'Datos RC'!#REF!&amp;" "&amp;'Datos RC'!#REF!,""),
E$2&amp;INDIRECT("'Datos "&amp;Tipo_Cuestionario_Cod&amp;"'!"&amp;E$1&amp;N_I_Tabla+Tabla_DOC[[#This Row],[N]]-1))))),"")</f>
        <v/>
      </c>
      <c r="F4" s="367" t="str">
        <f ca="1">IFERROR(IF(AND(Tipo_Cuestionario_Cod="VF",F$1="I"),F$2&amp;IF(Tabla_DOC[[#This Row],[1]]=$C$2&amp;'Formulario VF'!$I$38,'Formulario VF'!$J$38,'Formulario VF'!$I$38),
IF(OR(INDIRECT("'Datos "&amp;Tipo_Cuestionario_Cod&amp;"'!"&amp;F$1&amp;N_I_Tabla+Tabla_DOC[[#This Row],[N]]-1)="",F$2="",Tabla_DOC[[#This Row],[ENUNCIADO]]=""),"",
IF(Tipo_Cuestionario_Cod="EN",'Datos EN'!#REF!&amp;" "&amp;'Datos EN'!#REF!&amp;" "&amp;'Datos EN'!#REF!&amp;" "&amp;'Datos EN'!#REF!&amp;" "&amp;'Datos EN'!#REF!&amp;" "&amp;'Datos EN'!#REF!&amp;" "&amp;'Datos EN'!#REF!&amp;" "&amp;'Datos EN'!#REF!,
IF(Tipo_Cuestionario_Cod="RC",IF(F$1="H",'Datos RC'!#REF!&amp;" "&amp;'Datos RC'!#REF!&amp;" "&amp;'Datos RC'!#REF!&amp;" "&amp;'Datos RC'!#REF!&amp;" "&amp;'Datos RC'!#REF!&amp;" "&amp;'Datos RC'!#REF!&amp;" "&amp;'Datos RC'!#REF!&amp;" "&amp;'Datos RC'!#REF!,""),
F$2&amp;INDIRECT("'Datos "&amp;Tipo_Cuestionario_Cod&amp;"'!"&amp;F$1&amp;N_I_Tabla+Tabla_DOC[[#This Row],[N]]-1))))),"")</f>
        <v/>
      </c>
      <c r="G4" s="367" t="str">
        <f ca="1">IFERROR(IF(AND(Tipo_Cuestionario_Cod="VF",G$1="I"),G$2&amp;IF(Tabla_DOC[[#This Row],[1]]=$C$2&amp;'Formulario VF'!$I$38,'Formulario VF'!$J$38,'Formulario VF'!$I$38),
IF(OR(INDIRECT("'Datos "&amp;Tipo_Cuestionario_Cod&amp;"'!"&amp;G$1&amp;N_I_Tabla+Tabla_DOC[[#This Row],[N]]-1)="",G$2="",Tabla_DOC[[#This Row],[ENUNCIADO]]=""),"",
IF(Tipo_Cuestionario_Cod="EN",'Datos EN'!#REF!&amp;" "&amp;'Datos EN'!#REF!&amp;" "&amp;'Datos EN'!#REF!&amp;" "&amp;'Datos EN'!#REF!&amp;" "&amp;'Datos EN'!#REF!&amp;" "&amp;'Datos EN'!#REF!&amp;" "&amp;'Datos EN'!#REF!&amp;" "&amp;'Datos EN'!#REF!,
IF(Tipo_Cuestionario_Cod="RC",IF(G$1="H",'Datos RC'!#REF!&amp;" "&amp;'Datos RC'!#REF!&amp;" "&amp;'Datos RC'!#REF!&amp;" "&amp;'Datos RC'!#REF!&amp;" "&amp;'Datos RC'!#REF!&amp;" "&amp;'Datos RC'!#REF!&amp;" "&amp;'Datos RC'!#REF!&amp;" "&amp;'Datos RC'!#REF!,""),
G$2&amp;INDIRECT("'Datos "&amp;Tipo_Cuestionario_Cod&amp;"'!"&amp;G$1&amp;N_I_Tabla+Tabla_DOC[[#This Row],[N]]-1))))),"")</f>
        <v/>
      </c>
      <c r="H4" s="367" t="str">
        <f ca="1">IFERROR(IF(AND(Tipo_Cuestionario_Cod="VF",H$1="I"),H$2&amp;IF(Tabla_DOC[[#This Row],[1]]=$C$2&amp;'Formulario VF'!$I$38,'Formulario VF'!$J$38,'Formulario VF'!$I$38),
IF(OR(INDIRECT("'Datos "&amp;Tipo_Cuestionario_Cod&amp;"'!"&amp;H$1&amp;N_I_Tabla+Tabla_DOC[[#This Row],[N]]-1)="",H$2="",Tabla_DOC[[#This Row],[ENUNCIADO]]=""),"",
IF(Tipo_Cuestionario_Cod="EN",'Datos EN'!#REF!&amp;" "&amp;'Datos EN'!#REF!&amp;" "&amp;'Datos EN'!#REF!&amp;" "&amp;'Datos EN'!#REF!&amp;" "&amp;'Datos EN'!#REF!&amp;" "&amp;'Datos EN'!#REF!&amp;" "&amp;'Datos EN'!#REF!&amp;" "&amp;'Datos EN'!#REF!,
IF(Tipo_Cuestionario_Cod="RC",IF(H$1="H",'Datos RC'!#REF!&amp;" "&amp;'Datos RC'!#REF!&amp;" "&amp;'Datos RC'!#REF!&amp;" "&amp;'Datos RC'!#REF!&amp;" "&amp;'Datos RC'!#REF!&amp;" "&amp;'Datos RC'!#REF!&amp;" "&amp;'Datos RC'!#REF!&amp;" "&amp;'Datos RC'!#REF!,""),
H$2&amp;INDIRECT("'Datos "&amp;Tipo_Cuestionario_Cod&amp;"'!"&amp;H$1&amp;N_I_Tabla+Tabla_DOC[[#This Row],[N]]-1))))),"")</f>
        <v/>
      </c>
      <c r="I4" s="367" t="str">
        <f ca="1">IFERROR(IF(AND(Tipo_Cuestionario_Cod="VF",I$1="I"),I$2&amp;IF(Tabla_DOC[[#This Row],[1]]=$C$2&amp;'Formulario VF'!$I$38,'Formulario VF'!$J$38,'Formulario VF'!$I$38),
IF(OR(INDIRECT("'Datos "&amp;Tipo_Cuestionario_Cod&amp;"'!"&amp;I$1&amp;N_I_Tabla+Tabla_DOC[[#This Row],[N]]-1)="",I$2="",Tabla_DOC[[#This Row],[ENUNCIADO]]=""),"",
IF(Tipo_Cuestionario_Cod="EN",'Datos EN'!#REF!&amp;" "&amp;'Datos EN'!#REF!&amp;" "&amp;'Datos EN'!#REF!&amp;" "&amp;'Datos EN'!#REF!&amp;" "&amp;'Datos EN'!#REF!&amp;" "&amp;'Datos EN'!#REF!&amp;" "&amp;'Datos EN'!#REF!&amp;" "&amp;'Datos EN'!#REF!,
IF(Tipo_Cuestionario_Cod="RC",IF(I$1="H",'Datos RC'!#REF!&amp;" "&amp;'Datos RC'!#REF!&amp;" "&amp;'Datos RC'!#REF!&amp;" "&amp;'Datos RC'!#REF!&amp;" "&amp;'Datos RC'!#REF!&amp;" "&amp;'Datos RC'!#REF!&amp;" "&amp;'Datos RC'!#REF!&amp;" "&amp;'Datos RC'!#REF!,""),
I$2&amp;INDIRECT("'Datos "&amp;Tipo_Cuestionario_Cod&amp;"'!"&amp;I$1&amp;N_I_Tabla+Tabla_DOC[[#This Row],[N]]-1))))),"")</f>
        <v/>
      </c>
      <c r="J4" s="367" t="str">
        <f ca="1">IFERROR(IF(AND(Tipo_Cuestionario_Cod="VF",J$1="I"),J$2&amp;IF(Tabla_DOC[[#This Row],[1]]=$C$2&amp;'Formulario VF'!$I$38,'Formulario VF'!$J$38,'Formulario VF'!$I$38),
IF(OR(INDIRECT("'Datos "&amp;Tipo_Cuestionario_Cod&amp;"'!"&amp;J$1&amp;N_I_Tabla+Tabla_DOC[[#This Row],[N]]-1)="",J$2="",Tabla_DOC[[#This Row],[ENUNCIADO]]=""),"",
IF(Tipo_Cuestionario_Cod="EN",'Datos EN'!#REF!&amp;" "&amp;'Datos EN'!#REF!&amp;" "&amp;'Datos EN'!#REF!&amp;" "&amp;'Datos EN'!#REF!&amp;" "&amp;'Datos EN'!#REF!&amp;" "&amp;'Datos EN'!#REF!&amp;" "&amp;'Datos EN'!#REF!&amp;" "&amp;'Datos EN'!#REF!,
IF(Tipo_Cuestionario_Cod="RC",IF(J$1="H",'Datos RC'!#REF!&amp;" "&amp;'Datos RC'!#REF!&amp;" "&amp;'Datos RC'!#REF!&amp;" "&amp;'Datos RC'!#REF!&amp;" "&amp;'Datos RC'!#REF!&amp;" "&amp;'Datos RC'!#REF!&amp;" "&amp;'Datos RC'!#REF!&amp;" "&amp;'Datos RC'!#REF!,""),
J$2&amp;INDIRECT("'Datos "&amp;Tipo_Cuestionario_Cod&amp;"'!"&amp;J$1&amp;N_I_Tabla+Tabla_DOC[[#This Row],[N]]-1))))),"")</f>
        <v/>
      </c>
      <c r="K4" s="367" t="str">
        <f ca="1">IFERROR(IF(AND(Tipo_Cuestionario_Cod="VF",K$1="I"),K$2&amp;IF(Tabla_DOC[[#This Row],[1]]=$C$2&amp;'Formulario VF'!$I$38,'Formulario VF'!$J$38,'Formulario VF'!$I$38),
IF(OR(INDIRECT("'Datos "&amp;Tipo_Cuestionario_Cod&amp;"'!"&amp;K$1&amp;N_I_Tabla+Tabla_DOC[[#This Row],[N]]-1)="",K$2="",Tabla_DOC[[#This Row],[ENUNCIADO]]=""),"",
IF(Tipo_Cuestionario_Cod="EN",'Datos EN'!#REF!&amp;" "&amp;'Datos EN'!#REF!&amp;" "&amp;'Datos EN'!#REF!&amp;" "&amp;'Datos EN'!#REF!&amp;" "&amp;'Datos EN'!#REF!&amp;" "&amp;'Datos EN'!#REF!&amp;" "&amp;'Datos EN'!#REF!&amp;" "&amp;'Datos EN'!#REF!,
IF(Tipo_Cuestionario_Cod="RC",IF(K$1="H",'Datos RC'!#REF!&amp;" "&amp;'Datos RC'!#REF!&amp;" "&amp;'Datos RC'!#REF!&amp;" "&amp;'Datos RC'!#REF!&amp;" "&amp;'Datos RC'!#REF!&amp;" "&amp;'Datos RC'!#REF!&amp;" "&amp;'Datos RC'!#REF!&amp;" "&amp;'Datos RC'!#REF!,""),
K$2&amp;INDIRECT("'Datos "&amp;Tipo_Cuestionario_Cod&amp;"'!"&amp;K$1&amp;N_I_Tabla+Tabla_DOC[[#This Row],[N]]-1))))),"")</f>
        <v/>
      </c>
      <c r="L4" s="367" t="str">
        <f ca="1">IFERROR(IF(AND(Tipo_Cuestionario_Cod="VF",L$1="I"),L$2&amp;IF(Tabla_DOC[[#This Row],[1]]=$C$2&amp;'Formulario VF'!$I$38,'Formulario VF'!$J$38,'Formulario VF'!$I$38),
IF(OR(INDIRECT("'Datos "&amp;Tipo_Cuestionario_Cod&amp;"'!"&amp;L$1&amp;N_I_Tabla+Tabla_DOC[[#This Row],[N]]-1)="",L$2="",Tabla_DOC[[#This Row],[ENUNCIADO]]=""),"",
IF(Tipo_Cuestionario_Cod="EN",'Datos EN'!#REF!&amp;" "&amp;'Datos EN'!#REF!&amp;" "&amp;'Datos EN'!#REF!&amp;" "&amp;'Datos EN'!#REF!&amp;" "&amp;'Datos EN'!#REF!&amp;" "&amp;'Datos EN'!#REF!&amp;" "&amp;'Datos EN'!#REF!&amp;" "&amp;'Datos EN'!#REF!,
IF(Tipo_Cuestionario_Cod="RC",IF(L$1="H",'Datos RC'!#REF!&amp;" "&amp;'Datos RC'!#REF!&amp;" "&amp;'Datos RC'!#REF!&amp;" "&amp;'Datos RC'!#REF!&amp;" "&amp;'Datos RC'!#REF!&amp;" "&amp;'Datos RC'!#REF!&amp;" "&amp;'Datos RC'!#REF!&amp;" "&amp;'Datos RC'!#REF!,""),
L$2&amp;INDIRECT("'Datos "&amp;Tipo_Cuestionario_Cod&amp;"'!"&amp;L$1&amp;N_I_Tabla+Tabla_DOC[[#This Row],[N]]-1))))),"")</f>
        <v/>
      </c>
      <c r="M4" s="367" t="str">
        <f ca="1">IFERROR(IF(AND(Tipo_Cuestionario_Cod="VF",M$1="I"),M$2&amp;IF(Tabla_DOC[[#This Row],[1]]=$C$2&amp;'Formulario VF'!$I$38,'Formulario VF'!$J$38,'Formulario VF'!$I$38),
IF(OR(INDIRECT("'Datos "&amp;Tipo_Cuestionario_Cod&amp;"'!"&amp;M$1&amp;N_I_Tabla+Tabla_DOC[[#This Row],[N]]-1)="",M$2="",Tabla_DOC[[#This Row],[ENUNCIADO]]=""),"",
IF(Tipo_Cuestionario_Cod="EN",'Datos EN'!#REF!&amp;" "&amp;'Datos EN'!#REF!&amp;" "&amp;'Datos EN'!#REF!&amp;" "&amp;'Datos EN'!#REF!&amp;" "&amp;'Datos EN'!#REF!&amp;" "&amp;'Datos EN'!#REF!&amp;" "&amp;'Datos EN'!#REF!&amp;" "&amp;'Datos EN'!#REF!,
IF(Tipo_Cuestionario_Cod="RC",IF(M$1="H",'Datos RC'!#REF!&amp;" "&amp;'Datos RC'!#REF!&amp;" "&amp;'Datos RC'!#REF!&amp;" "&amp;'Datos RC'!#REF!&amp;" "&amp;'Datos RC'!#REF!&amp;" "&amp;'Datos RC'!#REF!&amp;" "&amp;'Datos RC'!#REF!&amp;" "&amp;'Datos RC'!#REF!,""),
M$2&amp;INDIRECT("'Datos "&amp;Tipo_Cuestionario_Cod&amp;"'!"&amp;M$1&amp;N_I_Tabla+Tabla_DOC[[#This Row],[N]]-1))))),"")</f>
        <v/>
      </c>
      <c r="N4" s="367" t="str">
        <f ca="1">IFERROR(IF(AND(Tipo_Cuestionario_Cod="VF",N$1="I"),N$2&amp;IF(Tabla_DOC[[#This Row],[1]]=$C$2&amp;'Formulario VF'!$I$38,'Formulario VF'!$J$38,'Formulario VF'!$I$38),
IF(OR(INDIRECT("'Datos "&amp;Tipo_Cuestionario_Cod&amp;"'!"&amp;N$1&amp;N_I_Tabla+Tabla_DOC[[#This Row],[N]]-1)="",N$2="",Tabla_DOC[[#This Row],[ENUNCIADO]]=""),"",
IF(Tipo_Cuestionario_Cod="EN",'Datos EN'!#REF!&amp;" "&amp;'Datos EN'!#REF!&amp;" "&amp;'Datos EN'!#REF!&amp;" "&amp;'Datos EN'!#REF!&amp;" "&amp;'Datos EN'!#REF!&amp;" "&amp;'Datos EN'!#REF!&amp;" "&amp;'Datos EN'!#REF!&amp;" "&amp;'Datos EN'!#REF!,
IF(Tipo_Cuestionario_Cod="RC",IF(N$1="H",'Datos RC'!#REF!&amp;" "&amp;'Datos RC'!#REF!&amp;" "&amp;'Datos RC'!#REF!&amp;" "&amp;'Datos RC'!#REF!&amp;" "&amp;'Datos RC'!#REF!&amp;" "&amp;'Datos RC'!#REF!&amp;" "&amp;'Datos RC'!#REF!&amp;" "&amp;'Datos RC'!#REF!,""),
N$2&amp;INDIRECT("'Datos "&amp;Tipo_Cuestionario_Cod&amp;"'!"&amp;N$1&amp;N_I_Tabla+Tabla_DOC[[#This Row],[N]]-1))))),"")</f>
        <v/>
      </c>
      <c r="O4" s="367" t="str">
        <f ca="1">IFERROR(IF(AND(Tipo_Cuestionario_Cod="VF",O$1="I"),O$2&amp;IF(Tabla_DOC[[#This Row],[1]]=$C$2&amp;'Formulario VF'!$I$38,'Formulario VF'!$J$38,'Formulario VF'!$I$38),
IF(OR(INDIRECT("'Datos "&amp;Tipo_Cuestionario_Cod&amp;"'!"&amp;O$1&amp;N_I_Tabla+Tabla_DOC[[#This Row],[N]]-1)="",O$2="",Tabla_DOC[[#This Row],[ENUNCIADO]]=""),"",
IF(Tipo_Cuestionario_Cod="EN",'Datos EN'!#REF!&amp;" "&amp;'Datos EN'!#REF!&amp;" "&amp;'Datos EN'!#REF!&amp;" "&amp;'Datos EN'!#REF!&amp;" "&amp;'Datos EN'!#REF!&amp;" "&amp;'Datos EN'!#REF!&amp;" "&amp;'Datos EN'!#REF!&amp;" "&amp;'Datos EN'!#REF!,
IF(Tipo_Cuestionario_Cod="RC",IF(O$1="H",'Datos RC'!#REF!&amp;" "&amp;'Datos RC'!#REF!&amp;" "&amp;'Datos RC'!#REF!&amp;" "&amp;'Datos RC'!#REF!&amp;" "&amp;'Datos RC'!#REF!&amp;" "&amp;'Datos RC'!#REF!&amp;" "&amp;'Datos RC'!#REF!&amp;" "&amp;'Datos RC'!#REF!,""),
O$2&amp;INDIRECT("'Datos "&amp;Tipo_Cuestionario_Cod&amp;"'!"&amp;O$1&amp;N_I_Tabla+Tabla_DOC[[#This Row],[N]]-1))))),"")</f>
        <v/>
      </c>
      <c r="P4" s="367" t="str">
        <f ca="1">IFERROR(IF(AND(Tipo_Cuestionario_Cod="VF",P$1="I"),P$2&amp;IF(Tabla_DOC[[#This Row],[1]]=$C$2&amp;'Formulario VF'!$I$38,'Formulario VF'!$J$38,'Formulario VF'!$I$38),
IF(OR(INDIRECT("'Datos "&amp;Tipo_Cuestionario_Cod&amp;"'!"&amp;P$1&amp;N_I_Tabla+Tabla_DOC[[#This Row],[N]]-1)="",P$2="",Tabla_DOC[[#This Row],[ENUNCIADO]]=""),"",
IF(Tipo_Cuestionario_Cod="EN",'Datos EN'!#REF!&amp;" "&amp;'Datos EN'!#REF!&amp;" "&amp;'Datos EN'!#REF!&amp;" "&amp;'Datos EN'!#REF!&amp;" "&amp;'Datos EN'!#REF!&amp;" "&amp;'Datos EN'!#REF!&amp;" "&amp;'Datos EN'!#REF!&amp;" "&amp;'Datos EN'!#REF!,
IF(Tipo_Cuestionario_Cod="RC",IF(P$1="H",'Datos RC'!#REF!&amp;" "&amp;'Datos RC'!#REF!&amp;" "&amp;'Datos RC'!#REF!&amp;" "&amp;'Datos RC'!#REF!&amp;" "&amp;'Datos RC'!#REF!&amp;" "&amp;'Datos RC'!#REF!&amp;" "&amp;'Datos RC'!#REF!&amp;" "&amp;'Datos RC'!#REF!,""),
P$2&amp;INDIRECT("'Datos "&amp;Tipo_Cuestionario_Cod&amp;"'!"&amp;P$1&amp;N_I_Tabla+Tabla_DOC[[#This Row],[N]]-1))))),"")</f>
        <v/>
      </c>
      <c r="Q4" s="367" t="str">
        <f ca="1">IFERROR(IF(AND(Tipo_Cuestionario_Cod="VF",Q$1="I"),Q$2&amp;IF(Tabla_DOC[[#This Row],[1]]=$C$2&amp;'Formulario VF'!$I$38,'Formulario VF'!$J$38,'Formulario VF'!$I$38),
IF(OR(INDIRECT("'Datos "&amp;Tipo_Cuestionario_Cod&amp;"'!"&amp;Q$1&amp;N_I_Tabla+Tabla_DOC[[#This Row],[N]]-1)="",Q$2="",Tabla_DOC[[#This Row],[ENUNCIADO]]=""),"",
IF(Tipo_Cuestionario_Cod="EN",'Datos EN'!#REF!&amp;" "&amp;'Datos EN'!#REF!&amp;" "&amp;'Datos EN'!#REF!&amp;" "&amp;'Datos EN'!#REF!&amp;" "&amp;'Datos EN'!#REF!&amp;" "&amp;'Datos EN'!#REF!&amp;" "&amp;'Datos EN'!#REF!&amp;" "&amp;'Datos EN'!#REF!,
IF(Tipo_Cuestionario_Cod="RC",IF(Q$1="H",'Datos RC'!#REF!&amp;" "&amp;'Datos RC'!#REF!&amp;" "&amp;'Datos RC'!#REF!&amp;" "&amp;'Datos RC'!#REF!&amp;" "&amp;'Datos RC'!#REF!&amp;" "&amp;'Datos RC'!#REF!&amp;" "&amp;'Datos RC'!#REF!&amp;" "&amp;'Datos RC'!#REF!,""),
Q$2&amp;INDIRECT("'Datos "&amp;Tipo_Cuestionario_Cod&amp;"'!"&amp;Q$1&amp;N_I_Tabla+Tabla_DOC[[#This Row],[N]]-1))))),"")</f>
        <v/>
      </c>
      <c r="R4" s="367" t="str">
        <f ca="1">IFERROR(IF(AND(Tipo_Cuestionario_Cod="VF",R$1="I"),R$2&amp;IF(Tabla_DOC[[#This Row],[1]]=$C$2&amp;'Formulario VF'!$I$38,'Formulario VF'!$J$38,'Formulario VF'!$I$38),
IF(OR(INDIRECT("'Datos "&amp;Tipo_Cuestionario_Cod&amp;"'!"&amp;R$1&amp;N_I_Tabla+Tabla_DOC[[#This Row],[N]]-1)="",R$2="",Tabla_DOC[[#This Row],[ENUNCIADO]]=""),"",
IF(Tipo_Cuestionario_Cod="EN",'Datos EN'!#REF!&amp;" "&amp;'Datos EN'!#REF!&amp;" "&amp;'Datos EN'!#REF!&amp;" "&amp;'Datos EN'!#REF!&amp;" "&amp;'Datos EN'!#REF!&amp;" "&amp;'Datos EN'!#REF!&amp;" "&amp;'Datos EN'!#REF!&amp;" "&amp;'Datos EN'!#REF!,
IF(Tipo_Cuestionario_Cod="RC",IF(R$1="H",'Datos RC'!#REF!&amp;" "&amp;'Datos RC'!#REF!&amp;" "&amp;'Datos RC'!#REF!&amp;" "&amp;'Datos RC'!#REF!&amp;" "&amp;'Datos RC'!#REF!&amp;" "&amp;'Datos RC'!#REF!&amp;" "&amp;'Datos RC'!#REF!&amp;" "&amp;'Datos RC'!#REF!,""),
R$2&amp;INDIRECT("'Datos "&amp;Tipo_Cuestionario_Cod&amp;"'!"&amp;R$1&amp;N_I_Tabla+Tabla_DOC[[#This Row],[N]]-1))))),"")</f>
        <v/>
      </c>
      <c r="S4" s="367" t="str">
        <f ca="1">IFERROR(IF(AND(Tipo_Cuestionario_Cod="VF",S$1="I"),S$2&amp;IF(Tabla_DOC[[#This Row],[1]]=$C$2&amp;'Formulario VF'!$I$38,'Formulario VF'!$J$38,'Formulario VF'!$I$38),
IF(OR(INDIRECT("'Datos "&amp;Tipo_Cuestionario_Cod&amp;"'!"&amp;S$1&amp;N_I_Tabla+Tabla_DOC[[#This Row],[N]]-1)="",S$2="",Tabla_DOC[[#This Row],[ENUNCIADO]]=""),"",
IF(Tipo_Cuestionario_Cod="EN",'Datos EN'!#REF!&amp;" "&amp;'Datos EN'!#REF!&amp;" "&amp;'Datos EN'!#REF!&amp;" "&amp;'Datos EN'!#REF!&amp;" "&amp;'Datos EN'!#REF!&amp;" "&amp;'Datos EN'!#REF!&amp;" "&amp;'Datos EN'!#REF!&amp;" "&amp;'Datos EN'!#REF!,
IF(Tipo_Cuestionario_Cod="RC",IF(S$1="H",'Datos RC'!#REF!&amp;" "&amp;'Datos RC'!#REF!&amp;" "&amp;'Datos RC'!#REF!&amp;" "&amp;'Datos RC'!#REF!&amp;" "&amp;'Datos RC'!#REF!&amp;" "&amp;'Datos RC'!#REF!&amp;" "&amp;'Datos RC'!#REF!&amp;" "&amp;'Datos RC'!#REF!,""),
S$2&amp;INDIRECT("'Datos "&amp;Tipo_Cuestionario_Cod&amp;"'!"&amp;S$1&amp;N_I_Tabla+Tabla_DOC[[#This Row],[N]]-1))))),"")</f>
        <v/>
      </c>
      <c r="T4" s="367" t="str">
        <f ca="1">IFERROR(IF(AND(Tipo_Cuestionario_Cod="VF",T$1="I"),T$2&amp;IF(Tabla_DOC[[#This Row],[1]]=$C$2&amp;'Formulario VF'!$I$38,'Formulario VF'!$J$38,'Formulario VF'!$I$38),
IF(OR(INDIRECT("'Datos "&amp;Tipo_Cuestionario_Cod&amp;"'!"&amp;T$1&amp;N_I_Tabla+Tabla_DOC[[#This Row],[N]]-1)="",T$2="",Tabla_DOC[[#This Row],[ENUNCIADO]]=""),"",
IF(Tipo_Cuestionario_Cod="EN",'Datos EN'!#REF!&amp;" "&amp;'Datos EN'!#REF!&amp;" "&amp;'Datos EN'!#REF!&amp;" "&amp;'Datos EN'!#REF!&amp;" "&amp;'Datos EN'!#REF!&amp;" "&amp;'Datos EN'!#REF!&amp;" "&amp;'Datos EN'!#REF!&amp;" "&amp;'Datos EN'!#REF!,
IF(Tipo_Cuestionario_Cod="RC",IF(T$1="H",'Datos RC'!#REF!&amp;" "&amp;'Datos RC'!#REF!&amp;" "&amp;'Datos RC'!#REF!&amp;" "&amp;'Datos RC'!#REF!&amp;" "&amp;'Datos RC'!#REF!&amp;" "&amp;'Datos RC'!#REF!&amp;" "&amp;'Datos RC'!#REF!&amp;" "&amp;'Datos RC'!#REF!,""),
T$2&amp;INDIRECT("'Datos "&amp;Tipo_Cuestionario_Cod&amp;"'!"&amp;T$1&amp;N_I_Tabla+Tabla_DOC[[#This Row],[N]]-1))))),"")</f>
        <v/>
      </c>
      <c r="U4" s="367" t="str">
        <f ca="1">IFERROR(IF(AND(Tipo_Cuestionario_Cod="VF",U$1="I"),U$2&amp;IF(Tabla_DOC[[#This Row],[1]]=$C$2&amp;'Formulario VF'!$I$38,'Formulario VF'!$J$38,'Formulario VF'!$I$38),
IF(OR(INDIRECT("'Datos "&amp;Tipo_Cuestionario_Cod&amp;"'!"&amp;U$1&amp;N_I_Tabla+Tabla_DOC[[#This Row],[N]]-1)="",U$2="",Tabla_DOC[[#This Row],[ENUNCIADO]]=""),"",
IF(Tipo_Cuestionario_Cod="EN",'Datos EN'!#REF!&amp;" "&amp;'Datos EN'!#REF!&amp;" "&amp;'Datos EN'!#REF!&amp;" "&amp;'Datos EN'!#REF!&amp;" "&amp;'Datos EN'!#REF!&amp;" "&amp;'Datos EN'!#REF!&amp;" "&amp;'Datos EN'!#REF!&amp;" "&amp;'Datos EN'!#REF!,
IF(Tipo_Cuestionario_Cod="RC",IF(U$1="H",'Datos RC'!#REF!&amp;" "&amp;'Datos RC'!#REF!&amp;" "&amp;'Datos RC'!#REF!&amp;" "&amp;'Datos RC'!#REF!&amp;" "&amp;'Datos RC'!#REF!&amp;" "&amp;'Datos RC'!#REF!&amp;" "&amp;'Datos RC'!#REF!&amp;" "&amp;'Datos RC'!#REF!,""),
U$2&amp;INDIRECT("'Datos "&amp;Tipo_Cuestionario_Cod&amp;"'!"&amp;U$1&amp;N_I_Tabla+Tabla_DOC[[#This Row],[N]]-1))))),"")</f>
        <v/>
      </c>
      <c r="V4" s="367" t="str">
        <f ca="1">IFERROR(IF(AND(Tipo_Cuestionario_Cod="VF",V$1="I"),V$2&amp;IF(Tabla_DOC[[#This Row],[1]]=$C$2&amp;'Formulario VF'!$I$38,'Formulario VF'!$J$38,'Formulario VF'!$I$38),
IF(OR(INDIRECT("'Datos "&amp;Tipo_Cuestionario_Cod&amp;"'!"&amp;V$1&amp;N_I_Tabla+Tabla_DOC[[#This Row],[N]]-1)="",V$2="",Tabla_DOC[[#This Row],[ENUNCIADO]]=""),"",
IF(Tipo_Cuestionario_Cod="EN",'Datos EN'!#REF!&amp;" "&amp;'Datos EN'!#REF!&amp;" "&amp;'Datos EN'!#REF!&amp;" "&amp;'Datos EN'!#REF!&amp;" "&amp;'Datos EN'!#REF!&amp;" "&amp;'Datos EN'!#REF!&amp;" "&amp;'Datos EN'!#REF!&amp;" "&amp;'Datos EN'!#REF!,
IF(Tipo_Cuestionario_Cod="RC",IF(V$1="H",'Datos RC'!#REF!&amp;" "&amp;'Datos RC'!#REF!&amp;" "&amp;'Datos RC'!#REF!&amp;" "&amp;'Datos RC'!#REF!&amp;" "&amp;'Datos RC'!#REF!&amp;" "&amp;'Datos RC'!#REF!&amp;" "&amp;'Datos RC'!#REF!&amp;" "&amp;'Datos RC'!#REF!,""),
V$2&amp;INDIRECT("'Datos "&amp;Tipo_Cuestionario_Cod&amp;"'!"&amp;V$1&amp;N_I_Tabla+Tabla_DOC[[#This Row],[N]]-1))))),"")</f>
        <v/>
      </c>
      <c r="W4" s="367" t="str">
        <f ca="1">IFERROR(IF(AND(Tipo_Cuestionario_Cod="VF",W$1="I"),W$2&amp;IF(Tabla_DOC[[#This Row],[1]]=$C$2&amp;'Formulario VF'!$I$38,'Formulario VF'!$J$38,'Formulario VF'!$I$38),
IF(OR(INDIRECT("'Datos "&amp;Tipo_Cuestionario_Cod&amp;"'!"&amp;W$1&amp;N_I_Tabla+Tabla_DOC[[#This Row],[N]]-1)="",W$2="",Tabla_DOC[[#This Row],[ENUNCIADO]]=""),"",
IF(Tipo_Cuestionario_Cod="EN",'Datos EN'!#REF!&amp;" "&amp;'Datos EN'!#REF!&amp;" "&amp;'Datos EN'!#REF!&amp;" "&amp;'Datos EN'!#REF!&amp;" "&amp;'Datos EN'!#REF!&amp;" "&amp;'Datos EN'!#REF!&amp;" "&amp;'Datos EN'!#REF!&amp;" "&amp;'Datos EN'!#REF!,
IF(Tipo_Cuestionario_Cod="RC",IF(W$1="H",'Datos RC'!#REF!&amp;" "&amp;'Datos RC'!#REF!&amp;" "&amp;'Datos RC'!#REF!&amp;" "&amp;'Datos RC'!#REF!&amp;" "&amp;'Datos RC'!#REF!&amp;" "&amp;'Datos RC'!#REF!&amp;" "&amp;'Datos RC'!#REF!&amp;" "&amp;'Datos RC'!#REF!,""),
W$2&amp;INDIRECT("'Datos "&amp;Tipo_Cuestionario_Cod&amp;"'!"&amp;W$1&amp;N_I_Tabla+Tabla_DOC[[#This Row],[N]]-1))))),"")</f>
        <v/>
      </c>
      <c r="X4" s="367" t="str">
        <f ca="1">IFERROR(IF(AND(Tipo_Cuestionario_Cod="VF",X$1="I"),X$2&amp;IF(Tabla_DOC[[#This Row],[1]]=$C$2&amp;'Formulario VF'!$I$38,'Formulario VF'!$J$38,'Formulario VF'!$I$38),
IF(OR(INDIRECT("'Datos "&amp;Tipo_Cuestionario_Cod&amp;"'!"&amp;X$1&amp;N_I_Tabla+Tabla_DOC[[#This Row],[N]]-1)="",X$2="",Tabla_DOC[[#This Row],[ENUNCIADO]]=""),"",
IF(Tipo_Cuestionario_Cod="EN",'Datos EN'!#REF!&amp;" "&amp;'Datos EN'!#REF!&amp;" "&amp;'Datos EN'!#REF!&amp;" "&amp;'Datos EN'!#REF!&amp;" "&amp;'Datos EN'!#REF!&amp;" "&amp;'Datos EN'!#REF!&amp;" "&amp;'Datos EN'!#REF!&amp;" "&amp;'Datos EN'!#REF!,
IF(Tipo_Cuestionario_Cod="RC",IF(X$1="H",'Datos RC'!#REF!&amp;" "&amp;'Datos RC'!#REF!&amp;" "&amp;'Datos RC'!#REF!&amp;" "&amp;'Datos RC'!#REF!&amp;" "&amp;'Datos RC'!#REF!&amp;" "&amp;'Datos RC'!#REF!&amp;" "&amp;'Datos RC'!#REF!&amp;" "&amp;'Datos RC'!#REF!,""),
X$2&amp;INDIRECT("'Datos "&amp;Tipo_Cuestionario_Cod&amp;"'!"&amp;X$1&amp;N_I_Tabla+Tabla_DOC[[#This Row],[N]]-1))))),"")</f>
        <v/>
      </c>
      <c r="Y4" s="367" t="str">
        <f ca="1">IFERROR(IF(AND(Tipo_Cuestionario_Cod="VF",Y$1="I"),Y$2&amp;IF(Tabla_DOC[[#This Row],[1]]=$C$2&amp;'Formulario VF'!$I$38,'Formulario VF'!$J$38,'Formulario VF'!$I$38),
IF(OR(INDIRECT("'Datos "&amp;Tipo_Cuestionario_Cod&amp;"'!"&amp;Y$1&amp;N_I_Tabla+Tabla_DOC[[#This Row],[N]]-1)="",Y$2="",Tabla_DOC[[#This Row],[ENUNCIADO]]=""),"",
IF(Tipo_Cuestionario_Cod="EN",'Datos EN'!#REF!&amp;" "&amp;'Datos EN'!#REF!&amp;" "&amp;'Datos EN'!#REF!&amp;" "&amp;'Datos EN'!#REF!&amp;" "&amp;'Datos EN'!#REF!&amp;" "&amp;'Datos EN'!#REF!&amp;" "&amp;'Datos EN'!#REF!&amp;" "&amp;'Datos EN'!#REF!,
IF(Tipo_Cuestionario_Cod="RC",IF(Y$1="H",'Datos RC'!#REF!&amp;" "&amp;'Datos RC'!#REF!&amp;" "&amp;'Datos RC'!#REF!&amp;" "&amp;'Datos RC'!#REF!&amp;" "&amp;'Datos RC'!#REF!&amp;" "&amp;'Datos RC'!#REF!&amp;" "&amp;'Datos RC'!#REF!&amp;" "&amp;'Datos RC'!#REF!,""),
Y$2&amp;INDIRECT("'Datos "&amp;Tipo_Cuestionario_Cod&amp;"'!"&amp;Y$1&amp;N_I_Tabla+Tabla_DOC[[#This Row],[N]]-1))))),"")</f>
        <v/>
      </c>
      <c r="Z4" s="367" t="str">
        <f ca="1">IFERROR(IF(AND(Tipo_Cuestionario_Cod="VF",Z$1="I"),Z$2&amp;IF(Tabla_DOC[[#This Row],[1]]=$C$2&amp;'Formulario VF'!$I$38,'Formulario VF'!$J$38,'Formulario VF'!$I$38),
IF(OR(INDIRECT("'Datos "&amp;Tipo_Cuestionario_Cod&amp;"'!"&amp;Z$1&amp;N_I_Tabla+Tabla_DOC[[#This Row],[N]]-1)="",Z$2="",Tabla_DOC[[#This Row],[ENUNCIADO]]=""),"",
IF(Tipo_Cuestionario_Cod="EN",'Datos EN'!#REF!&amp;" "&amp;'Datos EN'!#REF!&amp;" "&amp;'Datos EN'!#REF!&amp;" "&amp;'Datos EN'!#REF!&amp;" "&amp;'Datos EN'!#REF!&amp;" "&amp;'Datos EN'!#REF!&amp;" "&amp;'Datos EN'!#REF!&amp;" "&amp;'Datos EN'!#REF!,
IF(Tipo_Cuestionario_Cod="RC",IF(Z$1="H",'Datos RC'!#REF!&amp;" "&amp;'Datos RC'!#REF!&amp;" "&amp;'Datos RC'!#REF!&amp;" "&amp;'Datos RC'!#REF!&amp;" "&amp;'Datos RC'!#REF!&amp;" "&amp;'Datos RC'!#REF!&amp;" "&amp;'Datos RC'!#REF!&amp;" "&amp;'Datos RC'!#REF!,""),
Z$2&amp;INDIRECT("'Datos "&amp;Tipo_Cuestionario_Cod&amp;"'!"&amp;Z$1&amp;N_I_Tabla+Tabla_DOC[[#This Row],[N]]-1))))),"")</f>
        <v/>
      </c>
      <c r="AA4" s="407">
        <f t="shared" ref="AA4:AJ4" ca="1" si="3">IF(AND(OR(Tipo_Cuestionario_Cod="EM",Tipo_Cuestionario_Cod="PP"),ISODD(AA$2)),AA$2,RAND())</f>
        <v>0.60589913718073252</v>
      </c>
      <c r="AB4" s="407">
        <f t="shared" ca="1" si="3"/>
        <v>0.43333257698459315</v>
      </c>
      <c r="AC4" s="407">
        <f t="shared" ca="1" si="3"/>
        <v>0.73021847649537097</v>
      </c>
      <c r="AD4" s="407">
        <f t="shared" ca="1" si="3"/>
        <v>0.28710445655219585</v>
      </c>
      <c r="AE4" s="407">
        <f t="shared" ca="1" si="3"/>
        <v>0.11172392294475297</v>
      </c>
      <c r="AF4" s="407">
        <f t="shared" ca="1" si="3"/>
        <v>0.28851172153325166</v>
      </c>
      <c r="AG4" s="407">
        <f t="shared" ca="1" si="3"/>
        <v>0.78851588754196122</v>
      </c>
      <c r="AH4" s="407">
        <f t="shared" ca="1" si="3"/>
        <v>0.12088052509480496</v>
      </c>
      <c r="AI4" s="407">
        <f t="shared" ca="1" si="3"/>
        <v>0.63901001957697801</v>
      </c>
      <c r="AJ4" s="407">
        <f t="shared" ca="1" si="3"/>
        <v>0.30435066835358016</v>
      </c>
      <c r="AK4" s="407">
        <f t="shared" ref="AK4:AX4" ca="1" si="4">IF(AND(OR(Tipo_Cuestionario_Cod="EM",Tipo_Cuestionario_Cod="PP"),ISODD(AK$2)),AK$2,RAND())</f>
        <v>0.38566693070625713</v>
      </c>
      <c r="AL4" s="407">
        <f t="shared" ca="1" si="4"/>
        <v>0.24059701215295703</v>
      </c>
      <c r="AM4" s="407">
        <f t="shared" ca="1" si="4"/>
        <v>0.99293011090462902</v>
      </c>
      <c r="AN4" s="407">
        <f t="shared" ca="1" si="4"/>
        <v>2.3620369043866996E-2</v>
      </c>
      <c r="AO4" s="407">
        <f t="shared" ca="1" si="4"/>
        <v>0.23669233970826153</v>
      </c>
      <c r="AP4" s="407">
        <f t="shared" ca="1" si="4"/>
        <v>0.75123231730804219</v>
      </c>
      <c r="AQ4" s="407">
        <f t="shared" ca="1" si="4"/>
        <v>5.452486262842815E-2</v>
      </c>
      <c r="AR4" s="407">
        <f t="shared" ca="1" si="4"/>
        <v>0.10700948488644157</v>
      </c>
      <c r="AS4" s="407">
        <f t="shared" ca="1" si="4"/>
        <v>0.18748453758359029</v>
      </c>
      <c r="AT4" s="407">
        <f t="shared" ca="1" si="4"/>
        <v>0.60489749200551057</v>
      </c>
      <c r="AU4" s="407">
        <f t="shared" ca="1" si="4"/>
        <v>8.4891368231043818E-2</v>
      </c>
      <c r="AV4" s="407">
        <f t="shared" ca="1" si="4"/>
        <v>0.39152241767809326</v>
      </c>
      <c r="AW4" s="407">
        <f t="shared" ca="1" si="4"/>
        <v>0.60615917847096434</v>
      </c>
      <c r="AX4" s="407">
        <f t="shared" ca="1" si="4"/>
        <v>0.21399027933520187</v>
      </c>
      <c r="AY4" s="495" t="str">
        <f ca="1">IFERROR(IF(Tipo_Cuestionario_Cod="EM",
IF(ISEVEN(AY$3),AA$3,CHAR(RANK(AA4,INDIRECT(Tabla_DOC[[#This Row],[RANGO]]),1)*2+66)),
IF(Tipo_Cuestionario_Cod="PP",IF(ISODD(AY$3),CHAR(RANK(AA4,INDIRECT(Tabla_DOC[[#This Row],[RANGO]]),1)*2+66),CHAR(CODE(MID(AZ4,1,1))-1)),
                                              CHAR(RANK(AA4,INDIRECT(Tabla_DOC[[#This Row],[RANGO]]),1)+66)))&amp;ROW(),"")</f>
        <v/>
      </c>
      <c r="AZ4" s="495" t="str">
        <f ca="1">IFERROR(IF(Tipo_Cuestionario_Cod="EM",
IF(ISEVEN(AZ$3),AB$3,CHAR(RANK(AB4,INDIRECT(Tabla_DOC[[#This Row],[RANGO]]),1)*2+66)),
IF(Tipo_Cuestionario_Cod="PP",IF(ISODD(AZ$3),CHAR(RANK(AB4,INDIRECT(Tabla_DOC[[#This Row],[RANGO]]),1)*2+66),CHAR(CODE(MID(BA4,1,1))-1)),
                                              CHAR(RANK(AB4,INDIRECT(Tabla_DOC[[#This Row],[RANGO]]),1)+66)))&amp;ROW(),"")</f>
        <v/>
      </c>
      <c r="BA4" s="495" t="str">
        <f ca="1">IFERROR(IF(Tipo_Cuestionario_Cod="EM",
IF(ISEVEN(BA$3),AC$3,CHAR(RANK(AC4,INDIRECT(Tabla_DOC[[#This Row],[RANGO]]),1)*2+66)),
IF(Tipo_Cuestionario_Cod="PP",IF(ISODD(BA$3),CHAR(RANK(AC4,INDIRECT(Tabla_DOC[[#This Row],[RANGO]]),1)*2+66),CHAR(CODE(MID(BB4,1,1))-1)),
                                              CHAR(RANK(AC4,INDIRECT(Tabla_DOC[[#This Row],[RANGO]]),1)+66)))&amp;ROW(),"")</f>
        <v/>
      </c>
      <c r="BB4" s="495" t="str">
        <f ca="1">IFERROR(IF(Tipo_Cuestionario_Cod="EM",
IF(ISEVEN(BB$3),AD$3,CHAR(RANK(AD4,INDIRECT(Tabla_DOC[[#This Row],[RANGO]]),1)*2+66)),
IF(Tipo_Cuestionario_Cod="PP",IF(ISODD(BB$3),CHAR(RANK(AD4,INDIRECT(Tabla_DOC[[#This Row],[RANGO]]),1)*2+66),CHAR(CODE(MID(BC4,1,1))-1)),
                                              CHAR(RANK(AD4,INDIRECT(Tabla_DOC[[#This Row],[RANGO]]),1)+66)))&amp;ROW(),"")</f>
        <v/>
      </c>
      <c r="BC4" s="495" t="str">
        <f ca="1">IFERROR(IF(Tipo_Cuestionario_Cod="EM",
IF(ISEVEN(BC$3),AE$3,CHAR(RANK(AE4,INDIRECT(Tabla_DOC[[#This Row],[RANGO]]),1)*2+66)),
IF(Tipo_Cuestionario_Cod="PP",IF(ISODD(BC$3),CHAR(RANK(AE4,INDIRECT(Tabla_DOC[[#This Row],[RANGO]]),1)*2+66),CHAR(CODE(MID(BD4,1,1))-1)),
                                              CHAR(RANK(AE4,INDIRECT(Tabla_DOC[[#This Row],[RANGO]]),1)+66)))&amp;ROW(),"")</f>
        <v/>
      </c>
      <c r="BD4" s="495" t="str">
        <f ca="1">IFERROR(IF(Tipo_Cuestionario_Cod="EM",
IF(ISEVEN(BD$3),AF$3,CHAR(RANK(AF4,INDIRECT(Tabla_DOC[[#This Row],[RANGO]]),1)*2+66)),
IF(Tipo_Cuestionario_Cod="PP",IF(ISODD(BD$3),CHAR(RANK(AF4,INDIRECT(Tabla_DOC[[#This Row],[RANGO]]),1)*2+66),CHAR(CODE(MID(BE4,1,1))-1)),
                                              CHAR(RANK(AF4,INDIRECT(Tabla_DOC[[#This Row],[RANGO]]),1)+66)))&amp;ROW(),"")</f>
        <v/>
      </c>
      <c r="BE4" s="495" t="str">
        <f ca="1">IFERROR(IF(Tipo_Cuestionario_Cod="EM",
IF(ISEVEN(BE$3),AG$3,CHAR(RANK(AG4,INDIRECT(Tabla_DOC[[#This Row],[RANGO]]),1)*2+66)),
IF(Tipo_Cuestionario_Cod="PP",IF(ISODD(BE$3),CHAR(RANK(AG4,INDIRECT(Tabla_DOC[[#This Row],[RANGO]]),1)*2+66),CHAR(CODE(MID(BF4,1,1))-1)),
                                              CHAR(RANK(AG4,INDIRECT(Tabla_DOC[[#This Row],[RANGO]]),1)+66)))&amp;ROW(),"")</f>
        <v/>
      </c>
      <c r="BF4" s="495" t="str">
        <f ca="1">IFERROR(IF(Tipo_Cuestionario_Cod="EM",
IF(ISEVEN(BF$3),AH$3,CHAR(RANK(AH4,INDIRECT(Tabla_DOC[[#This Row],[RANGO]]),1)*2+66)),
IF(Tipo_Cuestionario_Cod="PP",IF(ISODD(BF$3),CHAR(RANK(AH4,INDIRECT(Tabla_DOC[[#This Row],[RANGO]]),1)*2+66),CHAR(CODE(MID(BG4,1,1))-1)),
                                              CHAR(RANK(AH4,INDIRECT(Tabla_DOC[[#This Row],[RANGO]]),1)+66)))&amp;ROW(),"")</f>
        <v/>
      </c>
      <c r="BG4" s="495" t="str">
        <f ca="1">IFERROR(IF(Tipo_Cuestionario_Cod="EM",
IF(ISEVEN(BG$3),AI$3,CHAR(RANK(AI4,INDIRECT(Tabla_DOC[[#This Row],[RANGO]]),1)*2+66)),
IF(Tipo_Cuestionario_Cod="PP",IF(ISODD(BG$3),CHAR(RANK(AI4,INDIRECT(Tabla_DOC[[#This Row],[RANGO]]),1)*2+66),CHAR(CODE(MID(BH4,1,1))-1)),
                                              CHAR(RANK(AI4,INDIRECT(Tabla_DOC[[#This Row],[RANGO]]),1)+66)))&amp;ROW(),"")</f>
        <v/>
      </c>
      <c r="BH4" s="495" t="str">
        <f ca="1">IFERROR(IF(Tipo_Cuestionario_Cod="EM",
IF(ISEVEN(BH$3),AJ$3,CHAR(RANK(AJ4,INDIRECT(Tabla_DOC[[#This Row],[RANGO]]),1)*2+66)),
IF(Tipo_Cuestionario_Cod="PP",IF(ISODD(BH$3),CHAR(RANK(AJ4,INDIRECT(Tabla_DOC[[#This Row],[RANGO]]),1)*2+66),CHAR(CODE(MID(BI4,1,1))-1)),
                                              CHAR(RANK(AJ4,INDIRECT(Tabla_DOC[[#This Row],[RANGO]]),1)+66)))&amp;ROW(),"")</f>
        <v/>
      </c>
      <c r="BI4" s="495" t="str">
        <f ca="1">IFERROR(IF(Tipo_Cuestionario_Cod="EM",
IF(ISEVEN(BI$3),AK$3,CHAR(RANK(AK4,INDIRECT(Tabla_DOC[[#This Row],[RANGO]]),1)*2+66)),
IF(Tipo_Cuestionario_Cod="PP",IF(ISODD(BI$3),CHAR(RANK(AK4,INDIRECT(Tabla_DOC[[#This Row],[RANGO]]),1)*2+66),CHAR(CODE(MID(BJ4,1,1))-1)),
                                              CHAR(RANK(AK4,INDIRECT(Tabla_DOC[[#This Row],[RANGO]]),1)+66)))&amp;ROW(),"")</f>
        <v/>
      </c>
      <c r="BJ4" s="495" t="str">
        <f ca="1">IFERROR(IF(Tipo_Cuestionario_Cod="EM",
IF(ISEVEN(BJ$3),AL$3,CHAR(RANK(AL4,INDIRECT(Tabla_DOC[[#This Row],[RANGO]]),1)*2+66)),
IF(Tipo_Cuestionario_Cod="PP",IF(ISODD(BJ$3),CHAR(RANK(AL4,INDIRECT(Tabla_DOC[[#This Row],[RANGO]]),1)*2+66),CHAR(CODE(MID(BK4,1,1))-1)),
                                              CHAR(RANK(AL4,INDIRECT(Tabla_DOC[[#This Row],[RANGO]]),1)+66)))&amp;ROW(),"")</f>
        <v/>
      </c>
      <c r="BK4" s="495" t="str">
        <f ca="1">IFERROR(IF(Tipo_Cuestionario_Cod="EM",
IF(ISEVEN(BK$3),AM$3,CHAR(RANK(AM4,INDIRECT(Tabla_DOC[[#This Row],[RANGO]]),1)*2+66)),
IF(Tipo_Cuestionario_Cod="PP",IF(ISODD(BK$3),CHAR(RANK(AM4,INDIRECT(Tabla_DOC[[#This Row],[RANGO]]),1)*2+66),CHAR(CODE(MID(BL4,1,1))-1)),
                                              CHAR(RANK(AM4,INDIRECT(Tabla_DOC[[#This Row],[RANGO]]),1)+66)))&amp;ROW(),"")</f>
        <v/>
      </c>
      <c r="BL4" s="495" t="str">
        <f ca="1">IFERROR(IF(Tipo_Cuestionario_Cod="EM",
IF(ISEVEN(BL$3),AN$3,CHAR(RANK(AN4,INDIRECT(Tabla_DOC[[#This Row],[RANGO]]),1)*2+66)),
IF(Tipo_Cuestionario_Cod="PP",IF(ISODD(BL$3),CHAR(RANK(AN4,INDIRECT(Tabla_DOC[[#This Row],[RANGO]]),1)*2+66),CHAR(CODE(MID(BM4,1,1))-1)),
                                              CHAR(RANK(AN4,INDIRECT(Tabla_DOC[[#This Row],[RANGO]]),1)+66)))&amp;ROW(),"")</f>
        <v/>
      </c>
      <c r="BM4" s="495" t="str">
        <f ca="1">IFERROR(IF(Tipo_Cuestionario_Cod="EM",
IF(ISEVEN(BM$3),AO$3,CHAR(RANK(AO4,INDIRECT(Tabla_DOC[[#This Row],[RANGO]]),1)*2+66)),
IF(Tipo_Cuestionario_Cod="PP",IF(ISODD(BM$3),CHAR(RANK(AO4,INDIRECT(Tabla_DOC[[#This Row],[RANGO]]),1)*2+66),CHAR(CODE(MID(BN4,1,1))-1)),
                                              CHAR(RANK(AO4,INDIRECT(Tabla_DOC[[#This Row],[RANGO]]),1)+66)))&amp;ROW(),"")</f>
        <v/>
      </c>
      <c r="BN4" s="495" t="str">
        <f ca="1">IFERROR(IF(Tipo_Cuestionario_Cod="EM",
IF(ISEVEN(BN$3),AP$3,CHAR(RANK(AP4,INDIRECT(Tabla_DOC[[#This Row],[RANGO]]),1)*2+66)),
IF(Tipo_Cuestionario_Cod="PP",IF(ISODD(BN$3),CHAR(RANK(AP4,INDIRECT(Tabla_DOC[[#This Row],[RANGO]]),1)*2+66),CHAR(CODE(MID(BO4,1,1))-1)),
                                              CHAR(RANK(AP4,INDIRECT(Tabla_DOC[[#This Row],[RANGO]]),1)+66)))&amp;ROW(),"")</f>
        <v/>
      </c>
      <c r="BO4" s="495" t="str">
        <f ca="1">IFERROR(IF(Tipo_Cuestionario_Cod="EM",
IF(ISEVEN(BO$3),AQ$3,CHAR(RANK(AQ4,INDIRECT(Tabla_DOC[[#This Row],[RANGO]]),1)*2+66)),
IF(Tipo_Cuestionario_Cod="PP",IF(ISODD(BO$3),CHAR(RANK(AQ4,INDIRECT(Tabla_DOC[[#This Row],[RANGO]]),1)*2+66),CHAR(CODE(MID(BP4,1,1))-1)),
                                              CHAR(RANK(AQ4,INDIRECT(Tabla_DOC[[#This Row],[RANGO]]),1)+66)))&amp;ROW(),"")</f>
        <v/>
      </c>
      <c r="BP4" s="495" t="str">
        <f ca="1">IFERROR(IF(Tipo_Cuestionario_Cod="EM",
IF(ISEVEN(BP$3),AR$3,CHAR(RANK(AR4,INDIRECT(Tabla_DOC[[#This Row],[RANGO]]),1)*2+66)),
IF(Tipo_Cuestionario_Cod="PP",IF(ISODD(BP$3),CHAR(RANK(AR4,INDIRECT(Tabla_DOC[[#This Row],[RANGO]]),1)*2+66),CHAR(CODE(MID(BQ4,1,1))-1)),
                                              CHAR(RANK(AR4,INDIRECT(Tabla_DOC[[#This Row],[RANGO]]),1)+66)))&amp;ROW(),"")</f>
        <v/>
      </c>
      <c r="BQ4" s="495" t="str">
        <f ca="1">IFERROR(IF(Tipo_Cuestionario_Cod="EM",
IF(ISEVEN(BQ$3),AS$3,CHAR(RANK(AS4,INDIRECT(Tabla_DOC[[#This Row],[RANGO]]),1)*2+66)),
IF(Tipo_Cuestionario_Cod="PP",IF(ISODD(BQ$3),CHAR(RANK(AS4,INDIRECT(Tabla_DOC[[#This Row],[RANGO]]),1)*2+66),CHAR(CODE(MID(BR4,1,1))-1)),
                                              CHAR(RANK(AS4,INDIRECT(Tabla_DOC[[#This Row],[RANGO]]),1)+66)))&amp;ROW(),"")</f>
        <v/>
      </c>
      <c r="BR4" s="495" t="str">
        <f ca="1">IFERROR(IF(Tipo_Cuestionario_Cod="EM",
IF(ISEVEN(BR$3),AT$3,CHAR(RANK(AT4,INDIRECT(Tabla_DOC[[#This Row],[RANGO]]),1)*2+66)),
IF(Tipo_Cuestionario_Cod="PP",IF(ISODD(BR$3),CHAR(RANK(AT4,INDIRECT(Tabla_DOC[[#This Row],[RANGO]]),1)*2+66),CHAR(CODE(MID(BS4,1,1))-1)),
                                              CHAR(RANK(AT4,INDIRECT(Tabla_DOC[[#This Row],[RANGO]]),1)+66)))&amp;ROW(),"")</f>
        <v/>
      </c>
      <c r="BS4" s="495" t="str">
        <f ca="1">IFERROR(IF(Tipo_Cuestionario_Cod="EM",
IF(ISEVEN(BS$3),AU$3,CHAR(RANK(AU4,INDIRECT(Tabla_DOC[[#This Row],[RANGO]]),1)*2+66)),
IF(Tipo_Cuestionario_Cod="PP",IF(ISODD(BS$3),CHAR(RANK(AU4,INDIRECT(Tabla_DOC[[#This Row],[RANGO]]),1)*2+66),CHAR(CODE(MID(BT4,1,1))-1)),
                                              CHAR(RANK(AU4,INDIRECT(Tabla_DOC[[#This Row],[RANGO]]),1)+66)))&amp;ROW(),"")</f>
        <v/>
      </c>
      <c r="BT4" s="495" t="str">
        <f ca="1">IFERROR(IF(Tipo_Cuestionario_Cod="EM",
IF(ISEVEN(BT$3),AV$3,CHAR(RANK(AV4,INDIRECT(Tabla_DOC[[#This Row],[RANGO]]),1)*2+66)),
IF(Tipo_Cuestionario_Cod="PP",IF(ISODD(BT$3),CHAR(RANK(AV4,INDIRECT(Tabla_DOC[[#This Row],[RANGO]]),1)*2+66),CHAR(CODE(MID(BU4,1,1))-1)),
                                              CHAR(RANK(AV4,INDIRECT(Tabla_DOC[[#This Row],[RANGO]]),1)+66)))&amp;ROW(),"")</f>
        <v/>
      </c>
      <c r="BU4" s="495" t="str">
        <f ca="1">IFERROR(IF(Tipo_Cuestionario_Cod="EM",
IF(ISEVEN(BU$3),AW$3,CHAR(RANK(AW4,INDIRECT(Tabla_DOC[[#This Row],[RANGO]]),1)*2+66)),
IF(Tipo_Cuestionario_Cod="PP",IF(ISODD(BU$3),CHAR(RANK(AW4,INDIRECT(Tabla_DOC[[#This Row],[RANGO]]),1)*2+66),CHAR(CODE(MID(BV4,1,1))-1)),
                                              CHAR(RANK(AW4,INDIRECT(Tabla_DOC[[#This Row],[RANGO]]),1)+66)))&amp;ROW(),"")</f>
        <v/>
      </c>
      <c r="BV4" s="495" t="str">
        <f ca="1">IFERROR(IF(Tipo_Cuestionario_Cod="EM",
IF(ISEVEN(BV$3),AX$3,CHAR(RANK(AX4,INDIRECT(Tabla_DOC[[#This Row],[RANGO]]),1)*2+66)),
IF(Tipo_Cuestionario_Cod="PP",IF(ISODD(BV$3),CHAR(RANK(AX4,INDIRECT(Tabla_DOC[[#This Row],[RANGO]]),1)*2+66),CHAR(CODE(MID(BW4,1,1))-1)),
                                              CHAR(RANK(AX4,INDIRECT(Tabla_DOC[[#This Row],[RANGO]]),1)+66)))&amp;ROW(),"")</f>
        <v/>
      </c>
      <c r="BW4" s="367">
        <f ca="1">24-COUNTIF(Tabla_DOC[[#This Row],[1]:[24]],"")</f>
        <v>0</v>
      </c>
      <c r="BX4" s="496">
        <f ca="1">RAND()</f>
        <v>0.43400083658888899</v>
      </c>
      <c r="BY4" s="495" t="str">
        <f ca="1">"DOC!$AA"&amp;ROW()&amp;":A"&amp;CHAR(CODE("A")+Tabla_DOC[[#This Row],[NR]]-1)&amp;"$"&amp;ROW()</f>
        <v>DOC!$AA4:A@$4</v>
      </c>
    </row>
  </sheetData>
  <sheetProtection algorithmName="SHA-512" hashValue="SHyjyC8FdU5sir95rOary+Y1e8/52FZylIs+59A44th40deDec2D7eCyT+P4BA+xhO9RYa75WuigmeL+RuBQJw==" saltValue="4AaZ2Go7IJx1Y9R1uodfvQ==" spinCount="100000" sheet="1" objects="1" scenarios="1" selectLockedCells="1"/>
  <pageMargins left="0.7" right="0.7" top="0.75" bottom="0.75" header="0.3" footer="0.3"/>
  <pageSetup paperSize="9" orientation="portrait" horizontalDpi="1200" verticalDpi="1200" r:id="rId1"/>
  <tableParts count="1">
    <tablePart r:id="rId2"/>
  </tableParts>
</worksheet>
</file>

<file path=xl/worksheets/sheet3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Hoja_41"/>
  <dimension ref="A1:AA4"/>
  <sheetViews>
    <sheetView showGridLines="0" showRowColHeaders="0" showZeros="0" zoomScale="130" zoomScaleNormal="130" workbookViewId="0">
      <pane xSplit="2" ySplit="2" topLeftCell="T4" activePane="bottomRight" state="frozen"/>
      <selection activeCell="A4" sqref="A4:XFD105"/>
      <selection pane="topRight" activeCell="A4" sqref="A4:XFD105"/>
      <selection pane="bottomLeft" activeCell="A4" sqref="A4:XFD105"/>
      <selection pane="bottomRight" activeCell="A5" sqref="A5:XFD9"/>
    </sheetView>
  </sheetViews>
  <sheetFormatPr baseColWidth="10" defaultColWidth="0" defaultRowHeight="15" x14ac:dyDescent="0.25"/>
  <cols>
    <col min="1" max="1" width="6.28515625" customWidth="1"/>
    <col min="2" max="2" width="65.140625" customWidth="1"/>
    <col min="3" max="3" width="16.5703125" customWidth="1"/>
    <col min="4" max="5" width="12.85546875" customWidth="1"/>
    <col min="6" max="6" width="13.28515625" customWidth="1"/>
    <col min="7" max="26" width="12.85546875" customWidth="1"/>
    <col min="27" max="27" width="2.7109375" customWidth="1"/>
    <col min="28" max="16384" width="11.42578125" hidden="1"/>
  </cols>
  <sheetData>
    <row r="1" spans="1:26" hidden="1" x14ac:dyDescent="0.25"/>
    <row r="2" spans="1:26" x14ac:dyDescent="0.25">
      <c r="A2" s="500">
        <f ca="1">DOC!A1-1</f>
        <v>0</v>
      </c>
      <c r="B2" s="323" t="str">
        <f ca="1">DOC!B2</f>
        <v xml:space="preserve">PREGUNTAS TIPO: Opción Múltiple 1R  -  -  - </v>
      </c>
      <c r="C2" s="535" t="s">
        <v>18268</v>
      </c>
    </row>
    <row r="3" spans="1:26" hidden="1" x14ac:dyDescent="0.25">
      <c r="A3" s="497" t="s">
        <v>1811</v>
      </c>
      <c r="B3" s="498" t="s">
        <v>1812</v>
      </c>
      <c r="C3" s="497" t="s">
        <v>858</v>
      </c>
      <c r="D3" s="497" t="s">
        <v>856</v>
      </c>
      <c r="E3" s="497" t="s">
        <v>859</v>
      </c>
      <c r="F3" s="497" t="s">
        <v>857</v>
      </c>
      <c r="G3" s="497" t="s">
        <v>1689</v>
      </c>
      <c r="H3" s="497" t="s">
        <v>1807</v>
      </c>
      <c r="I3" s="497" t="s">
        <v>1808</v>
      </c>
      <c r="J3" s="497" t="s">
        <v>1809</v>
      </c>
      <c r="K3" s="497" t="s">
        <v>1810</v>
      </c>
      <c r="L3" s="497" t="s">
        <v>207</v>
      </c>
      <c r="M3" s="497" t="s">
        <v>208</v>
      </c>
      <c r="N3" s="497" t="s">
        <v>209</v>
      </c>
      <c r="O3" s="497" t="s">
        <v>210</v>
      </c>
      <c r="P3" s="497" t="s">
        <v>211</v>
      </c>
      <c r="Q3" s="497" t="s">
        <v>212</v>
      </c>
      <c r="R3" s="497" t="s">
        <v>213</v>
      </c>
      <c r="S3" s="497" t="s">
        <v>214</v>
      </c>
      <c r="T3" s="497" t="s">
        <v>215</v>
      </c>
      <c r="U3" s="497" t="s">
        <v>216</v>
      </c>
      <c r="V3" s="497" t="s">
        <v>217</v>
      </c>
      <c r="W3" s="497" t="s">
        <v>218</v>
      </c>
      <c r="X3" s="497" t="s">
        <v>219</v>
      </c>
      <c r="Y3" s="497" t="s">
        <v>220</v>
      </c>
      <c r="Z3" s="497" t="s">
        <v>221</v>
      </c>
    </row>
    <row r="4" spans="1:26" x14ac:dyDescent="0.25">
      <c r="A4" s="533">
        <f ca="1">IFERROR(RANK(Tabla_DOC[[#This Row],[ALE P]],Tabla_DOC[ALE P],1),"")</f>
        <v>1</v>
      </c>
      <c r="B4" s="534" t="str">
        <f ca="1">IFERROR(ROW()-3&amp;MID(INDIRECT("DOC!B"&amp;Tabla_DOC_2[[#This Row],[N]]+3),LEN($A4)+1,10000),"")</f>
        <v xml:space="preserve">1) </v>
      </c>
      <c r="C4" s="534" t="str">
        <f ca="1">IFERROR(
IF(OR(Tipo_Cuestionario_Cod="OM",Tipo_Cuestionario_Cod="O2",Tipo_Cuestionario_Cod="VF"),
DOC!C$2&amp;MID(INDIRECT("DOC!"&amp;VLOOKUP(Tabla_DOC_2[[#This Row],[N]]+$A$2,Tabla_DOC[],C$3+50,0)),3,1000),
                                      INDIRECT("DOC!"&amp;VLOOKUP(Tabla_DOC_2[[#This Row],[N]]+$A$2,Tabla_DOC[],C$3+50,0))),"")</f>
        <v/>
      </c>
      <c r="D4" s="534" t="str">
        <f ca="1">IFERROR(
IF(OR(Tipo_Cuestionario_Cod="OM",Tipo_Cuestionario_Cod="O2",Tipo_Cuestionario_Cod="VF"),
DOC!D$2&amp;MID(INDIRECT("DOC!"&amp;VLOOKUP(Tabla_DOC_2[[#This Row],[N]]+$A$2,Tabla_DOC[],D$3+50,0)),3,1000),
                                      INDIRECT("DOC!"&amp;VLOOKUP(Tabla_DOC_2[[#This Row],[N]]+$A$2,Tabla_DOC[],D$3+50,0))),"")</f>
        <v/>
      </c>
      <c r="E4" s="534" t="str">
        <f ca="1">IFERROR(
IF(OR(Tipo_Cuestionario_Cod="OM",Tipo_Cuestionario_Cod="O2",Tipo_Cuestionario_Cod="VF"),
DOC!E$2&amp;MID(INDIRECT("DOC!"&amp;VLOOKUP(Tabla_DOC_2[[#This Row],[N]]+$A$2,Tabla_DOC[],E$3+50,0)),3,1000),
                                      INDIRECT("DOC!"&amp;VLOOKUP(Tabla_DOC_2[[#This Row],[N]]+$A$2,Tabla_DOC[],E$3+50,0))),"")</f>
        <v/>
      </c>
      <c r="F4" s="534" t="str">
        <f ca="1">IFERROR(
IF(OR(Tipo_Cuestionario_Cod="OM",Tipo_Cuestionario_Cod="O2",Tipo_Cuestionario_Cod="VF"),
DOC!F$2&amp;MID(INDIRECT("DOC!"&amp;VLOOKUP(Tabla_DOC_2[[#This Row],[N]]+$A$2,Tabla_DOC[],F$3+50,0)),3,1000),
                                      INDIRECT("DOC!"&amp;VLOOKUP(Tabla_DOC_2[[#This Row],[N]]+$A$2,Tabla_DOC[],F$3+50,0))),"")</f>
        <v/>
      </c>
      <c r="G4" s="534" t="str">
        <f ca="1">IFERROR(
IF(OR(Tipo_Cuestionario_Cod="OM",Tipo_Cuestionario_Cod="O2",Tipo_Cuestionario_Cod="VF"),
DOC!G$2&amp;MID(INDIRECT("DOC!"&amp;VLOOKUP(Tabla_DOC_2[[#This Row],[N]]+$A$2,Tabla_DOC[],G$3+50,0)),3,1000),
                                      INDIRECT("DOC!"&amp;VLOOKUP(Tabla_DOC_2[[#This Row],[N]]+$A$2,Tabla_DOC[],G$3+50,0))),"")</f>
        <v/>
      </c>
      <c r="H4" s="534" t="str">
        <f ca="1">IFERROR(
IF(OR(Tipo_Cuestionario_Cod="OM",Tipo_Cuestionario_Cod="O2",Tipo_Cuestionario_Cod="VF"),
DOC!H$2&amp;MID(INDIRECT("DOC!"&amp;VLOOKUP(Tabla_DOC_2[[#This Row],[N]]+$A$2,Tabla_DOC[],H$3+50,0)),3,1000),
                                      INDIRECT("DOC!"&amp;VLOOKUP(Tabla_DOC_2[[#This Row],[N]]+$A$2,Tabla_DOC[],H$3+50,0))),"")</f>
        <v/>
      </c>
      <c r="I4" s="534" t="str">
        <f ca="1">IFERROR(
IF(OR(Tipo_Cuestionario_Cod="OM",Tipo_Cuestionario_Cod="O2",Tipo_Cuestionario_Cod="VF"),
DOC!I$2&amp;MID(INDIRECT("DOC!"&amp;VLOOKUP(Tabla_DOC_2[[#This Row],[N]]+$A$2,Tabla_DOC[],I$3+50,0)),3,1000),
                                      INDIRECT("DOC!"&amp;VLOOKUP(Tabla_DOC_2[[#This Row],[N]]+$A$2,Tabla_DOC[],I$3+50,0))),"")</f>
        <v/>
      </c>
      <c r="J4" s="534" t="str">
        <f ca="1">IFERROR(
IF(OR(Tipo_Cuestionario_Cod="OM",Tipo_Cuestionario_Cod="O2",Tipo_Cuestionario_Cod="VF"),
DOC!J$2&amp;MID(INDIRECT("DOC!"&amp;VLOOKUP(Tabla_DOC_2[[#This Row],[N]]+$A$2,Tabla_DOC[],J$3+50,0)),3,1000),
INDIRECT("DOC!"&amp;VLOOKUP(Tabla_DOC_2[[#This Row],[N]]+$A$2,Tabla_DOC[],J$3+50,0))),"")</f>
        <v/>
      </c>
      <c r="K4" s="534" t="str">
        <f ca="1">IFERROR(
IF(OR(Tipo_Cuestionario_Cod="OM",Tipo_Cuestionario_Cod="O2",Tipo_Cuestionario_Cod="VF"),
DOC!K$2&amp;MID(INDIRECT("DOC!"&amp;VLOOKUP(Tabla_DOC_2[[#This Row],[N]]+$A$2,Tabla_DOC[],K$3+50,0)),3,1000),
INDIRECT("DOC!"&amp;VLOOKUP(Tabla_DOC_2[[#This Row],[N]]+$A$2,Tabla_DOC[],K$3+50,0))),"")</f>
        <v/>
      </c>
      <c r="L4" s="534" t="str">
        <f ca="1">IFERROR(
IF(OR(Tipo_Cuestionario_Cod="OM",Tipo_Cuestionario_Cod="O2",Tipo_Cuestionario_Cod="VF"),
DOC!L$2&amp;MID(INDIRECT("DOC!"&amp;VLOOKUP(Tabla_DOC_2[[#This Row],[N]]+$A$2,Tabla_DOC[],L$3+50,0)),3,1000),
INDIRECT("DOC!"&amp;VLOOKUP(Tabla_DOC_2[[#This Row],[N]]+$A$2,Tabla_DOC[],L$3+50,0))),"")</f>
        <v/>
      </c>
      <c r="M4" s="534" t="str">
        <f ca="1">IFERROR(
IF(OR(Tipo_Cuestionario_Cod="OM",Tipo_Cuestionario_Cod="O2",Tipo_Cuestionario_Cod="VF"),
DOC!M$2&amp;MID(INDIRECT("DOC!"&amp;VLOOKUP(Tabla_DOC_2[[#This Row],[N]]+$A$2,Tabla_DOC[],M$3+50,0)),3,1000),
INDIRECT("DOC!"&amp;VLOOKUP(Tabla_DOC_2[[#This Row],[N]]+$A$2,Tabla_DOC[],M$3+50,0))),"")</f>
        <v/>
      </c>
      <c r="N4" s="534" t="str">
        <f ca="1">IFERROR(
IF(OR(Tipo_Cuestionario_Cod="OM",Tipo_Cuestionario_Cod="O2",Tipo_Cuestionario_Cod="VF"),
DOC!N$2&amp;MID(INDIRECT("DOC!"&amp;VLOOKUP(Tabla_DOC_2[[#This Row],[N]]+$A$2,Tabla_DOC[],N$3+50,0)),3,1000),
INDIRECT("DOC!"&amp;VLOOKUP(Tabla_DOC_2[[#This Row],[N]]+$A$2,Tabla_DOC[],N$3+50,0))),"")</f>
        <v/>
      </c>
      <c r="O4" s="534" t="str">
        <f ca="1">IFERROR(
IF(OR(Tipo_Cuestionario_Cod="OM",Tipo_Cuestionario_Cod="O2",Tipo_Cuestionario_Cod="VF"),
DOC!O$2&amp;MID(INDIRECT("DOC!"&amp;VLOOKUP(Tabla_DOC_2[[#This Row],[N]]+$A$2,Tabla_DOC[],O$3+50,0)),3,1000),
INDIRECT("DOC!"&amp;VLOOKUP(Tabla_DOC_2[[#This Row],[N]]+$A$2,Tabla_DOC[],O$3+50,0))),"")</f>
        <v/>
      </c>
      <c r="P4" s="534" t="str">
        <f ca="1">IFERROR(
IF(OR(Tipo_Cuestionario_Cod="OM",Tipo_Cuestionario_Cod="O2",Tipo_Cuestionario_Cod="VF"),
DOC!P$2&amp;MID(INDIRECT("DOC!"&amp;VLOOKUP(Tabla_DOC_2[[#This Row],[N]]+$A$2,Tabla_DOC[],P$3+50,0)),3,1000),
INDIRECT("DOC!"&amp;VLOOKUP(Tabla_DOC_2[[#This Row],[N]]+$A$2,Tabla_DOC[],P$3+50,0))),"")</f>
        <v/>
      </c>
      <c r="Q4" s="534" t="str">
        <f ca="1">IFERROR(
IF(OR(Tipo_Cuestionario_Cod="OM",Tipo_Cuestionario_Cod="O2",Tipo_Cuestionario_Cod="VF"),
DOC!Q$2&amp;MID(INDIRECT("DOC!"&amp;VLOOKUP(Tabla_DOC_2[[#This Row],[N]]+$A$2,Tabla_DOC[],Q$3+50,0)),3,1000),
INDIRECT("DOC!"&amp;VLOOKUP(Tabla_DOC_2[[#This Row],[N]]+$A$2,Tabla_DOC[],Q$3+50,0))),"")</f>
        <v/>
      </c>
      <c r="R4" s="534" t="str">
        <f ca="1">IFERROR(
IF(OR(Tipo_Cuestionario_Cod="OM",Tipo_Cuestionario_Cod="O2",Tipo_Cuestionario_Cod="VF"),
DOC!R$2&amp;MID(INDIRECT("DOC!"&amp;VLOOKUP(Tabla_DOC_2[[#This Row],[N]]+$A$2,Tabla_DOC[],R$3+50,0)),3,1000),
INDIRECT("DOC!"&amp;VLOOKUP(Tabla_DOC_2[[#This Row],[N]]+$A$2,Tabla_DOC[],R$3+50,0))),"")</f>
        <v/>
      </c>
      <c r="S4" s="534" t="str">
        <f ca="1">IFERROR(
IF(OR(Tipo_Cuestionario_Cod="OM",Tipo_Cuestionario_Cod="O2",Tipo_Cuestionario_Cod="VF"),
DOC!S$2&amp;MID(INDIRECT("DOC!"&amp;VLOOKUP(Tabla_DOC_2[[#This Row],[N]]+$A$2,Tabla_DOC[],S$3+50,0)),3,1000),
INDIRECT("DOC!"&amp;VLOOKUP(Tabla_DOC_2[[#This Row],[N]]+$A$2,Tabla_DOC[],S$3+50,0))),"")</f>
        <v/>
      </c>
      <c r="T4" s="534" t="str">
        <f ca="1">IFERROR(
IF(OR(Tipo_Cuestionario_Cod="OM",Tipo_Cuestionario_Cod="O2",Tipo_Cuestionario_Cod="VF"),
DOC!T$2&amp;MID(INDIRECT("DOC!"&amp;VLOOKUP(Tabla_DOC_2[[#This Row],[N]]+$A$2,Tabla_DOC[],T$3+50,0)),3,1000),
INDIRECT("DOC!"&amp;VLOOKUP(Tabla_DOC_2[[#This Row],[N]]+$A$2,Tabla_DOC[],T$3+50,0))),"")</f>
        <v/>
      </c>
      <c r="U4" s="534" t="str">
        <f ca="1">IFERROR(
IF(OR(Tipo_Cuestionario_Cod="OM",Tipo_Cuestionario_Cod="O2",Tipo_Cuestionario_Cod="VF"),
DOC!U$2&amp;MID(INDIRECT("DOC!"&amp;VLOOKUP(Tabla_DOC_2[[#This Row],[N]]+$A$2,Tabla_DOC[],U$3+50,0)),3,1000),
INDIRECT("DOC!"&amp;VLOOKUP(Tabla_DOC_2[[#This Row],[N]]+$A$2,Tabla_DOC[],U$3+50,0))),"")</f>
        <v/>
      </c>
      <c r="V4" s="534" t="str">
        <f ca="1">IFERROR(
IF(OR(Tipo_Cuestionario_Cod="OM",Tipo_Cuestionario_Cod="O2",Tipo_Cuestionario_Cod="VF"),
DOC!V$2&amp;MID(INDIRECT("DOC!"&amp;VLOOKUP(Tabla_DOC_2[[#This Row],[N]]+$A$2,Tabla_DOC[],V$3+50,0)),3,1000),
INDIRECT("DOC!"&amp;VLOOKUP(Tabla_DOC_2[[#This Row],[N]]+$A$2,Tabla_DOC[],V$3+50,0))),"")</f>
        <v/>
      </c>
      <c r="W4" s="534" t="str">
        <f ca="1">IFERROR(
IF(OR(Tipo_Cuestionario_Cod="OM",Tipo_Cuestionario_Cod="O2",Tipo_Cuestionario_Cod="VF"),
DOC!W$2&amp;MID(INDIRECT("DOC!"&amp;VLOOKUP(Tabla_DOC_2[[#This Row],[N]]+$A$2,Tabla_DOC[],W$3+50,0)),3,1000),
INDIRECT("DOC!"&amp;VLOOKUP(Tabla_DOC_2[[#This Row],[N]]+$A$2,Tabla_DOC[],W$3+50,0))),"")</f>
        <v/>
      </c>
      <c r="X4" s="534" t="str">
        <f ca="1">IFERROR(
IF(OR(Tipo_Cuestionario_Cod="OM",Tipo_Cuestionario_Cod="O2",Tipo_Cuestionario_Cod="VF"),
DOC!X$2&amp;MID(INDIRECT("DOC!"&amp;VLOOKUP(Tabla_DOC_2[[#This Row],[N]]+$A$2,Tabla_DOC[],X$3+50,0)),3,1000),
INDIRECT("DOC!"&amp;VLOOKUP(Tabla_DOC_2[[#This Row],[N]]+$A$2,Tabla_DOC[],X$3+50,0))),"")</f>
        <v/>
      </c>
      <c r="Y4" s="534" t="str">
        <f ca="1">IFERROR(
IF(OR(Tipo_Cuestionario_Cod="OM",Tipo_Cuestionario_Cod="O2",Tipo_Cuestionario_Cod="VF"),
DOC!Y$2&amp;MID(INDIRECT("DOC!"&amp;VLOOKUP(Tabla_DOC_2[[#This Row],[N]]+$A$2,Tabla_DOC[],Y$3+50,0)),3,1000),
INDIRECT("DOC!"&amp;VLOOKUP(Tabla_DOC_2[[#This Row],[N]]+$A$2,Tabla_DOC[],Y$3+50,0))),"")</f>
        <v/>
      </c>
      <c r="Z4" s="534" t="str">
        <f ca="1">IFERROR(
IF(OR(Tipo_Cuestionario_Cod="OM",Tipo_Cuestionario_Cod="O2",Tipo_Cuestionario_Cod="VF"),
DOC!Z$2&amp;MID(INDIRECT("DOC!"&amp;VLOOKUP(Tabla_DOC_2[[#This Row],[N]]+$A$2,Tabla_DOC[],Z$3+50,0)),3,1000),
INDIRECT("DOC!"&amp;VLOOKUP(Tabla_DOC_2[[#This Row],[N]]+$A$2,Tabla_DOC[],Z$3+50,0))),"")</f>
        <v/>
      </c>
    </row>
  </sheetData>
  <sheetProtection algorithmName="SHA-512" hashValue="IlwMj1k+nb2e2FHkaLAMx06rKKgwJgta9t8nV5u+jvJqiXA27IyQhGxd5+UCE5A/Simlb8mUA9hdwuMIKx+zpg==" saltValue="YDx1/d+qXbIqmV/sMPpYcQ==" spinCount="100000" sheet="1" objects="1" scenarios="1" selectLockedCells="1"/>
  <pageMargins left="0.7" right="0.7" top="0.75" bottom="0.75" header="0.3" footer="0.3"/>
  <tableParts count="1">
    <tablePart r:id="rId1"/>
  </tableParts>
</worksheet>
</file>

<file path=xl/worksheets/sheet3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Hoja_42"/>
  <dimension ref="A1:Z66"/>
  <sheetViews>
    <sheetView showGridLines="0" showRowColHeaders="0" showZeros="0" zoomScaleNormal="100" workbookViewId="0">
      <pane xSplit="1" ySplit="2" topLeftCell="B3" activePane="bottomRight" state="frozen"/>
      <selection activeCell="A4" sqref="A4:XFD105"/>
      <selection pane="topRight" activeCell="A4" sqref="A4:XFD105"/>
      <selection pane="bottomLeft" activeCell="A4" sqref="A4:XFD105"/>
      <selection pane="bottomRight" sqref="A1:XFD1048576"/>
    </sheetView>
  </sheetViews>
  <sheetFormatPr baseColWidth="10" defaultRowHeight="15" x14ac:dyDescent="0.25"/>
  <cols>
    <col min="1" max="1" width="47.28515625" style="290" customWidth="1"/>
    <col min="2" max="25" width="15.7109375" customWidth="1"/>
    <col min="26" max="26" width="12.85546875" customWidth="1"/>
  </cols>
  <sheetData>
    <row r="1" spans="1:26" s="290" customFormat="1" x14ac:dyDescent="0.25">
      <c r="B1" s="343"/>
      <c r="C1" s="343"/>
      <c r="D1" s="343"/>
      <c r="E1" s="343"/>
      <c r="F1" s="343"/>
      <c r="G1" s="343"/>
      <c r="H1" s="343"/>
      <c r="I1" s="343"/>
      <c r="J1" s="343"/>
      <c r="K1" s="343"/>
      <c r="L1" s="343"/>
      <c r="M1" s="343"/>
      <c r="N1" s="343"/>
      <c r="O1" s="343"/>
      <c r="P1" s="343"/>
      <c r="Q1" s="343"/>
      <c r="R1" s="343"/>
      <c r="S1" s="343"/>
      <c r="T1" s="343"/>
      <c r="U1" s="343"/>
      <c r="V1" s="343"/>
      <c r="W1" s="343"/>
      <c r="X1" s="343"/>
      <c r="Y1" s="343"/>
      <c r="Z1" s="343"/>
    </row>
    <row r="2" spans="1:26" x14ac:dyDescent="0.25">
      <c r="A2" s="324"/>
      <c r="C2" s="37"/>
      <c r="D2" s="37"/>
      <c r="E2" s="37"/>
      <c r="F2" s="37"/>
      <c r="G2" s="37"/>
      <c r="H2" s="37"/>
      <c r="I2" s="37"/>
      <c r="J2" s="37"/>
      <c r="K2" s="37"/>
      <c r="L2" s="37"/>
      <c r="M2" s="37"/>
      <c r="N2" s="37"/>
      <c r="O2" s="37"/>
      <c r="P2" s="37"/>
      <c r="Q2" s="37"/>
      <c r="R2" s="37"/>
      <c r="S2" s="37"/>
      <c r="T2" s="37"/>
      <c r="U2" s="37"/>
      <c r="V2" s="37"/>
      <c r="W2" s="37"/>
      <c r="X2" s="37"/>
      <c r="Y2" s="37"/>
      <c r="Z2" s="37"/>
    </row>
    <row r="3" spans="1:26" x14ac:dyDescent="0.25">
      <c r="A3" s="506"/>
    </row>
    <row r="4" spans="1:26" x14ac:dyDescent="0.25">
      <c r="A4" s="506"/>
    </row>
    <row r="5" spans="1:26" x14ac:dyDescent="0.25">
      <c r="A5" s="506"/>
    </row>
    <row r="6" spans="1:26" x14ac:dyDescent="0.25">
      <c r="A6" s="506"/>
    </row>
    <row r="7" spans="1:26" x14ac:dyDescent="0.25">
      <c r="A7" s="506"/>
    </row>
    <row r="8" spans="1:26" x14ac:dyDescent="0.25">
      <c r="A8" s="506"/>
    </row>
    <row r="9" spans="1:26" x14ac:dyDescent="0.25">
      <c r="A9" s="506"/>
    </row>
    <row r="10" spans="1:26" x14ac:dyDescent="0.25">
      <c r="A10" s="506"/>
    </row>
    <row r="11" spans="1:26" x14ac:dyDescent="0.25">
      <c r="A11" s="506"/>
    </row>
    <row r="12" spans="1:26" x14ac:dyDescent="0.25">
      <c r="A12" s="506"/>
    </row>
    <row r="13" spans="1:26" x14ac:dyDescent="0.25">
      <c r="A13" s="506"/>
    </row>
    <row r="14" spans="1:26" x14ac:dyDescent="0.25">
      <c r="A14" s="506"/>
    </row>
    <row r="15" spans="1:26" x14ac:dyDescent="0.25">
      <c r="A15" s="506"/>
    </row>
    <row r="16" spans="1:26" x14ac:dyDescent="0.25">
      <c r="A16" s="506"/>
    </row>
    <row r="17" spans="1:1" x14ac:dyDescent="0.25">
      <c r="A17" s="506"/>
    </row>
    <row r="18" spans="1:1" x14ac:dyDescent="0.25">
      <c r="A18" s="506"/>
    </row>
    <row r="19" spans="1:1" x14ac:dyDescent="0.25">
      <c r="A19" s="506"/>
    </row>
    <row r="20" spans="1:1" x14ac:dyDescent="0.25">
      <c r="A20" s="506"/>
    </row>
    <row r="21" spans="1:1" x14ac:dyDescent="0.25">
      <c r="A21" s="506"/>
    </row>
    <row r="22" spans="1:1" x14ac:dyDescent="0.25">
      <c r="A22" s="506"/>
    </row>
    <row r="23" spans="1:1" x14ac:dyDescent="0.25">
      <c r="A23" s="506"/>
    </row>
    <row r="24" spans="1:1" x14ac:dyDescent="0.25">
      <c r="A24" s="506"/>
    </row>
    <row r="25" spans="1:1" x14ac:dyDescent="0.25">
      <c r="A25" s="506"/>
    </row>
    <row r="26" spans="1:1" x14ac:dyDescent="0.25">
      <c r="A26" s="506"/>
    </row>
    <row r="27" spans="1:1" x14ac:dyDescent="0.25">
      <c r="A27" s="506"/>
    </row>
    <row r="28" spans="1:1" x14ac:dyDescent="0.25">
      <c r="A28" s="506"/>
    </row>
    <row r="29" spans="1:1" x14ac:dyDescent="0.25">
      <c r="A29" s="506"/>
    </row>
    <row r="30" spans="1:1" x14ac:dyDescent="0.25">
      <c r="A30" s="506"/>
    </row>
    <row r="31" spans="1:1" x14ac:dyDescent="0.25">
      <c r="A31" s="506"/>
    </row>
    <row r="32" spans="1:1" x14ac:dyDescent="0.25">
      <c r="A32" s="506"/>
    </row>
    <row r="33" spans="1:1" x14ac:dyDescent="0.25">
      <c r="A33" s="506"/>
    </row>
    <row r="34" spans="1:1" x14ac:dyDescent="0.25">
      <c r="A34" s="506"/>
    </row>
    <row r="35" spans="1:1" x14ac:dyDescent="0.25">
      <c r="A35" s="506"/>
    </row>
    <row r="36" spans="1:1" x14ac:dyDescent="0.25">
      <c r="A36" s="506"/>
    </row>
    <row r="37" spans="1:1" x14ac:dyDescent="0.25">
      <c r="A37" s="506"/>
    </row>
    <row r="38" spans="1:1" x14ac:dyDescent="0.25">
      <c r="A38" s="506"/>
    </row>
    <row r="39" spans="1:1" x14ac:dyDescent="0.25">
      <c r="A39" s="506"/>
    </row>
    <row r="40" spans="1:1" x14ac:dyDescent="0.25">
      <c r="A40" s="506"/>
    </row>
    <row r="41" spans="1:1" x14ac:dyDescent="0.25">
      <c r="A41" s="506"/>
    </row>
    <row r="42" spans="1:1" x14ac:dyDescent="0.25">
      <c r="A42" s="506"/>
    </row>
    <row r="43" spans="1:1" x14ac:dyDescent="0.25">
      <c r="A43" s="506"/>
    </row>
    <row r="44" spans="1:1" x14ac:dyDescent="0.25">
      <c r="A44" s="506"/>
    </row>
    <row r="45" spans="1:1" x14ac:dyDescent="0.25">
      <c r="A45" s="506"/>
    </row>
    <row r="46" spans="1:1" x14ac:dyDescent="0.25">
      <c r="A46" s="506"/>
    </row>
    <row r="47" spans="1:1" x14ac:dyDescent="0.25">
      <c r="A47" s="506"/>
    </row>
    <row r="48" spans="1:1" x14ac:dyDescent="0.25">
      <c r="A48" s="506"/>
    </row>
    <row r="49" spans="1:1" x14ac:dyDescent="0.25">
      <c r="A49" s="506"/>
    </row>
    <row r="50" spans="1:1" x14ac:dyDescent="0.25">
      <c r="A50" s="506"/>
    </row>
    <row r="51" spans="1:1" x14ac:dyDescent="0.25">
      <c r="A51" s="506"/>
    </row>
    <row r="52" spans="1:1" x14ac:dyDescent="0.25">
      <c r="A52" s="506"/>
    </row>
    <row r="53" spans="1:1" x14ac:dyDescent="0.25">
      <c r="A53" s="506"/>
    </row>
    <row r="54" spans="1:1" x14ac:dyDescent="0.25">
      <c r="A54" s="506"/>
    </row>
    <row r="55" spans="1:1" x14ac:dyDescent="0.25">
      <c r="A55" s="506"/>
    </row>
    <row r="56" spans="1:1" x14ac:dyDescent="0.25">
      <c r="A56" s="506"/>
    </row>
    <row r="57" spans="1:1" x14ac:dyDescent="0.25">
      <c r="A57" s="506"/>
    </row>
    <row r="58" spans="1:1" x14ac:dyDescent="0.25">
      <c r="A58" s="506"/>
    </row>
    <row r="59" spans="1:1" x14ac:dyDescent="0.25">
      <c r="A59" s="506"/>
    </row>
    <row r="60" spans="1:1" x14ac:dyDescent="0.25">
      <c r="A60" s="506"/>
    </row>
    <row r="61" spans="1:1" x14ac:dyDescent="0.25">
      <c r="A61" s="506"/>
    </row>
    <row r="62" spans="1:1" x14ac:dyDescent="0.25">
      <c r="A62" s="506"/>
    </row>
    <row r="63" spans="1:1" x14ac:dyDescent="0.25">
      <c r="A63" s="506"/>
    </row>
    <row r="64" spans="1:1" x14ac:dyDescent="0.25">
      <c r="A64" s="506"/>
    </row>
    <row r="65" spans="1:1" x14ac:dyDescent="0.25">
      <c r="A65" s="506"/>
    </row>
    <row r="66" spans="1:1" x14ac:dyDescent="0.25">
      <c r="A66" s="506"/>
    </row>
  </sheetData>
  <sheetProtection algorithmName="SHA-512" hashValue="YrRasLDxO+/WOPpm0gEtyddF+8TmxmbBl9qVUf27NwTjZIZJsNybhzt3U3D8EbtmuLU7es24crKRzxwFVBrX4g==" saltValue="lYlMHB6a0qdCl1tFxFpDpg==" spinCount="100000" sheet="1" objects="1" scenarios="1" selectLockedCells="1"/>
  <pageMargins left="0.7" right="0.7" top="0.75" bottom="0.75" header="0.3" footer="0.3"/>
</worksheet>
</file>

<file path=xl/worksheets/sheet3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Hoja_45"/>
  <dimension ref="A1:U3"/>
  <sheetViews>
    <sheetView showGridLines="0" showRowColHeaders="0" showZeros="0" zoomScale="130" zoomScaleNormal="130" workbookViewId="0">
      <pane xSplit="4" ySplit="2" topLeftCell="Q3" activePane="bottomRight" state="frozen"/>
      <selection activeCell="A4" sqref="A4:XFD105"/>
      <selection pane="topRight" activeCell="A4" sqref="A4:XFD105"/>
      <selection pane="bottomLeft" activeCell="A4" sqref="A4:XFD105"/>
      <selection pane="bottomRight" activeCell="R1" sqref="R1:U1048576"/>
    </sheetView>
  </sheetViews>
  <sheetFormatPr baseColWidth="10" defaultColWidth="0" defaultRowHeight="15" customHeight="1" outlineLevelRow="1" outlineLevelCol="1" x14ac:dyDescent="0.25"/>
  <cols>
    <col min="1" max="1" width="61.5703125" style="21" customWidth="1"/>
    <col min="2" max="4" width="18.5703125" style="21" customWidth="1"/>
    <col min="5" max="5" width="18.5703125" style="21" hidden="1" customWidth="1" outlineLevel="1"/>
    <col min="6" max="10" width="11.7109375" style="21" hidden="1" customWidth="1" outlineLevel="1"/>
    <col min="11" max="16" width="9.140625" style="21" hidden="1" customWidth="1" outlineLevel="1"/>
    <col min="17" max="17" width="2.85546875" style="21" customWidth="1" collapsed="1"/>
    <col min="18" max="21" width="5.7109375" style="21" customWidth="1"/>
    <col min="22" max="16384" width="11.42578125" style="21" hidden="1"/>
  </cols>
  <sheetData>
    <row r="1" spans="1:16" s="339" customFormat="1" ht="15.75" hidden="1" customHeight="1" outlineLevel="1" x14ac:dyDescent="0.25">
      <c r="A1" s="508">
        <f ca="1">N_INICIAL-P_Min+1</f>
        <v>1</v>
      </c>
      <c r="B1" s="511">
        <f ca="1">COUNTA(A3:A3)</f>
        <v>1</v>
      </c>
      <c r="C1" s="509">
        <f>ROW(Tabla_OCA[[#Headers],[Enunciado]])+1</f>
        <v>3</v>
      </c>
      <c r="D1" s="33" t="s">
        <v>1813</v>
      </c>
      <c r="E1" s="509" t="str">
        <f>CHAR(CODE(D1)+1)</f>
        <v>H</v>
      </c>
      <c r="F1" s="509" t="str">
        <f t="shared" ref="F1:P1" si="0">CHAR(CODE(E1)+1)</f>
        <v>I</v>
      </c>
      <c r="G1" s="509" t="str">
        <f t="shared" si="0"/>
        <v>J</v>
      </c>
      <c r="H1" s="509" t="str">
        <f t="shared" si="0"/>
        <v>K</v>
      </c>
      <c r="I1" s="509" t="str">
        <f t="shared" si="0"/>
        <v>L</v>
      </c>
      <c r="J1" s="509" t="str">
        <f t="shared" si="0"/>
        <v>M</v>
      </c>
      <c r="K1" s="33" t="str">
        <f>CHAR(CODE(J1)+7)</f>
        <v>T</v>
      </c>
      <c r="L1" s="509" t="str">
        <f t="shared" si="0"/>
        <v>U</v>
      </c>
      <c r="M1" s="509" t="str">
        <f t="shared" si="0"/>
        <v>V</v>
      </c>
      <c r="N1" s="509" t="str">
        <f t="shared" si="0"/>
        <v>W</v>
      </c>
      <c r="O1" s="509" t="str">
        <f t="shared" si="0"/>
        <v>X</v>
      </c>
      <c r="P1" s="509" t="str">
        <f t="shared" si="0"/>
        <v>Y</v>
      </c>
    </row>
    <row r="2" spans="1:16" collapsed="1" x14ac:dyDescent="0.25">
      <c r="A2" s="206" t="s">
        <v>24</v>
      </c>
      <c r="B2" s="218" t="s">
        <v>1610</v>
      </c>
      <c r="C2" s="219" t="s">
        <v>1611</v>
      </c>
      <c r="D2" s="220" t="s">
        <v>1612</v>
      </c>
      <c r="E2" s="218" t="s">
        <v>1551</v>
      </c>
      <c r="F2" s="219" t="s">
        <v>1552</v>
      </c>
      <c r="G2" s="220" t="s">
        <v>1553</v>
      </c>
      <c r="H2" s="221" t="s">
        <v>1554</v>
      </c>
      <c r="I2" s="222" t="s">
        <v>1555</v>
      </c>
      <c r="J2" s="223" t="s">
        <v>1556</v>
      </c>
      <c r="K2" s="218" t="s">
        <v>1557</v>
      </c>
      <c r="L2" s="219" t="s">
        <v>1558</v>
      </c>
      <c r="M2" s="220" t="s">
        <v>1559</v>
      </c>
      <c r="N2" s="221" t="s">
        <v>1560</v>
      </c>
      <c r="O2" s="222" t="s">
        <v>1561</v>
      </c>
      <c r="P2" s="223" t="s">
        <v>1562</v>
      </c>
    </row>
    <row r="3" spans="1:16" ht="15" customHeight="1" x14ac:dyDescent="0.25">
      <c r="A3" s="338">
        <f ca="1">INDIRECT("'Datos OM'!"&amp;D$1&amp;ROW()+$C$1)</f>
        <v>0</v>
      </c>
      <c r="B3" s="510">
        <f ca="1">INDEX(Tabla_OCA[[#This Row],[Respuesta 1]:[Respuesta 6]],1,MATCH(MAX(Tabla_OCA[[#This Row],[Puntos 1]:[Puntos 6]]),Tabla_OCA[[#This Row],[Puntos 1]:[Puntos 6]],0))</f>
        <v>0</v>
      </c>
      <c r="C3" s="510">
        <f ca="1">IF(Tabla_OCA[[#This Row],[Respuesta / Answer 1]]=Tabla_OCA[[#This Row],[Respuesta 1]],Tabla_OCA[[#This Row],[Respuesta 2]],INDEX(Tabla_OCA[[#This Row],[Respuesta 1]:[Respuesta 6]],1,MATCH(MIN(Tabla_OCA[[#This Row],[Puntos 1]:[Puntos 6]]),Tabla_OCA[[#This Row],[Puntos 1]:[Puntos 6]],0)))</f>
        <v>0</v>
      </c>
      <c r="D3" s="510">
        <f ca="1">IF(Tabla_OCA[[#This Row],[Respuesta / Answer 2]]=Tabla_OCA[[#This Row],[Respuesta 2]],Tabla_OCA[[#This Row],[Respuesta 3]],INDEX(Tabla_OCA[[#This Row],[Respuesta 1]:[Respuesta 6]],1,MATCH(MIN(Tabla_OCA[[#This Row],[Puntos 1]:[Puntos 6]]),Tabla_OCA[[#This Row],[Puntos 1]:[Puntos 6]],0)+
                                                                                                         IF(MATCH(MAX(Tabla_OCA[[#This Row],[Puntos 1]:[Puntos 6]]),Tabla_OCA[[#This Row],[Puntos 1]:[Puntos 6]],0)=2,2,1)))</f>
        <v>0</v>
      </c>
      <c r="E3" s="338">
        <f t="shared" ref="E3:P3" ca="1" si="1">INDIRECT("'Datos OM'!"&amp;E$1&amp;ROW()+$C$1)</f>
        <v>0</v>
      </c>
      <c r="F3" s="338">
        <f t="shared" ca="1" si="1"/>
        <v>0</v>
      </c>
      <c r="G3" s="338">
        <f t="shared" ca="1" si="1"/>
        <v>0</v>
      </c>
      <c r="H3" s="338">
        <f t="shared" ca="1" si="1"/>
        <v>0</v>
      </c>
      <c r="I3" s="338">
        <f t="shared" ca="1" si="1"/>
        <v>0</v>
      </c>
      <c r="J3" s="338">
        <f t="shared" ca="1" si="1"/>
        <v>0</v>
      </c>
      <c r="K3" s="338">
        <f t="shared" ca="1" si="1"/>
        <v>0</v>
      </c>
      <c r="L3" s="338">
        <f t="shared" ca="1" si="1"/>
        <v>0</v>
      </c>
      <c r="M3" s="338">
        <f t="shared" ca="1" si="1"/>
        <v>0</v>
      </c>
      <c r="N3" s="338">
        <f t="shared" ca="1" si="1"/>
        <v>0</v>
      </c>
      <c r="O3" s="338">
        <f t="shared" ca="1" si="1"/>
        <v>0</v>
      </c>
      <c r="P3" s="338">
        <f t="shared" ca="1" si="1"/>
        <v>0</v>
      </c>
    </row>
  </sheetData>
  <sheetProtection algorithmName="SHA-512" hashValue="sHqDIdUsZOlL8LUej84ca/cQUFO0Qwx8rGusb7r9F8wx4VrBJTgJip2j0CLjQFxrMkvPzkvPGdhnE/XfMWwwHA==" saltValue="vZstubZgCXyu1dqgLXbU7g==" spinCount="100000" sheet="1" objects="1" scenarios="1" selectLockedCells="1"/>
  <conditionalFormatting sqref="G2:J2 A2 D2">
    <cfRule type="cellIs" dxfId="28" priority="11" operator="equal">
      <formula>""</formula>
    </cfRule>
    <cfRule type="cellIs" dxfId="27" priority="12" operator="equal">
      <formula>0</formula>
    </cfRule>
  </conditionalFormatting>
  <conditionalFormatting sqref="F2">
    <cfRule type="cellIs" dxfId="26" priority="9" operator="equal">
      <formula>""</formula>
    </cfRule>
    <cfRule type="cellIs" dxfId="25" priority="10" operator="equal">
      <formula>0</formula>
    </cfRule>
  </conditionalFormatting>
  <conditionalFormatting sqref="K2:P2">
    <cfRule type="cellIs" dxfId="24" priority="7" operator="equal">
      <formula>""</formula>
    </cfRule>
    <cfRule type="cellIs" dxfId="23" priority="8" operator="equal">
      <formula>0</formula>
    </cfRule>
  </conditionalFormatting>
  <conditionalFormatting sqref="B2">
    <cfRule type="cellIs" dxfId="22" priority="5" operator="equal">
      <formula>""</formula>
    </cfRule>
    <cfRule type="cellIs" dxfId="21" priority="6" operator="equal">
      <formula>0</formula>
    </cfRule>
  </conditionalFormatting>
  <conditionalFormatting sqref="C2">
    <cfRule type="cellIs" dxfId="20" priority="3" operator="equal">
      <formula>""</formula>
    </cfRule>
    <cfRule type="cellIs" dxfId="19" priority="4" operator="equal">
      <formula>0</formula>
    </cfRule>
  </conditionalFormatting>
  <conditionalFormatting sqref="E2">
    <cfRule type="cellIs" dxfId="18" priority="1" operator="equal">
      <formula>""</formula>
    </cfRule>
    <cfRule type="cellIs" dxfId="17" priority="2" operator="equal">
      <formula>0</formula>
    </cfRule>
  </conditionalFormatting>
  <pageMargins left="0.7" right="0.7" top="0.75" bottom="0.75" header="0.3" footer="0.3"/>
  <pageSetup paperSize="9" orientation="portrait" horizontalDpi="1200" verticalDpi="1200" r:id="rId1"/>
  <tableParts count="1">
    <tablePart r:id="rId2"/>
  </tableParts>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Hojas de cálculo</vt:lpstr>
      </vt:variant>
      <vt:variant>
        <vt:i4>32</vt:i4>
      </vt:variant>
      <vt:variant>
        <vt:lpstr>Rangos con nombre</vt:lpstr>
      </vt:variant>
      <vt:variant>
        <vt:i4>3419</vt:i4>
      </vt:variant>
    </vt:vector>
  </HeadingPairs>
  <TitlesOfParts>
    <vt:vector size="3451" baseType="lpstr">
      <vt:lpstr>DICCIONARIO</vt:lpstr>
      <vt:lpstr>INICIO</vt:lpstr>
      <vt:lpstr>DATOS GENERALES</vt:lpstr>
      <vt:lpstr>Formulario OM</vt:lpstr>
      <vt:lpstr>Datos OM</vt:lpstr>
      <vt:lpstr>Formulario O2</vt:lpstr>
      <vt:lpstr>Datos O2</vt:lpstr>
      <vt:lpstr>Formulario VF</vt:lpstr>
      <vt:lpstr>Datos VF</vt:lpstr>
      <vt:lpstr>Formulario EM</vt:lpstr>
      <vt:lpstr>Datos EM</vt:lpstr>
      <vt:lpstr>Formulario RC</vt:lpstr>
      <vt:lpstr>Datos RC</vt:lpstr>
      <vt:lpstr>Formulario PP</vt:lpstr>
      <vt:lpstr>Datos PP</vt:lpstr>
      <vt:lpstr>Formulario EN</vt:lpstr>
      <vt:lpstr>Datos EN</vt:lpstr>
      <vt:lpstr>Formulario CL</vt:lpstr>
      <vt:lpstr>Datos CL</vt:lpstr>
      <vt:lpstr>XML OM</vt:lpstr>
      <vt:lpstr>XML O2</vt:lpstr>
      <vt:lpstr>XML VF</vt:lpstr>
      <vt:lpstr>XML EM</vt:lpstr>
      <vt:lpstr>XML RC</vt:lpstr>
      <vt:lpstr>XML PP</vt:lpstr>
      <vt:lpstr>XML EN</vt:lpstr>
      <vt:lpstr>XML CL</vt:lpstr>
      <vt:lpstr>XML</vt:lpstr>
      <vt:lpstr>DOC</vt:lpstr>
      <vt:lpstr>DOC_2</vt:lpstr>
      <vt:lpstr>DOC_TEMP</vt:lpstr>
      <vt:lpstr>OCA</vt:lpstr>
      <vt:lpstr>AA_EN</vt:lpstr>
      <vt:lpstr>ANCHO_RC</vt:lpstr>
      <vt:lpstr>APP</vt:lpstr>
      <vt:lpstr>ARCH_PERM_EN</vt:lpstr>
      <vt:lpstr>ARCH_REQ_EN</vt:lpstr>
      <vt:lpstr>AUTOR</vt:lpstr>
      <vt:lpstr>B_R</vt:lpstr>
      <vt:lpstr>BARAJAR_R</vt:lpstr>
      <vt:lpstr>C_SIMPLE</vt:lpstr>
      <vt:lpstr>Cambio_CL</vt:lpstr>
      <vt:lpstr>Cambio_EM</vt:lpstr>
      <vt:lpstr>Cambio_EN</vt:lpstr>
      <vt:lpstr>Cambio_O2</vt:lpstr>
      <vt:lpstr>Cambio_OM</vt:lpstr>
      <vt:lpstr>Cambio_PP</vt:lpstr>
      <vt:lpstr>Cambio_RC</vt:lpstr>
      <vt:lpstr>Cambio_Version</vt:lpstr>
      <vt:lpstr>Cambio_VF</vt:lpstr>
      <vt:lpstr>'DATOS GENERALES'!Categ_01</vt:lpstr>
      <vt:lpstr>'DATOS GENERALES'!Categ_02</vt:lpstr>
      <vt:lpstr>'DATOS GENERALES'!Categ_03</vt:lpstr>
      <vt:lpstr>'DATOS GENERALES'!Categ_04</vt:lpstr>
      <vt:lpstr>'DATOS GENERALES'!Categ_05</vt:lpstr>
      <vt:lpstr>'DATOS GENERALES'!Categ_06</vt:lpstr>
      <vt:lpstr>'DATOS GENERALES'!Categ_07</vt:lpstr>
      <vt:lpstr>'DATOS GENERALES'!Categ_08</vt:lpstr>
      <vt:lpstr>'DATOS GENERALES'!Categ_09</vt:lpstr>
      <vt:lpstr>'DATOS GENERALES'!Categ_10</vt:lpstr>
      <vt:lpstr>Categ_11</vt:lpstr>
      <vt:lpstr>Categ_12</vt:lpstr>
      <vt:lpstr>Categ_13</vt:lpstr>
      <vt:lpstr>Categ_14</vt:lpstr>
      <vt:lpstr>Categ_15</vt:lpstr>
      <vt:lpstr>Categ_16</vt:lpstr>
      <vt:lpstr>Categ_17</vt:lpstr>
      <vt:lpstr>Categ_18</vt:lpstr>
      <vt:lpstr>Categ_19</vt:lpstr>
      <vt:lpstr>Categ_20</vt:lpstr>
      <vt:lpstr>Centrar_Tabla</vt:lpstr>
      <vt:lpstr>Centrar_Tabla_CL</vt:lpstr>
      <vt:lpstr>Centrar_Tabla_EM</vt:lpstr>
      <vt:lpstr>Centrar_Tabla_EN</vt:lpstr>
      <vt:lpstr>Centrar_Tabla_O2</vt:lpstr>
      <vt:lpstr>Centrar_Tabla_OM</vt:lpstr>
      <vt:lpstr>Centrar_Tabla_PP</vt:lpstr>
      <vt:lpstr>Centrar_Tabla_RC</vt:lpstr>
      <vt:lpstr>Centrar_Tabla_VF</vt:lpstr>
      <vt:lpstr>CODIGO_COLOR</vt:lpstr>
      <vt:lpstr>CONTRASEN_A</vt:lpstr>
      <vt:lpstr>'Formulario CL'!Dato_01</vt:lpstr>
      <vt:lpstr>'Formulario EM'!Dato_01</vt:lpstr>
      <vt:lpstr>'Formulario EN'!Dato_01</vt:lpstr>
      <vt:lpstr>'Formulario O2'!Dato_01</vt:lpstr>
      <vt:lpstr>'Formulario OM'!Dato_01</vt:lpstr>
      <vt:lpstr>'Formulario PP'!Dato_01</vt:lpstr>
      <vt:lpstr>'Formulario RC'!Dato_01</vt:lpstr>
      <vt:lpstr>'Formulario VF'!Dato_01</vt:lpstr>
      <vt:lpstr>'Formulario CL'!Dato_02</vt:lpstr>
      <vt:lpstr>'Formulario EM'!Dato_02</vt:lpstr>
      <vt:lpstr>'Formulario EN'!Dato_02</vt:lpstr>
      <vt:lpstr>'Formulario O2'!Dato_02</vt:lpstr>
      <vt:lpstr>'Formulario OM'!Dato_02</vt:lpstr>
      <vt:lpstr>'Formulario PP'!Dato_02</vt:lpstr>
      <vt:lpstr>'Formulario RC'!Dato_02</vt:lpstr>
      <vt:lpstr>'Formulario VF'!Dato_02</vt:lpstr>
      <vt:lpstr>'Formulario CL'!Dato_03</vt:lpstr>
      <vt:lpstr>'Formulario EM'!Dato_03</vt:lpstr>
      <vt:lpstr>'Formulario EN'!Dato_03</vt:lpstr>
      <vt:lpstr>'Formulario O2'!Dato_03</vt:lpstr>
      <vt:lpstr>'Formulario OM'!Dato_03</vt:lpstr>
      <vt:lpstr>'Formulario PP'!Dato_03</vt:lpstr>
      <vt:lpstr>'Formulario RC'!Dato_03</vt:lpstr>
      <vt:lpstr>'Formulario VF'!Dato_03</vt:lpstr>
      <vt:lpstr>'Formulario CL'!Dato_04</vt:lpstr>
      <vt:lpstr>'Formulario EM'!Dato_04</vt:lpstr>
      <vt:lpstr>'Formulario EN'!Dato_04</vt:lpstr>
      <vt:lpstr>'Formulario O2'!Dato_04</vt:lpstr>
      <vt:lpstr>'Formulario OM'!Dato_04</vt:lpstr>
      <vt:lpstr>'Formulario PP'!Dato_04</vt:lpstr>
      <vt:lpstr>'Formulario RC'!Dato_04</vt:lpstr>
      <vt:lpstr>'Formulario VF'!Dato_04</vt:lpstr>
      <vt:lpstr>'Formulario CL'!Dato_05</vt:lpstr>
      <vt:lpstr>'Formulario EM'!Dato_05</vt:lpstr>
      <vt:lpstr>'Formulario EN'!Dato_05</vt:lpstr>
      <vt:lpstr>'Formulario O2'!Dato_05</vt:lpstr>
      <vt:lpstr>'Formulario OM'!Dato_05</vt:lpstr>
      <vt:lpstr>'Formulario PP'!Dato_05</vt:lpstr>
      <vt:lpstr>'Formulario RC'!Dato_05</vt:lpstr>
      <vt:lpstr>'Formulario VF'!Dato_05</vt:lpstr>
      <vt:lpstr>'Formulario CL'!Dato_06</vt:lpstr>
      <vt:lpstr>'Formulario EM'!Dato_06</vt:lpstr>
      <vt:lpstr>'Formulario EN'!Dato_06</vt:lpstr>
      <vt:lpstr>'Formulario O2'!Dato_06</vt:lpstr>
      <vt:lpstr>'Formulario OM'!Dato_06</vt:lpstr>
      <vt:lpstr>'Formulario PP'!Dato_06</vt:lpstr>
      <vt:lpstr>'Formulario RC'!Dato_06</vt:lpstr>
      <vt:lpstr>'Formulario VF'!Dato_06</vt:lpstr>
      <vt:lpstr>'Formulario CL'!Dato_07</vt:lpstr>
      <vt:lpstr>'Formulario EM'!Dato_07</vt:lpstr>
      <vt:lpstr>'Formulario EN'!Dato_07</vt:lpstr>
      <vt:lpstr>'Formulario O2'!Dato_07</vt:lpstr>
      <vt:lpstr>'Formulario OM'!Dato_07</vt:lpstr>
      <vt:lpstr>'Formulario PP'!Dato_07</vt:lpstr>
      <vt:lpstr>'Formulario RC'!Dato_07</vt:lpstr>
      <vt:lpstr>'Formulario VF'!Dato_07</vt:lpstr>
      <vt:lpstr>'Formulario CL'!Dato_08</vt:lpstr>
      <vt:lpstr>'Formulario EM'!Dato_08</vt:lpstr>
      <vt:lpstr>'Formulario EN'!Dato_08</vt:lpstr>
      <vt:lpstr>'Formulario O2'!Dato_08</vt:lpstr>
      <vt:lpstr>'Formulario OM'!Dato_08</vt:lpstr>
      <vt:lpstr>'Formulario PP'!Dato_08</vt:lpstr>
      <vt:lpstr>'Formulario RC'!Dato_08</vt:lpstr>
      <vt:lpstr>'Formulario VF'!Dato_08</vt:lpstr>
      <vt:lpstr>'Formulario CL'!Dato_09</vt:lpstr>
      <vt:lpstr>'Formulario EM'!Dato_09</vt:lpstr>
      <vt:lpstr>'Formulario EN'!Dato_09</vt:lpstr>
      <vt:lpstr>'Formulario O2'!Dato_09</vt:lpstr>
      <vt:lpstr>'Formulario OM'!Dato_09</vt:lpstr>
      <vt:lpstr>'Formulario PP'!Dato_09</vt:lpstr>
      <vt:lpstr>'Formulario RC'!Dato_09</vt:lpstr>
      <vt:lpstr>'Formulario VF'!Dato_09</vt:lpstr>
      <vt:lpstr>'Formulario CL'!Dato_10</vt:lpstr>
      <vt:lpstr>'Formulario EM'!Dato_10</vt:lpstr>
      <vt:lpstr>'Formulario EN'!Dato_10</vt:lpstr>
      <vt:lpstr>'Formulario O2'!Dato_10</vt:lpstr>
      <vt:lpstr>'Formulario OM'!Dato_10</vt:lpstr>
      <vt:lpstr>'Formulario PP'!Dato_10</vt:lpstr>
      <vt:lpstr>'Formulario RC'!Dato_10</vt:lpstr>
      <vt:lpstr>'Formulario VF'!Dato_10</vt:lpstr>
      <vt:lpstr>'Formulario CL'!Dato_11</vt:lpstr>
      <vt:lpstr>'Formulario EM'!Dato_11</vt:lpstr>
      <vt:lpstr>'Formulario EN'!Dato_11</vt:lpstr>
      <vt:lpstr>'Formulario O2'!Dato_11</vt:lpstr>
      <vt:lpstr>'Formulario OM'!Dato_11</vt:lpstr>
      <vt:lpstr>'Formulario PP'!Dato_11</vt:lpstr>
      <vt:lpstr>'Formulario RC'!Dato_11</vt:lpstr>
      <vt:lpstr>'Formulario VF'!Dato_11</vt:lpstr>
      <vt:lpstr>'Formulario CL'!Dato_12</vt:lpstr>
      <vt:lpstr>'Formulario EM'!Dato_12</vt:lpstr>
      <vt:lpstr>'Formulario EN'!Dato_12</vt:lpstr>
      <vt:lpstr>'Formulario O2'!Dato_12</vt:lpstr>
      <vt:lpstr>'Formulario OM'!Dato_12</vt:lpstr>
      <vt:lpstr>'Formulario PP'!Dato_12</vt:lpstr>
      <vt:lpstr>'Formulario RC'!Dato_12</vt:lpstr>
      <vt:lpstr>'Formulario VF'!Dato_12</vt:lpstr>
      <vt:lpstr>'Formulario CL'!Dato_13</vt:lpstr>
      <vt:lpstr>'Formulario EM'!Dato_13</vt:lpstr>
      <vt:lpstr>'Formulario EN'!Dato_13</vt:lpstr>
      <vt:lpstr>'Formulario O2'!Dato_13</vt:lpstr>
      <vt:lpstr>'Formulario OM'!Dato_13</vt:lpstr>
      <vt:lpstr>'Formulario PP'!Dato_13</vt:lpstr>
      <vt:lpstr>'Formulario RC'!Dato_13</vt:lpstr>
      <vt:lpstr>'Formulario VF'!Dato_13</vt:lpstr>
      <vt:lpstr>'Formulario CL'!Dato_14</vt:lpstr>
      <vt:lpstr>'Formulario EM'!Dato_14</vt:lpstr>
      <vt:lpstr>'Formulario EN'!Dato_14</vt:lpstr>
      <vt:lpstr>'Formulario O2'!Dato_14</vt:lpstr>
      <vt:lpstr>'Formulario OM'!Dato_14</vt:lpstr>
      <vt:lpstr>'Formulario PP'!Dato_14</vt:lpstr>
      <vt:lpstr>'Formulario RC'!Dato_14</vt:lpstr>
      <vt:lpstr>'Formulario VF'!Dato_14</vt:lpstr>
      <vt:lpstr>'Formulario CL'!Dato_15</vt:lpstr>
      <vt:lpstr>'Formulario EM'!Dato_15</vt:lpstr>
      <vt:lpstr>'Formulario EN'!Dato_15</vt:lpstr>
      <vt:lpstr>'Formulario O2'!Dato_15</vt:lpstr>
      <vt:lpstr>'Formulario OM'!Dato_15</vt:lpstr>
      <vt:lpstr>'Formulario PP'!Dato_15</vt:lpstr>
      <vt:lpstr>'Formulario RC'!Dato_15</vt:lpstr>
      <vt:lpstr>'Formulario VF'!Dato_15</vt:lpstr>
      <vt:lpstr>'Formulario CL'!Dato_16</vt:lpstr>
      <vt:lpstr>'Formulario EM'!Dato_16</vt:lpstr>
      <vt:lpstr>'Formulario EN'!Dato_16</vt:lpstr>
      <vt:lpstr>'Formulario O2'!Dato_16</vt:lpstr>
      <vt:lpstr>'Formulario OM'!Dato_16</vt:lpstr>
      <vt:lpstr>'Formulario PP'!Dato_16</vt:lpstr>
      <vt:lpstr>'Formulario RC'!Dato_16</vt:lpstr>
      <vt:lpstr>'Formulario VF'!Dato_16</vt:lpstr>
      <vt:lpstr>'Formulario CL'!Dato_17</vt:lpstr>
      <vt:lpstr>'Formulario EM'!Dato_17</vt:lpstr>
      <vt:lpstr>'Formulario EN'!Dato_17</vt:lpstr>
      <vt:lpstr>'Formulario O2'!Dato_17</vt:lpstr>
      <vt:lpstr>'Formulario OM'!Dato_17</vt:lpstr>
      <vt:lpstr>'Formulario PP'!Dato_17</vt:lpstr>
      <vt:lpstr>'Formulario RC'!Dato_17</vt:lpstr>
      <vt:lpstr>'Formulario VF'!Dato_17</vt:lpstr>
      <vt:lpstr>'Formulario CL'!Dato_18</vt:lpstr>
      <vt:lpstr>'Formulario EM'!Dato_18</vt:lpstr>
      <vt:lpstr>'Formulario EN'!Dato_18</vt:lpstr>
      <vt:lpstr>'Formulario O2'!Dato_18</vt:lpstr>
      <vt:lpstr>'Formulario OM'!Dato_18</vt:lpstr>
      <vt:lpstr>'Formulario PP'!Dato_18</vt:lpstr>
      <vt:lpstr>'Formulario RC'!Dato_18</vt:lpstr>
      <vt:lpstr>'Formulario VF'!Dato_18</vt:lpstr>
      <vt:lpstr>'Formulario CL'!Dato_19</vt:lpstr>
      <vt:lpstr>'Formulario EM'!Dato_19</vt:lpstr>
      <vt:lpstr>'Formulario EN'!Dato_19</vt:lpstr>
      <vt:lpstr>'Formulario O2'!Dato_19</vt:lpstr>
      <vt:lpstr>'Formulario OM'!Dato_19</vt:lpstr>
      <vt:lpstr>'Formulario PP'!Dato_19</vt:lpstr>
      <vt:lpstr>'Formulario RC'!Dato_19</vt:lpstr>
      <vt:lpstr>'Formulario VF'!Dato_19</vt:lpstr>
      <vt:lpstr>'Formulario CL'!Dato_20</vt:lpstr>
      <vt:lpstr>'Formulario EM'!Dato_20</vt:lpstr>
      <vt:lpstr>'Formulario EN'!Dato_20</vt:lpstr>
      <vt:lpstr>'Formulario O2'!Dato_20</vt:lpstr>
      <vt:lpstr>'Formulario OM'!Dato_20</vt:lpstr>
      <vt:lpstr>'Formulario PP'!Dato_20</vt:lpstr>
      <vt:lpstr>'Formulario RC'!Dato_20</vt:lpstr>
      <vt:lpstr>'Formulario VF'!Dato_20</vt:lpstr>
      <vt:lpstr>'Formulario CL'!Dato_21</vt:lpstr>
      <vt:lpstr>'Formulario EM'!Dato_21</vt:lpstr>
      <vt:lpstr>'Formulario EN'!Dato_21</vt:lpstr>
      <vt:lpstr>'Formulario O2'!Dato_21</vt:lpstr>
      <vt:lpstr>'Formulario OM'!Dato_21</vt:lpstr>
      <vt:lpstr>'Formulario PP'!Dato_21</vt:lpstr>
      <vt:lpstr>'Formulario RC'!Dato_21</vt:lpstr>
      <vt:lpstr>'Formulario VF'!Dato_21</vt:lpstr>
      <vt:lpstr>'Formulario CL'!Dato_22</vt:lpstr>
      <vt:lpstr>'Formulario EM'!Dato_22</vt:lpstr>
      <vt:lpstr>'Formulario EN'!Dato_22</vt:lpstr>
      <vt:lpstr>'Formulario O2'!Dato_22</vt:lpstr>
      <vt:lpstr>'Formulario OM'!Dato_22</vt:lpstr>
      <vt:lpstr>'Formulario PP'!Dato_22</vt:lpstr>
      <vt:lpstr>'Formulario RC'!Dato_22</vt:lpstr>
      <vt:lpstr>'Formulario VF'!Dato_22</vt:lpstr>
      <vt:lpstr>'Formulario CL'!Dato_23</vt:lpstr>
      <vt:lpstr>'Formulario EM'!Dato_23</vt:lpstr>
      <vt:lpstr>'Formulario EN'!Dato_23</vt:lpstr>
      <vt:lpstr>'Formulario O2'!Dato_23</vt:lpstr>
      <vt:lpstr>'Formulario OM'!Dato_23</vt:lpstr>
      <vt:lpstr>'Formulario PP'!Dato_23</vt:lpstr>
      <vt:lpstr>'Formulario RC'!Dato_23</vt:lpstr>
      <vt:lpstr>'Formulario VF'!Dato_23</vt:lpstr>
      <vt:lpstr>'Formulario CL'!Dato_24</vt:lpstr>
      <vt:lpstr>'Formulario EM'!Dato_24</vt:lpstr>
      <vt:lpstr>'Formulario EN'!Dato_24</vt:lpstr>
      <vt:lpstr>'Formulario O2'!Dato_24</vt:lpstr>
      <vt:lpstr>'Formulario OM'!Dato_24</vt:lpstr>
      <vt:lpstr>'Formulario PP'!Dato_24</vt:lpstr>
      <vt:lpstr>'Formulario RC'!Dato_24</vt:lpstr>
      <vt:lpstr>'Formulario VF'!Dato_24</vt:lpstr>
      <vt:lpstr>'Formulario CL'!Dato_25</vt:lpstr>
      <vt:lpstr>'Formulario EM'!Dato_25</vt:lpstr>
      <vt:lpstr>'Formulario EN'!Dato_25</vt:lpstr>
      <vt:lpstr>'Formulario O2'!Dato_25</vt:lpstr>
      <vt:lpstr>'Formulario OM'!Dato_25</vt:lpstr>
      <vt:lpstr>'Formulario PP'!Dato_25</vt:lpstr>
      <vt:lpstr>'Formulario RC'!Dato_25</vt:lpstr>
      <vt:lpstr>'Formulario VF'!Dato_25</vt:lpstr>
      <vt:lpstr>'Formulario CL'!Dato_26</vt:lpstr>
      <vt:lpstr>'Formulario EM'!Dato_26</vt:lpstr>
      <vt:lpstr>'Formulario EN'!Dato_26</vt:lpstr>
      <vt:lpstr>'Formulario O2'!Dato_26</vt:lpstr>
      <vt:lpstr>'Formulario OM'!Dato_26</vt:lpstr>
      <vt:lpstr>'Formulario PP'!Dato_26</vt:lpstr>
      <vt:lpstr>'Formulario RC'!Dato_26</vt:lpstr>
      <vt:lpstr>'Formulario VF'!Dato_26</vt:lpstr>
      <vt:lpstr>'Formulario CL'!Dato_27</vt:lpstr>
      <vt:lpstr>'Formulario EM'!Dato_27</vt:lpstr>
      <vt:lpstr>'Formulario EN'!Dato_27</vt:lpstr>
      <vt:lpstr>'Formulario O2'!Dato_27</vt:lpstr>
      <vt:lpstr>'Formulario OM'!Dato_27</vt:lpstr>
      <vt:lpstr>'Formulario PP'!Dato_27</vt:lpstr>
      <vt:lpstr>'Formulario RC'!Dato_27</vt:lpstr>
      <vt:lpstr>'Formulario VF'!Dato_27</vt:lpstr>
      <vt:lpstr>'Formulario CL'!Dato_28</vt:lpstr>
      <vt:lpstr>'Formulario EM'!Dato_28</vt:lpstr>
      <vt:lpstr>'Formulario EN'!Dato_28</vt:lpstr>
      <vt:lpstr>'Formulario O2'!Dato_28</vt:lpstr>
      <vt:lpstr>'Formulario OM'!Dato_28</vt:lpstr>
      <vt:lpstr>'Formulario PP'!Dato_28</vt:lpstr>
      <vt:lpstr>'Formulario RC'!Dato_28</vt:lpstr>
      <vt:lpstr>'Formulario VF'!Dato_28</vt:lpstr>
      <vt:lpstr>'Formulario CL'!Dato_29</vt:lpstr>
      <vt:lpstr>'Formulario EM'!Dato_29</vt:lpstr>
      <vt:lpstr>'Formulario EN'!Dato_29</vt:lpstr>
      <vt:lpstr>'Formulario O2'!Dato_29</vt:lpstr>
      <vt:lpstr>'Formulario OM'!Dato_29</vt:lpstr>
      <vt:lpstr>'Formulario PP'!Dato_29</vt:lpstr>
      <vt:lpstr>'Formulario RC'!Dato_29</vt:lpstr>
      <vt:lpstr>'Formulario VF'!Dato_29</vt:lpstr>
      <vt:lpstr>'Formulario CL'!Dato_30</vt:lpstr>
      <vt:lpstr>'Formulario EM'!Dato_30</vt:lpstr>
      <vt:lpstr>'Formulario EN'!Dato_30</vt:lpstr>
      <vt:lpstr>'Formulario O2'!Dato_30</vt:lpstr>
      <vt:lpstr>'Formulario OM'!Dato_30</vt:lpstr>
      <vt:lpstr>'Formulario PP'!Dato_30</vt:lpstr>
      <vt:lpstr>'Formulario RC'!Dato_30</vt:lpstr>
      <vt:lpstr>'Formulario VF'!Dato_30</vt:lpstr>
      <vt:lpstr>'Formulario CL'!Dato_31</vt:lpstr>
      <vt:lpstr>'Formulario EM'!Dato_31</vt:lpstr>
      <vt:lpstr>'Formulario EN'!Dato_31</vt:lpstr>
      <vt:lpstr>'Formulario O2'!Dato_31</vt:lpstr>
      <vt:lpstr>'Formulario OM'!Dato_31</vt:lpstr>
      <vt:lpstr>'Formulario PP'!Dato_31</vt:lpstr>
      <vt:lpstr>'Formulario RC'!Dato_31</vt:lpstr>
      <vt:lpstr>'Formulario VF'!Dato_31</vt:lpstr>
      <vt:lpstr>'Formulario CL'!Dato_32</vt:lpstr>
      <vt:lpstr>'Formulario EM'!Dato_32</vt:lpstr>
      <vt:lpstr>'Formulario EN'!Dato_32</vt:lpstr>
      <vt:lpstr>'Formulario O2'!Dato_32</vt:lpstr>
      <vt:lpstr>'Formulario OM'!Dato_32</vt:lpstr>
      <vt:lpstr>'Formulario PP'!Dato_32</vt:lpstr>
      <vt:lpstr>'Formulario RC'!Dato_32</vt:lpstr>
      <vt:lpstr>'Formulario VF'!Dato_32</vt:lpstr>
      <vt:lpstr>Des_Categ</vt:lpstr>
      <vt:lpstr>Des_E_CL</vt:lpstr>
      <vt:lpstr>Des_E_EM</vt:lpstr>
      <vt:lpstr>Des_E_EN</vt:lpstr>
      <vt:lpstr>Des_E_O2</vt:lpstr>
      <vt:lpstr>Des_E_OM</vt:lpstr>
      <vt:lpstr>Des_E_PP</vt:lpstr>
      <vt:lpstr>Des_E_RC</vt:lpstr>
      <vt:lpstr>Des_E_VF</vt:lpstr>
      <vt:lpstr>Des_Pr_CL</vt:lpstr>
      <vt:lpstr>Des_Pr_EM</vt:lpstr>
      <vt:lpstr>Des_Pr_EN</vt:lpstr>
      <vt:lpstr>Des_Pr_O2</vt:lpstr>
      <vt:lpstr>Des_Pr_OM</vt:lpstr>
      <vt:lpstr>Des_Pr_PP</vt:lpstr>
      <vt:lpstr>Des_Pr_RC</vt:lpstr>
      <vt:lpstr>Des_Pr_VF</vt:lpstr>
      <vt:lpstr>Des_Subcat</vt:lpstr>
      <vt:lpstr>Descr_CL</vt:lpstr>
      <vt:lpstr>Descr_EM</vt:lpstr>
      <vt:lpstr>Descr_EN</vt:lpstr>
      <vt:lpstr>Descr_O2</vt:lpstr>
      <vt:lpstr>Descr_OM</vt:lpstr>
      <vt:lpstr>Descr_PP</vt:lpstr>
      <vt:lpstr>Descr_RC</vt:lpstr>
      <vt:lpstr>Descr_VF</vt:lpstr>
      <vt:lpstr>DG_0_F</vt:lpstr>
      <vt:lpstr>DG_0_I</vt:lpstr>
      <vt:lpstr>DG_0_P</vt:lpstr>
      <vt:lpstr>DG_1_I</vt:lpstr>
      <vt:lpstr>DG_1_S</vt:lpstr>
      <vt:lpstr>DG_2_I</vt:lpstr>
      <vt:lpstr>DG_2_S</vt:lpstr>
      <vt:lpstr>DG_3_I</vt:lpstr>
      <vt:lpstr>DG_3_S</vt:lpstr>
      <vt:lpstr>DG_4_I</vt:lpstr>
      <vt:lpstr>DG_4_S</vt:lpstr>
      <vt:lpstr>DICC_DG_0_S</vt:lpstr>
      <vt:lpstr>Diferencia_CL</vt:lpstr>
      <vt:lpstr>Diferencia_EM</vt:lpstr>
      <vt:lpstr>Diferencia_EN</vt:lpstr>
      <vt:lpstr>Diferencia_O2</vt:lpstr>
      <vt:lpstr>Diferencia_OM</vt:lpstr>
      <vt:lpstr>Diferencia_PP</vt:lpstr>
      <vt:lpstr>Diferencia_RC</vt:lpstr>
      <vt:lpstr>Diferencia_VF</vt:lpstr>
      <vt:lpstr>Enun_CL</vt:lpstr>
      <vt:lpstr>Enun_EM</vt:lpstr>
      <vt:lpstr>Enun_EN</vt:lpstr>
      <vt:lpstr>Enun_O2</vt:lpstr>
      <vt:lpstr>Enun_OM</vt:lpstr>
      <vt:lpstr>Enun_PP</vt:lpstr>
      <vt:lpstr>Enun_RC</vt:lpstr>
      <vt:lpstr>Enun_VF</vt:lpstr>
      <vt:lpstr>ENUNCIADO_CL</vt:lpstr>
      <vt:lpstr>ENUNCIADO_EM</vt:lpstr>
      <vt:lpstr>ENUNCIADO_EN</vt:lpstr>
      <vt:lpstr>ENUNCIADO_O2</vt:lpstr>
      <vt:lpstr>ENUNCIADO_OM</vt:lpstr>
      <vt:lpstr>ENUNCIADO_PP</vt:lpstr>
      <vt:lpstr>ENUNCIADO_RC</vt:lpstr>
      <vt:lpstr>ENUNCIADO_VF</vt:lpstr>
      <vt:lpstr>FIN_1_1</vt:lpstr>
      <vt:lpstr>FIN_1_1_OTRO</vt:lpstr>
      <vt:lpstr>FIN_1_2</vt:lpstr>
      <vt:lpstr>FIN_1_2_OTRO</vt:lpstr>
      <vt:lpstr>FIN_10_1</vt:lpstr>
      <vt:lpstr>FIN_10_1_OTRO</vt:lpstr>
      <vt:lpstr>FIN_10_2</vt:lpstr>
      <vt:lpstr>FIN_10_2_OTRO</vt:lpstr>
      <vt:lpstr>FIN_2_1</vt:lpstr>
      <vt:lpstr>FIN_2_1_OTRO</vt:lpstr>
      <vt:lpstr>FIN_2_2</vt:lpstr>
      <vt:lpstr>FIN_2_2_OTRO</vt:lpstr>
      <vt:lpstr>FIN_3_1</vt:lpstr>
      <vt:lpstr>FIN_3_1_OTRO</vt:lpstr>
      <vt:lpstr>FIN_3_2</vt:lpstr>
      <vt:lpstr>FIN_3_2_OTRO</vt:lpstr>
      <vt:lpstr>FIN_4_1</vt:lpstr>
      <vt:lpstr>FIN_4_1_OTRO</vt:lpstr>
      <vt:lpstr>FIN_4_2</vt:lpstr>
      <vt:lpstr>FIN_4_2_OTRO</vt:lpstr>
      <vt:lpstr>FIN_5_1</vt:lpstr>
      <vt:lpstr>FIN_5_1_OTRO</vt:lpstr>
      <vt:lpstr>FIN_5_2</vt:lpstr>
      <vt:lpstr>FIN_5_2_OTRO</vt:lpstr>
      <vt:lpstr>FIN_6_1</vt:lpstr>
      <vt:lpstr>FIN_6_1_OTRO</vt:lpstr>
      <vt:lpstr>FIN_6_2</vt:lpstr>
      <vt:lpstr>FIN_6_2_OTRO</vt:lpstr>
      <vt:lpstr>FIN_7_1</vt:lpstr>
      <vt:lpstr>FIN_7_1_OTRO</vt:lpstr>
      <vt:lpstr>FIN_7_2</vt:lpstr>
      <vt:lpstr>FIN_7_2_OTRO</vt:lpstr>
      <vt:lpstr>FIN_8_1</vt:lpstr>
      <vt:lpstr>FIN_8_1_OTRO</vt:lpstr>
      <vt:lpstr>FIN_8_2</vt:lpstr>
      <vt:lpstr>FIN_8_2_OTRO</vt:lpstr>
      <vt:lpstr>FIN_9_1</vt:lpstr>
      <vt:lpstr>FIN_9_1_OTRO</vt:lpstr>
      <vt:lpstr>FIN_9_2</vt:lpstr>
      <vt:lpstr>FIN_9_2_OTRO</vt:lpstr>
      <vt:lpstr>FR_EN</vt:lpstr>
      <vt:lpstr>IDIOMA</vt:lpstr>
      <vt:lpstr>IE_EN</vt:lpstr>
      <vt:lpstr>Imagen_CL</vt:lpstr>
      <vt:lpstr>Imagen_EM</vt:lpstr>
      <vt:lpstr>Imagen_EN</vt:lpstr>
      <vt:lpstr>Imagen_O2</vt:lpstr>
      <vt:lpstr>Imagen_OM</vt:lpstr>
      <vt:lpstr>Imagen_PP</vt:lpstr>
      <vt:lpstr>Imagen_RC</vt:lpstr>
      <vt:lpstr>Imagen_VF</vt:lpstr>
      <vt:lpstr>IMG_CL</vt:lpstr>
      <vt:lpstr>IMG_EM</vt:lpstr>
      <vt:lpstr>IMG_EN</vt:lpstr>
      <vt:lpstr>IMG_O2</vt:lpstr>
      <vt:lpstr>IMG_OM</vt:lpstr>
      <vt:lpstr>IMG_PP</vt:lpstr>
      <vt:lpstr>IMG_RC</vt:lpstr>
      <vt:lpstr>IMG_VF</vt:lpstr>
      <vt:lpstr>LANGUAGE</vt:lpstr>
      <vt:lpstr>LISTA_CATEGORIAS</vt:lpstr>
      <vt:lpstr>Marcar_RI</vt:lpstr>
      <vt:lpstr>Marcar_RI_TEXTO</vt:lpstr>
      <vt:lpstr>MAYUSCULAS</vt:lpstr>
      <vt:lpstr>N_FINAL</vt:lpstr>
      <vt:lpstr>N_I_CL</vt:lpstr>
      <vt:lpstr>N_I_EM</vt:lpstr>
      <vt:lpstr>N_I_EN</vt:lpstr>
      <vt:lpstr>N_I_O2</vt:lpstr>
      <vt:lpstr>N_I_OM</vt:lpstr>
      <vt:lpstr>N_I_PP</vt:lpstr>
      <vt:lpstr>N_I_RC</vt:lpstr>
      <vt:lpstr>N_I_Tabla</vt:lpstr>
      <vt:lpstr>N_I_VF</vt:lpstr>
      <vt:lpstr>N_INICIAL</vt:lpstr>
      <vt:lpstr>N_Lineas_OCA</vt:lpstr>
      <vt:lpstr>N_Max_Preg</vt:lpstr>
      <vt:lpstr>N_Preg_Exportar</vt:lpstr>
      <vt:lpstr>n_preg_ON_CL</vt:lpstr>
      <vt:lpstr>n_preg_ON_EM</vt:lpstr>
      <vt:lpstr>n_preg_ON_EN</vt:lpstr>
      <vt:lpstr>n_preg_ON_O2</vt:lpstr>
      <vt:lpstr>n_preg_ON_OM</vt:lpstr>
      <vt:lpstr>n_preg_ON_PP</vt:lpstr>
      <vt:lpstr>n_preg_ON_RC</vt:lpstr>
      <vt:lpstr>n_preg_ON_VF</vt:lpstr>
      <vt:lpstr>'Datos CL'!N_Preguntas</vt:lpstr>
      <vt:lpstr>'Datos EM'!N_Preguntas</vt:lpstr>
      <vt:lpstr>'Datos EN'!N_Preguntas</vt:lpstr>
      <vt:lpstr>'Datos O2'!N_Preguntas</vt:lpstr>
      <vt:lpstr>'Datos OM'!N_Preguntas</vt:lpstr>
      <vt:lpstr>'Datos PP'!N_Preguntas</vt:lpstr>
      <vt:lpstr>'Datos RC'!N_Preguntas</vt:lpstr>
      <vt:lpstr>'Datos VF'!N_Preguntas</vt:lpstr>
      <vt:lpstr>N_R</vt:lpstr>
      <vt:lpstr>N_Respuestas</vt:lpstr>
      <vt:lpstr>NOMBRE_CL</vt:lpstr>
      <vt:lpstr>NOMBRE_EM</vt:lpstr>
      <vt:lpstr>NOMBRE_EN</vt:lpstr>
      <vt:lpstr>NOMBRE_O2</vt:lpstr>
      <vt:lpstr>NOMBRE_OM</vt:lpstr>
      <vt:lpstr>NOMBRE_PP</vt:lpstr>
      <vt:lpstr>NOMBRE_RC</vt:lpstr>
      <vt:lpstr>NOMBRE_VF</vt:lpstr>
      <vt:lpstr>NUMERAR_R</vt:lpstr>
      <vt:lpstr>Oculto</vt:lpstr>
      <vt:lpstr>ORI_1_1</vt:lpstr>
      <vt:lpstr>ORI_1_2</vt:lpstr>
      <vt:lpstr>ORI_10_1</vt:lpstr>
      <vt:lpstr>ORI_10_2</vt:lpstr>
      <vt:lpstr>ORI_2_1</vt:lpstr>
      <vt:lpstr>ORI_2_2</vt:lpstr>
      <vt:lpstr>ORI_3_1</vt:lpstr>
      <vt:lpstr>ORI_3_2</vt:lpstr>
      <vt:lpstr>ORI_4_1</vt:lpstr>
      <vt:lpstr>ORI_4_2</vt:lpstr>
      <vt:lpstr>ORI_5_1</vt:lpstr>
      <vt:lpstr>ORI_5_2</vt:lpstr>
      <vt:lpstr>ORI_6_1</vt:lpstr>
      <vt:lpstr>ORI_6_2</vt:lpstr>
      <vt:lpstr>ORI_7_1</vt:lpstr>
      <vt:lpstr>ORI_7_2</vt:lpstr>
      <vt:lpstr>ORI_8_1</vt:lpstr>
      <vt:lpstr>ORI_8_2</vt:lpstr>
      <vt:lpstr>ORI_9_1</vt:lpstr>
      <vt:lpstr>ORI_9_2</vt:lpstr>
      <vt:lpstr>ORI_FIN</vt:lpstr>
      <vt:lpstr>P_01_1</vt:lpstr>
      <vt:lpstr>P_01_2</vt:lpstr>
      <vt:lpstr>P_02_1</vt:lpstr>
      <vt:lpstr>P_02_2</vt:lpstr>
      <vt:lpstr>P_03_1</vt:lpstr>
      <vt:lpstr>P_03_2</vt:lpstr>
      <vt:lpstr>P_04_1</vt:lpstr>
      <vt:lpstr>P_04_2</vt:lpstr>
      <vt:lpstr>P_05_1</vt:lpstr>
      <vt:lpstr>P_05_2</vt:lpstr>
      <vt:lpstr>P_06_1</vt:lpstr>
      <vt:lpstr>P_06_2</vt:lpstr>
      <vt:lpstr>P_07_1</vt:lpstr>
      <vt:lpstr>P_07_2</vt:lpstr>
      <vt:lpstr>P_08_1</vt:lpstr>
      <vt:lpstr>P_08_2</vt:lpstr>
      <vt:lpstr>P_09_1</vt:lpstr>
      <vt:lpstr>P_09_2</vt:lpstr>
      <vt:lpstr>P_1_O2</vt:lpstr>
      <vt:lpstr>P_1_OM</vt:lpstr>
      <vt:lpstr>P_10_1</vt:lpstr>
      <vt:lpstr>P_10_2</vt:lpstr>
      <vt:lpstr>P_11_1</vt:lpstr>
      <vt:lpstr>P_11_2</vt:lpstr>
      <vt:lpstr>P_12_1</vt:lpstr>
      <vt:lpstr>P_12_2</vt:lpstr>
      <vt:lpstr>P_2_O2</vt:lpstr>
      <vt:lpstr>P_2_OM</vt:lpstr>
      <vt:lpstr>P_3_O2</vt:lpstr>
      <vt:lpstr>P_3_OM</vt:lpstr>
      <vt:lpstr>P_4_O2</vt:lpstr>
      <vt:lpstr>P_4_OM</vt:lpstr>
      <vt:lpstr>P_5_O2</vt:lpstr>
      <vt:lpstr>P_5_OM</vt:lpstr>
      <vt:lpstr>P_6_O2</vt:lpstr>
      <vt:lpstr>P_6_OM</vt:lpstr>
      <vt:lpstr>P_Max</vt:lpstr>
      <vt:lpstr>P_max_CL</vt:lpstr>
      <vt:lpstr>P_max_EM</vt:lpstr>
      <vt:lpstr>P_max_EN</vt:lpstr>
      <vt:lpstr>P_max_O2</vt:lpstr>
      <vt:lpstr>P_max_OM</vt:lpstr>
      <vt:lpstr>P_max_PP</vt:lpstr>
      <vt:lpstr>P_max_RC</vt:lpstr>
      <vt:lpstr>P_max_VF</vt:lpstr>
      <vt:lpstr>P_Min</vt:lpstr>
      <vt:lpstr>P_min_CL</vt:lpstr>
      <vt:lpstr>P_min_EM</vt:lpstr>
      <vt:lpstr>P_min_EN</vt:lpstr>
      <vt:lpstr>P_min_O2</vt:lpstr>
      <vt:lpstr>P_min_OM</vt:lpstr>
      <vt:lpstr>P_min_PP</vt:lpstr>
      <vt:lpstr>P_min_RC</vt:lpstr>
      <vt:lpstr>P_min_VF</vt:lpstr>
      <vt:lpstr>P_RC_1</vt:lpstr>
      <vt:lpstr>P_RC_2</vt:lpstr>
      <vt:lpstr>P_RC_3</vt:lpstr>
      <vt:lpstr>P_RC_4</vt:lpstr>
      <vt:lpstr>P_RC_5</vt:lpstr>
      <vt:lpstr>P_RC_6</vt:lpstr>
      <vt:lpstr>P_RC_7</vt:lpstr>
      <vt:lpstr>P_RC_8</vt:lpstr>
      <vt:lpstr>P_RC_O2</vt:lpstr>
      <vt:lpstr>P_RC_OM</vt:lpstr>
      <vt:lpstr>P_RI_O2</vt:lpstr>
      <vt:lpstr>P_RI_OM</vt:lpstr>
      <vt:lpstr>PA_EN</vt:lpstr>
      <vt:lpstr>Par_01_1</vt:lpstr>
      <vt:lpstr>Par_01_2</vt:lpstr>
      <vt:lpstr>Par_02_1</vt:lpstr>
      <vt:lpstr>Par_02_2</vt:lpstr>
      <vt:lpstr>Par_03_1</vt:lpstr>
      <vt:lpstr>Par_03_2</vt:lpstr>
      <vt:lpstr>Par_04_1</vt:lpstr>
      <vt:lpstr>Par_04_2</vt:lpstr>
      <vt:lpstr>Par_05_1</vt:lpstr>
      <vt:lpstr>Par_05_2</vt:lpstr>
      <vt:lpstr>Par_06_1</vt:lpstr>
      <vt:lpstr>Par_06_2</vt:lpstr>
      <vt:lpstr>Par_07_1</vt:lpstr>
      <vt:lpstr>Par_07_2</vt:lpstr>
      <vt:lpstr>Par_08_1</vt:lpstr>
      <vt:lpstr>Par_08_2</vt:lpstr>
      <vt:lpstr>Par_09_1</vt:lpstr>
      <vt:lpstr>Par_09_2</vt:lpstr>
      <vt:lpstr>Par_10_1</vt:lpstr>
      <vt:lpstr>Par_10_2</vt:lpstr>
      <vt:lpstr>Par_11_1</vt:lpstr>
      <vt:lpstr>Par_11_2</vt:lpstr>
      <vt:lpstr>Par_12_1</vt:lpstr>
      <vt:lpstr>Par_12_2</vt:lpstr>
      <vt:lpstr>Pareja_01_1</vt:lpstr>
      <vt:lpstr>Pareja_01_2</vt:lpstr>
      <vt:lpstr>Pareja_02_1</vt:lpstr>
      <vt:lpstr>Pareja_02_2</vt:lpstr>
      <vt:lpstr>Pareja_03_1</vt:lpstr>
      <vt:lpstr>Pareja_03_2</vt:lpstr>
      <vt:lpstr>Pareja_04_1</vt:lpstr>
      <vt:lpstr>Pareja_04_2</vt:lpstr>
      <vt:lpstr>Pareja_05_1</vt:lpstr>
      <vt:lpstr>Pareja_05_2</vt:lpstr>
      <vt:lpstr>Pareja_06_1</vt:lpstr>
      <vt:lpstr>Pareja_06_2</vt:lpstr>
      <vt:lpstr>Pareja_07_1</vt:lpstr>
      <vt:lpstr>Pareja_07_2</vt:lpstr>
      <vt:lpstr>Pareja_08_1</vt:lpstr>
      <vt:lpstr>Pareja_08_2</vt:lpstr>
      <vt:lpstr>Pareja_09_1</vt:lpstr>
      <vt:lpstr>Pareja_09_2</vt:lpstr>
      <vt:lpstr>Pareja_10_1</vt:lpstr>
      <vt:lpstr>Pareja_10_2</vt:lpstr>
      <vt:lpstr>Pareja_11_1</vt:lpstr>
      <vt:lpstr>Pareja_11_2</vt:lpstr>
      <vt:lpstr>Pareja_12_1</vt:lpstr>
      <vt:lpstr>Pareja_12_2</vt:lpstr>
      <vt:lpstr>PENALIZACION</vt:lpstr>
      <vt:lpstr>PLANT_RESP_EN</vt:lpstr>
      <vt:lpstr>PP_01_1</vt:lpstr>
      <vt:lpstr>PP_01_2</vt:lpstr>
      <vt:lpstr>PP_02_1</vt:lpstr>
      <vt:lpstr>PP_02_2</vt:lpstr>
      <vt:lpstr>PP_03_1</vt:lpstr>
      <vt:lpstr>PP_03_2</vt:lpstr>
      <vt:lpstr>PP_04_1</vt:lpstr>
      <vt:lpstr>PP_04_2</vt:lpstr>
      <vt:lpstr>PP_05_1</vt:lpstr>
      <vt:lpstr>PP_05_2</vt:lpstr>
      <vt:lpstr>PP_06_1</vt:lpstr>
      <vt:lpstr>PP_06_2</vt:lpstr>
      <vt:lpstr>PP_07_1</vt:lpstr>
      <vt:lpstr>PP_07_2</vt:lpstr>
      <vt:lpstr>PP_08_1</vt:lpstr>
      <vt:lpstr>PP_08_2</vt:lpstr>
      <vt:lpstr>PP_09_1</vt:lpstr>
      <vt:lpstr>PP_09_2</vt:lpstr>
      <vt:lpstr>PP_10_1</vt:lpstr>
      <vt:lpstr>PP_10_2</vt:lpstr>
      <vt:lpstr>PP_11_1</vt:lpstr>
      <vt:lpstr>PP_11_2</vt:lpstr>
      <vt:lpstr>PP_12_1</vt:lpstr>
      <vt:lpstr>PP_12_2</vt:lpstr>
      <vt:lpstr>PR_EN</vt:lpstr>
      <vt:lpstr>PREF_PREGUNTA</vt:lpstr>
      <vt:lpstr>PREGUNTA_ACTUAL</vt:lpstr>
      <vt:lpstr>PREGUNTAR_IDIOMA</vt:lpstr>
      <vt:lpstr>PT_01</vt:lpstr>
      <vt:lpstr>PT_02</vt:lpstr>
      <vt:lpstr>PT_03</vt:lpstr>
      <vt:lpstr>PT_04</vt:lpstr>
      <vt:lpstr>PT_05</vt:lpstr>
      <vt:lpstr>PT_06</vt:lpstr>
      <vt:lpstr>PT_07</vt:lpstr>
      <vt:lpstr>PT_08</vt:lpstr>
      <vt:lpstr>PUNTOS_1_O2</vt:lpstr>
      <vt:lpstr>PUNTOS_1_OM</vt:lpstr>
      <vt:lpstr>PUNTOS_2_O2</vt:lpstr>
      <vt:lpstr>PUNTOS_2_OM</vt:lpstr>
      <vt:lpstr>PUNTOS_3_O2</vt:lpstr>
      <vt:lpstr>PUNTOS_3_OM</vt:lpstr>
      <vt:lpstr>PUNTOS_4_O2</vt:lpstr>
      <vt:lpstr>PUNTOS_4_OM</vt:lpstr>
      <vt:lpstr>PUNTOS_5_O2</vt:lpstr>
      <vt:lpstr>PUNTOS_5_OM</vt:lpstr>
      <vt:lpstr>PUNTOS_6_O2</vt:lpstr>
      <vt:lpstr>PUNTOS_6_OM</vt:lpstr>
      <vt:lpstr>PUNTUACION</vt:lpstr>
      <vt:lpstr>PUNTUACION_C_EN</vt:lpstr>
      <vt:lpstr>PUNTUACION_C_O2</vt:lpstr>
      <vt:lpstr>PUNTUACION_C_OM</vt:lpstr>
      <vt:lpstr>PUNTUACION_C_VF</vt:lpstr>
      <vt:lpstr>PUNTUACION_I_EN</vt:lpstr>
      <vt:lpstr>PUNTUACION_I_O2</vt:lpstr>
      <vt:lpstr>PUNTUACION_I_OM</vt:lpstr>
      <vt:lpstr>PUNTUACION_I_VF</vt:lpstr>
      <vt:lpstr>R_1_O2</vt:lpstr>
      <vt:lpstr>R_1_OM</vt:lpstr>
      <vt:lpstr>R_2_O2</vt:lpstr>
      <vt:lpstr>R_2_OM</vt:lpstr>
      <vt:lpstr>R_3_O2</vt:lpstr>
      <vt:lpstr>R_3_OM</vt:lpstr>
      <vt:lpstr>R_4_O2</vt:lpstr>
      <vt:lpstr>R_4_OM</vt:lpstr>
      <vt:lpstr>R_5_O2</vt:lpstr>
      <vt:lpstr>R_5_OM</vt:lpstr>
      <vt:lpstr>R_6_O2</vt:lpstr>
      <vt:lpstr>R_6_OM</vt:lpstr>
      <vt:lpstr>R_C_EM</vt:lpstr>
      <vt:lpstr>R_C_O2</vt:lpstr>
      <vt:lpstr>R_C_PP</vt:lpstr>
      <vt:lpstr>R_C_RC</vt:lpstr>
      <vt:lpstr>R_CORRECTA</vt:lpstr>
      <vt:lpstr>R_Correctas_EN</vt:lpstr>
      <vt:lpstr>R_Correctas_O2</vt:lpstr>
      <vt:lpstr>R_Correctas_OM</vt:lpstr>
      <vt:lpstr>R_Correctas_VF</vt:lpstr>
      <vt:lpstr>R_I_EM</vt:lpstr>
      <vt:lpstr>R_I_O2</vt:lpstr>
      <vt:lpstr>R_I_OM</vt:lpstr>
      <vt:lpstr>R_I_PP</vt:lpstr>
      <vt:lpstr>R_I_RC</vt:lpstr>
      <vt:lpstr>R_INCORRECTA</vt:lpstr>
      <vt:lpstr>R_Incorrectas_EN</vt:lpstr>
      <vt:lpstr>R_Incorrectas_O2</vt:lpstr>
      <vt:lpstr>R_Incorrectas_OM</vt:lpstr>
      <vt:lpstr>R_Incorrectas_VF</vt:lpstr>
      <vt:lpstr>R_Par_CORRECTA</vt:lpstr>
      <vt:lpstr>R_RC_1</vt:lpstr>
      <vt:lpstr>R_RC_2</vt:lpstr>
      <vt:lpstr>R_RC_3</vt:lpstr>
      <vt:lpstr>R_RC_4</vt:lpstr>
      <vt:lpstr>R_RC_5</vt:lpstr>
      <vt:lpstr>R_RC_6</vt:lpstr>
      <vt:lpstr>R_RC_7</vt:lpstr>
      <vt:lpstr>R_RC_8</vt:lpstr>
      <vt:lpstr>RA_1_O2</vt:lpstr>
      <vt:lpstr>RA_1_OM</vt:lpstr>
      <vt:lpstr>RA_1_VF</vt:lpstr>
      <vt:lpstr>RA_2_O2</vt:lpstr>
      <vt:lpstr>RA_2_OM</vt:lpstr>
      <vt:lpstr>RA_2_VF</vt:lpstr>
      <vt:lpstr>RA_3_O2</vt:lpstr>
      <vt:lpstr>RA_3_OM</vt:lpstr>
      <vt:lpstr>RA_4_O2</vt:lpstr>
      <vt:lpstr>RA_4_OM</vt:lpstr>
      <vt:lpstr>RA_5_O2</vt:lpstr>
      <vt:lpstr>RA_5_OM</vt:lpstr>
      <vt:lpstr>RA_6_O2</vt:lpstr>
      <vt:lpstr>RA_6_OM</vt:lpstr>
      <vt:lpstr>RANGO_EN</vt:lpstr>
      <vt:lpstr>RC_01</vt:lpstr>
      <vt:lpstr>RC_02</vt:lpstr>
      <vt:lpstr>RC_03</vt:lpstr>
      <vt:lpstr>RC_04</vt:lpstr>
      <vt:lpstr>RC_05</vt:lpstr>
      <vt:lpstr>RC_06</vt:lpstr>
      <vt:lpstr>RC_07</vt:lpstr>
      <vt:lpstr>RC_08</vt:lpstr>
      <vt:lpstr>RC_1</vt:lpstr>
      <vt:lpstr>RC_2</vt:lpstr>
      <vt:lpstr>RC_3</vt:lpstr>
      <vt:lpstr>RC_4</vt:lpstr>
      <vt:lpstr>RC_5</vt:lpstr>
      <vt:lpstr>RC_6</vt:lpstr>
      <vt:lpstr>RC_7</vt:lpstr>
      <vt:lpstr>RC_8</vt:lpstr>
      <vt:lpstr>RC_OM</vt:lpstr>
      <vt:lpstr>RC_VF</vt:lpstr>
      <vt:lpstr>RE_01</vt:lpstr>
      <vt:lpstr>RE_02</vt:lpstr>
      <vt:lpstr>RE_03</vt:lpstr>
      <vt:lpstr>RE_04</vt:lpstr>
      <vt:lpstr>RE_05</vt:lpstr>
      <vt:lpstr>RE_06</vt:lpstr>
      <vt:lpstr>RE_07</vt:lpstr>
      <vt:lpstr>RE_08</vt:lpstr>
      <vt:lpstr>REQ_TEX_EN</vt:lpstr>
      <vt:lpstr>RESPUESTA_1_EN</vt:lpstr>
      <vt:lpstr>RESPUESTA_1_O2</vt:lpstr>
      <vt:lpstr>RESPUESTA_1_OM</vt:lpstr>
      <vt:lpstr>RESPUESTA_1_VF</vt:lpstr>
      <vt:lpstr>RESPUESTA_2_O2</vt:lpstr>
      <vt:lpstr>RESPUESTA_2_OM</vt:lpstr>
      <vt:lpstr>RESPUESTA_3_O2</vt:lpstr>
      <vt:lpstr>RESPUESTA_3_OM</vt:lpstr>
      <vt:lpstr>RESPUESTA_4_O2</vt:lpstr>
      <vt:lpstr>RESPUESTA_4_OM</vt:lpstr>
      <vt:lpstr>RESPUESTA_5_O2</vt:lpstr>
      <vt:lpstr>RESPUESTA_5_OM</vt:lpstr>
      <vt:lpstr>RESPUESTA_6_O2</vt:lpstr>
      <vt:lpstr>RESPUESTA_6_OM</vt:lpstr>
      <vt:lpstr>RETROAL_1_EN</vt:lpstr>
      <vt:lpstr>RETROAL_1_O2</vt:lpstr>
      <vt:lpstr>RETROAL_1_OM</vt:lpstr>
      <vt:lpstr>RETROAL_1_VF</vt:lpstr>
      <vt:lpstr>RETROAL_2_EN</vt:lpstr>
      <vt:lpstr>RETROAL_2_O2</vt:lpstr>
      <vt:lpstr>RETROAL_2_OM</vt:lpstr>
      <vt:lpstr>RETROAL_2_VF</vt:lpstr>
      <vt:lpstr>RETROAL_3_O2</vt:lpstr>
      <vt:lpstr>RETROAL_3_OM</vt:lpstr>
      <vt:lpstr>RETROAL_4_O2</vt:lpstr>
      <vt:lpstr>RETROAL_4_OM</vt:lpstr>
      <vt:lpstr>RETROAL_5_O2</vt:lpstr>
      <vt:lpstr>RETROAL_5_OM</vt:lpstr>
      <vt:lpstr>RETROAL_6_O2</vt:lpstr>
      <vt:lpstr>RETROAL_6_OM</vt:lpstr>
      <vt:lpstr>Retroalim_GENERAL</vt:lpstr>
      <vt:lpstr>RT_EN</vt:lpstr>
      <vt:lpstr>strDecimal_I</vt:lpstr>
      <vt:lpstr>strMiles_I</vt:lpstr>
      <vt:lpstr>'DATOS GENERALES'!SubCat_01</vt:lpstr>
      <vt:lpstr>'DATOS GENERALES'!SubCat_02</vt:lpstr>
      <vt:lpstr>'DATOS GENERALES'!SubCat_03</vt:lpstr>
      <vt:lpstr>'DATOS GENERALES'!SubCat_04</vt:lpstr>
      <vt:lpstr>'DATOS GENERALES'!SubCat_05</vt:lpstr>
      <vt:lpstr>'DATOS GENERALES'!SubCat_06</vt:lpstr>
      <vt:lpstr>SubCat_07</vt:lpstr>
      <vt:lpstr>SubCat_08</vt:lpstr>
      <vt:lpstr>SubCat_09</vt:lpstr>
      <vt:lpstr>SubCat_10</vt:lpstr>
      <vt:lpstr>SubCat_11</vt:lpstr>
      <vt:lpstr>SubCat_12</vt:lpstr>
      <vt:lpstr>T_R</vt:lpstr>
      <vt:lpstr>TAMA_CAJA_EN</vt:lpstr>
      <vt:lpstr>TC_EN</vt:lpstr>
      <vt:lpstr>Tipo_1</vt:lpstr>
      <vt:lpstr>Tipo_2</vt:lpstr>
      <vt:lpstr>Tipo_3</vt:lpstr>
      <vt:lpstr>Tipo_4</vt:lpstr>
      <vt:lpstr>Tipo_5</vt:lpstr>
      <vt:lpstr>Tipo_6</vt:lpstr>
      <vt:lpstr>Tipo_7</vt:lpstr>
      <vt:lpstr>Tipo_8</vt:lpstr>
      <vt:lpstr>Tipo_Cuestionario_Cod</vt:lpstr>
      <vt:lpstr>Tipo_Cuestionario_MAY</vt:lpstr>
      <vt:lpstr>Tipo_Cuestionario_Nom</vt:lpstr>
      <vt:lpstr>Tipo_Cuestionario_Num</vt:lpstr>
      <vt:lpstr>Tit_Categ</vt:lpstr>
      <vt:lpstr>Tit_Subcat</vt:lpstr>
      <vt:lpstr>Total_Formulas</vt:lpstr>
      <vt:lpstr>Total_Preguntas</vt:lpstr>
      <vt:lpstr>Ult_F_Dic</vt:lpstr>
      <vt:lpstr>UseSystem_I</vt:lpstr>
      <vt:lpstr>Version</vt:lpstr>
      <vt:lpstr>Z_??_?_</vt:lpstr>
      <vt:lpstr>Z_??_?_D</vt:lpstr>
      <vt:lpstr>Z_??_?_E</vt:lpstr>
      <vt:lpstr>Z_??_?_F</vt:lpstr>
      <vt:lpstr>Z_??_?_I</vt:lpstr>
      <vt:lpstr>Z_??_?_O</vt:lpstr>
      <vt:lpstr>Z_??_?_P</vt:lpstr>
      <vt:lpstr>Z_??_?_S</vt:lpstr>
      <vt:lpstr>Z_0_?_</vt:lpstr>
      <vt:lpstr>Z_0_?_D</vt:lpstr>
      <vt:lpstr>Z_0_?_E</vt:lpstr>
      <vt:lpstr>Z_0_?_F</vt:lpstr>
      <vt:lpstr>Z_0_?_I</vt:lpstr>
      <vt:lpstr>Z_0_?_O</vt:lpstr>
      <vt:lpstr>Z_0_?_P</vt:lpstr>
      <vt:lpstr>Z_0_?_S</vt:lpstr>
      <vt:lpstr>Z_AA_EN_?_</vt:lpstr>
      <vt:lpstr>Z_AA_EN_?_D</vt:lpstr>
      <vt:lpstr>Z_AA_EN_?_E</vt:lpstr>
      <vt:lpstr>Z_AA_EN_?_F</vt:lpstr>
      <vt:lpstr>Z_AA_EN_?_I</vt:lpstr>
      <vt:lpstr>Z_AA_EN_?_O</vt:lpstr>
      <vt:lpstr>Z_AA_EN_?_P</vt:lpstr>
      <vt:lpstr>Z_AA_EN_?_S</vt:lpstr>
      <vt:lpstr>Z_BARAJAR_R_?_</vt:lpstr>
      <vt:lpstr>Z_BARAJAR_R_?_D</vt:lpstr>
      <vt:lpstr>Z_BARAJAR_R_?_E</vt:lpstr>
      <vt:lpstr>Z_BARAJAR_R_?_F</vt:lpstr>
      <vt:lpstr>Z_BARAJAR_R_?_I</vt:lpstr>
      <vt:lpstr>Z_BARAJAR_R_?_O</vt:lpstr>
      <vt:lpstr>Z_BARAJAR_R_?_P</vt:lpstr>
      <vt:lpstr>Z_BARAJAR_R_?_S</vt:lpstr>
      <vt:lpstr>Z_BP_00_</vt:lpstr>
      <vt:lpstr>Z_BP_00_D</vt:lpstr>
      <vt:lpstr>Z_BP_00_E</vt:lpstr>
      <vt:lpstr>Z_BP_00_F</vt:lpstr>
      <vt:lpstr>Z_BP_00_I</vt:lpstr>
      <vt:lpstr>Z_BP_00_O</vt:lpstr>
      <vt:lpstr>Z_BP_00_P</vt:lpstr>
      <vt:lpstr>Z_BP_00_S</vt:lpstr>
      <vt:lpstr>Z_BP_01_</vt:lpstr>
      <vt:lpstr>Z_BP_01_D</vt:lpstr>
      <vt:lpstr>Z_BP_01_E</vt:lpstr>
      <vt:lpstr>Z_BP_01_F</vt:lpstr>
      <vt:lpstr>Z_BP_01_I</vt:lpstr>
      <vt:lpstr>Z_BP_01_O</vt:lpstr>
      <vt:lpstr>Z_BP_01_P</vt:lpstr>
      <vt:lpstr>Z_BP_01_S</vt:lpstr>
      <vt:lpstr>Z_BP_02_</vt:lpstr>
      <vt:lpstr>Z_BP_02_D</vt:lpstr>
      <vt:lpstr>Z_BP_02_E</vt:lpstr>
      <vt:lpstr>Z_BP_02_F</vt:lpstr>
      <vt:lpstr>Z_BP_02_I</vt:lpstr>
      <vt:lpstr>Z_BP_02_O</vt:lpstr>
      <vt:lpstr>Z_BP_02_P</vt:lpstr>
      <vt:lpstr>Z_BP_02_S</vt:lpstr>
      <vt:lpstr>Z_BP_03_</vt:lpstr>
      <vt:lpstr>Z_BP_03_D</vt:lpstr>
      <vt:lpstr>Z_BP_03_E</vt:lpstr>
      <vt:lpstr>Z_BP_03_F</vt:lpstr>
      <vt:lpstr>Z_BP_03_I</vt:lpstr>
      <vt:lpstr>Z_BP_03_O</vt:lpstr>
      <vt:lpstr>Z_BP_03_P</vt:lpstr>
      <vt:lpstr>Z_BP_03_S</vt:lpstr>
      <vt:lpstr>Z_CONTRASEN_A_?_</vt:lpstr>
      <vt:lpstr>Z_CONTRASEN_A_?_D</vt:lpstr>
      <vt:lpstr>Z_CONTRASEN_A_?_E</vt:lpstr>
      <vt:lpstr>Z_CONTRASEN_A_?_F</vt:lpstr>
      <vt:lpstr>Z_CONTRASEN_A_?_I</vt:lpstr>
      <vt:lpstr>Z_CONTRASEN_A_?_O</vt:lpstr>
      <vt:lpstr>Z_CONTRASEN_A_?_P</vt:lpstr>
      <vt:lpstr>Z_CONTRASEN_A_?_S</vt:lpstr>
      <vt:lpstr>Z_Des_Categ_?_</vt:lpstr>
      <vt:lpstr>Z_Des_Categ_?_D</vt:lpstr>
      <vt:lpstr>Z_Des_Categ_?_E</vt:lpstr>
      <vt:lpstr>Z_Des_Categ_?_F</vt:lpstr>
      <vt:lpstr>Z_Des_Categ_?_I</vt:lpstr>
      <vt:lpstr>Z_Des_Categ_?_O</vt:lpstr>
      <vt:lpstr>Z_Des_Categ_?_P</vt:lpstr>
      <vt:lpstr>Z_Des_Categ_?_S</vt:lpstr>
      <vt:lpstr>Z_Des_Subcat_?_</vt:lpstr>
      <vt:lpstr>Z_Des_Subcat_?_D</vt:lpstr>
      <vt:lpstr>Z_Des_Subcat_?_E</vt:lpstr>
      <vt:lpstr>Z_Des_Subcat_?_F</vt:lpstr>
      <vt:lpstr>Z_Des_Subcat_?_I</vt:lpstr>
      <vt:lpstr>Z_Des_Subcat_?_O</vt:lpstr>
      <vt:lpstr>Z_Des_Subcat_?_P</vt:lpstr>
      <vt:lpstr>Z_Des_Subcat_?_S</vt:lpstr>
      <vt:lpstr>Z_DG_00_</vt:lpstr>
      <vt:lpstr>Z_DG_00_D</vt:lpstr>
      <vt:lpstr>Z_DG_00_E</vt:lpstr>
      <vt:lpstr>Z_DG_00_F</vt:lpstr>
      <vt:lpstr>Z_DG_00_I</vt:lpstr>
      <vt:lpstr>Z_DG_00_O</vt:lpstr>
      <vt:lpstr>Z_DG_00_P</vt:lpstr>
      <vt:lpstr>Z_DG_00_S</vt:lpstr>
      <vt:lpstr>Z_DG_01_</vt:lpstr>
      <vt:lpstr>Z_DG_01_D</vt:lpstr>
      <vt:lpstr>Z_DG_01_E</vt:lpstr>
      <vt:lpstr>Z_DG_01_F</vt:lpstr>
      <vt:lpstr>Z_DG_01_I</vt:lpstr>
      <vt:lpstr>Z_DG_01_O</vt:lpstr>
      <vt:lpstr>Z_DG_01_P</vt:lpstr>
      <vt:lpstr>Z_DG_01_S</vt:lpstr>
      <vt:lpstr>Z_DG_02_</vt:lpstr>
      <vt:lpstr>Z_DG_02_D</vt:lpstr>
      <vt:lpstr>Z_DG_02_E</vt:lpstr>
      <vt:lpstr>Z_DG_02_F</vt:lpstr>
      <vt:lpstr>Z_DG_02_I</vt:lpstr>
      <vt:lpstr>Z_DG_02_O</vt:lpstr>
      <vt:lpstr>Z_DG_02_P</vt:lpstr>
      <vt:lpstr>Z_DG_02_S</vt:lpstr>
      <vt:lpstr>Z_DG_03_</vt:lpstr>
      <vt:lpstr>Z_DG_03_D</vt:lpstr>
      <vt:lpstr>Z_DG_03_E</vt:lpstr>
      <vt:lpstr>Z_DG_03_F</vt:lpstr>
      <vt:lpstr>Z_DG_03_I</vt:lpstr>
      <vt:lpstr>Z_DG_03_O</vt:lpstr>
      <vt:lpstr>Z_DG_03_P</vt:lpstr>
      <vt:lpstr>Z_DG_03_S</vt:lpstr>
      <vt:lpstr>Z_DG_04_</vt:lpstr>
      <vt:lpstr>Z_DG_04_D</vt:lpstr>
      <vt:lpstr>Z_DG_04_E</vt:lpstr>
      <vt:lpstr>Z_DG_04_F</vt:lpstr>
      <vt:lpstr>Z_DG_04_I</vt:lpstr>
      <vt:lpstr>Z_DG_04_O</vt:lpstr>
      <vt:lpstr>Z_DG_04_P</vt:lpstr>
      <vt:lpstr>Z_DG_04_S</vt:lpstr>
      <vt:lpstr>Z_DG_05_</vt:lpstr>
      <vt:lpstr>Z_DG_05_D</vt:lpstr>
      <vt:lpstr>Z_DG_05_E</vt:lpstr>
      <vt:lpstr>Z_DG_05_F</vt:lpstr>
      <vt:lpstr>Z_DG_05_I</vt:lpstr>
      <vt:lpstr>Z_DG_05_O</vt:lpstr>
      <vt:lpstr>Z_DG_05_P</vt:lpstr>
      <vt:lpstr>Z_DG_05_S</vt:lpstr>
      <vt:lpstr>Z_DG_06_</vt:lpstr>
      <vt:lpstr>Z_DG_06_D</vt:lpstr>
      <vt:lpstr>Z_DG_06_E</vt:lpstr>
      <vt:lpstr>Z_DG_06_F</vt:lpstr>
      <vt:lpstr>Z_DG_06_I</vt:lpstr>
      <vt:lpstr>Z_DG_06_O</vt:lpstr>
      <vt:lpstr>Z_DG_06_P</vt:lpstr>
      <vt:lpstr>Z_DG_06_S</vt:lpstr>
      <vt:lpstr>Z_DG_07_</vt:lpstr>
      <vt:lpstr>Z_DG_07_D</vt:lpstr>
      <vt:lpstr>Z_DG_07_E</vt:lpstr>
      <vt:lpstr>Z_DG_07_F</vt:lpstr>
      <vt:lpstr>Z_DG_07_I</vt:lpstr>
      <vt:lpstr>Z_DG_07_O</vt:lpstr>
      <vt:lpstr>Z_DG_07_P</vt:lpstr>
      <vt:lpstr>Z_DG_07_S</vt:lpstr>
      <vt:lpstr>Z_DG_08_</vt:lpstr>
      <vt:lpstr>Z_DG_08_D</vt:lpstr>
      <vt:lpstr>Z_DG_08_E</vt:lpstr>
      <vt:lpstr>Z_DG_08_F</vt:lpstr>
      <vt:lpstr>Z_DG_08_I</vt:lpstr>
      <vt:lpstr>Z_DG_08_O</vt:lpstr>
      <vt:lpstr>Z_DG_08_P</vt:lpstr>
      <vt:lpstr>Z_DG_08_S</vt:lpstr>
      <vt:lpstr>Z_DG_09_</vt:lpstr>
      <vt:lpstr>Z_DG_09_D</vt:lpstr>
      <vt:lpstr>Z_DG_09_E</vt:lpstr>
      <vt:lpstr>Z_DG_09_F</vt:lpstr>
      <vt:lpstr>Z_DG_09_I</vt:lpstr>
      <vt:lpstr>Z_DG_09_O</vt:lpstr>
      <vt:lpstr>Z_DG_09_P</vt:lpstr>
      <vt:lpstr>Z_DG_09_S</vt:lpstr>
      <vt:lpstr>Z_DG_10_</vt:lpstr>
      <vt:lpstr>Z_DG_10_D</vt:lpstr>
      <vt:lpstr>Z_DG_10_E</vt:lpstr>
      <vt:lpstr>Z_DG_10_F</vt:lpstr>
      <vt:lpstr>Z_DG_10_I</vt:lpstr>
      <vt:lpstr>Z_DG_10_O</vt:lpstr>
      <vt:lpstr>Z_DG_10_P</vt:lpstr>
      <vt:lpstr>Z_DG_10_S</vt:lpstr>
      <vt:lpstr>Z_DG_11_</vt:lpstr>
      <vt:lpstr>Z_DG_11_D</vt:lpstr>
      <vt:lpstr>Z_DG_11_E</vt:lpstr>
      <vt:lpstr>Z_DG_11_F</vt:lpstr>
      <vt:lpstr>Z_DG_11_I</vt:lpstr>
      <vt:lpstr>Z_DG_11_O</vt:lpstr>
      <vt:lpstr>Z_DG_11_P</vt:lpstr>
      <vt:lpstr>Z_DG_11_S</vt:lpstr>
      <vt:lpstr>Z_DG_12_</vt:lpstr>
      <vt:lpstr>Z_DG_12_D</vt:lpstr>
      <vt:lpstr>Z_DG_12_E</vt:lpstr>
      <vt:lpstr>Z_DG_12_F</vt:lpstr>
      <vt:lpstr>Z_DG_12_I</vt:lpstr>
      <vt:lpstr>Z_DG_12_O</vt:lpstr>
      <vt:lpstr>Z_DG_12_P</vt:lpstr>
      <vt:lpstr>Z_DG_12_S</vt:lpstr>
      <vt:lpstr>Z_DG_13_</vt:lpstr>
      <vt:lpstr>Z_DG_13_D</vt:lpstr>
      <vt:lpstr>Z_DG_13_E</vt:lpstr>
      <vt:lpstr>Z_DG_13_F</vt:lpstr>
      <vt:lpstr>Z_DG_13_I</vt:lpstr>
      <vt:lpstr>Z_DG_13_O</vt:lpstr>
      <vt:lpstr>Z_DG_13_P</vt:lpstr>
      <vt:lpstr>Z_DG_13_S</vt:lpstr>
      <vt:lpstr>Z_DG_14_</vt:lpstr>
      <vt:lpstr>Z_DG_14_D</vt:lpstr>
      <vt:lpstr>Z_DG_14_E</vt:lpstr>
      <vt:lpstr>Z_DG_14_F</vt:lpstr>
      <vt:lpstr>Z_DG_14_I</vt:lpstr>
      <vt:lpstr>Z_DG_14_O</vt:lpstr>
      <vt:lpstr>Z_DG_14_P</vt:lpstr>
      <vt:lpstr>Z_DG_14_S</vt:lpstr>
      <vt:lpstr>Z_DG_15_</vt:lpstr>
      <vt:lpstr>Z_DG_15_D</vt:lpstr>
      <vt:lpstr>Z_DG_15_E</vt:lpstr>
      <vt:lpstr>Z_DG_15_F</vt:lpstr>
      <vt:lpstr>Z_DG_15_I</vt:lpstr>
      <vt:lpstr>Z_DG_15_O</vt:lpstr>
      <vt:lpstr>Z_DG_15_P</vt:lpstr>
      <vt:lpstr>Z_DG_15_S</vt:lpstr>
      <vt:lpstr>Z_DG_16_</vt:lpstr>
      <vt:lpstr>Z_DG_16_D</vt:lpstr>
      <vt:lpstr>Z_DG_16_E</vt:lpstr>
      <vt:lpstr>Z_DG_16_F</vt:lpstr>
      <vt:lpstr>Z_DG_16_I</vt:lpstr>
      <vt:lpstr>Z_DG_16_O</vt:lpstr>
      <vt:lpstr>Z_DG_16_P</vt:lpstr>
      <vt:lpstr>Z_DG_16_S</vt:lpstr>
      <vt:lpstr>Z_DG_17_</vt:lpstr>
      <vt:lpstr>Z_DG_17_D</vt:lpstr>
      <vt:lpstr>Z_DG_17_E</vt:lpstr>
      <vt:lpstr>Z_DG_17_F</vt:lpstr>
      <vt:lpstr>Z_DG_17_I</vt:lpstr>
      <vt:lpstr>Z_DG_17_O</vt:lpstr>
      <vt:lpstr>Z_DG_17_P</vt:lpstr>
      <vt:lpstr>Z_DG_17_S</vt:lpstr>
      <vt:lpstr>Z_DG_18_</vt:lpstr>
      <vt:lpstr>Z_DG_18_D</vt:lpstr>
      <vt:lpstr>Z_DG_18_E</vt:lpstr>
      <vt:lpstr>Z_DG_18_F</vt:lpstr>
      <vt:lpstr>Z_DG_18_I</vt:lpstr>
      <vt:lpstr>Z_DG_18_O</vt:lpstr>
      <vt:lpstr>Z_DG_18_P</vt:lpstr>
      <vt:lpstr>Z_DG_18_S</vt:lpstr>
      <vt:lpstr>Z_DG_19_</vt:lpstr>
      <vt:lpstr>Z_DG_19_D</vt:lpstr>
      <vt:lpstr>Z_DG_19_E</vt:lpstr>
      <vt:lpstr>Z_DG_19_F</vt:lpstr>
      <vt:lpstr>Z_DG_19_I</vt:lpstr>
      <vt:lpstr>Z_DG_19_O</vt:lpstr>
      <vt:lpstr>Z_DG_19_P</vt:lpstr>
      <vt:lpstr>Z_DG_19_S</vt:lpstr>
      <vt:lpstr>Z_DG_20_</vt:lpstr>
      <vt:lpstr>Z_DG_20_D</vt:lpstr>
      <vt:lpstr>Z_DG_20_E</vt:lpstr>
      <vt:lpstr>Z_DG_20_F</vt:lpstr>
      <vt:lpstr>Z_DG_20_I</vt:lpstr>
      <vt:lpstr>Z_DG_20_O</vt:lpstr>
      <vt:lpstr>Z_DG_20_P</vt:lpstr>
      <vt:lpstr>Z_DG_20_S</vt:lpstr>
      <vt:lpstr>Z_DG_21_</vt:lpstr>
      <vt:lpstr>Z_DG_21_D</vt:lpstr>
      <vt:lpstr>Z_DG_21_E</vt:lpstr>
      <vt:lpstr>Z_DG_21_F</vt:lpstr>
      <vt:lpstr>Z_DG_21_I</vt:lpstr>
      <vt:lpstr>Z_DG_21_O</vt:lpstr>
      <vt:lpstr>Z_DG_21_P</vt:lpstr>
      <vt:lpstr>Z_DG_21_S</vt:lpstr>
      <vt:lpstr>Z_DG_22_</vt:lpstr>
      <vt:lpstr>Z_DG_22_D</vt:lpstr>
      <vt:lpstr>Z_DG_22_E</vt:lpstr>
      <vt:lpstr>Z_DG_22_F</vt:lpstr>
      <vt:lpstr>Z_DG_22_I</vt:lpstr>
      <vt:lpstr>Z_DG_22_O</vt:lpstr>
      <vt:lpstr>Z_DG_22_P</vt:lpstr>
      <vt:lpstr>Z_DG_22_S</vt:lpstr>
      <vt:lpstr>Z_DG_23_</vt:lpstr>
      <vt:lpstr>Z_DG_23_D</vt:lpstr>
      <vt:lpstr>Z_DG_23_E</vt:lpstr>
      <vt:lpstr>Z_DG_23_F</vt:lpstr>
      <vt:lpstr>Z_DG_23_I</vt:lpstr>
      <vt:lpstr>Z_DG_23_O</vt:lpstr>
      <vt:lpstr>Z_DG_23_P</vt:lpstr>
      <vt:lpstr>Z_DG_23_S</vt:lpstr>
      <vt:lpstr>Z_DG_24_</vt:lpstr>
      <vt:lpstr>Z_DG_24_D</vt:lpstr>
      <vt:lpstr>Z_DG_24_E</vt:lpstr>
      <vt:lpstr>Z_DG_24_F</vt:lpstr>
      <vt:lpstr>Z_DG_24_I</vt:lpstr>
      <vt:lpstr>Z_DG_24_O</vt:lpstr>
      <vt:lpstr>Z_DG_24_P</vt:lpstr>
      <vt:lpstr>Z_DG_24_S</vt:lpstr>
      <vt:lpstr>Z_DG_25_</vt:lpstr>
      <vt:lpstr>Z_DG_25_D</vt:lpstr>
      <vt:lpstr>Z_DG_25_E</vt:lpstr>
      <vt:lpstr>Z_DG_25_F</vt:lpstr>
      <vt:lpstr>Z_DG_25_I</vt:lpstr>
      <vt:lpstr>Z_DG_25_O</vt:lpstr>
      <vt:lpstr>Z_DG_25_P</vt:lpstr>
      <vt:lpstr>Z_DG_25_S</vt:lpstr>
      <vt:lpstr>Z_DG_26_</vt:lpstr>
      <vt:lpstr>Z_DG_26_D</vt:lpstr>
      <vt:lpstr>Z_DG_26_E</vt:lpstr>
      <vt:lpstr>Z_DG_26_F</vt:lpstr>
      <vt:lpstr>Z_DG_26_I</vt:lpstr>
      <vt:lpstr>Z_DG_26_O</vt:lpstr>
      <vt:lpstr>Z_DG_26_P</vt:lpstr>
      <vt:lpstr>Z_DG_26_S</vt:lpstr>
      <vt:lpstr>Z_DG_27_</vt:lpstr>
      <vt:lpstr>Z_DG_27_D</vt:lpstr>
      <vt:lpstr>Z_DG_27_E</vt:lpstr>
      <vt:lpstr>Z_DG_27_F</vt:lpstr>
      <vt:lpstr>Z_DG_27_I</vt:lpstr>
      <vt:lpstr>Z_DG_27_O</vt:lpstr>
      <vt:lpstr>Z_DG_27_P</vt:lpstr>
      <vt:lpstr>Z_DG_27_S</vt:lpstr>
      <vt:lpstr>Z_DG_28_</vt:lpstr>
      <vt:lpstr>Z_DG_28_D</vt:lpstr>
      <vt:lpstr>Z_DG_28_E</vt:lpstr>
      <vt:lpstr>Z_DG_28_F</vt:lpstr>
      <vt:lpstr>Z_DG_28_I</vt:lpstr>
      <vt:lpstr>Z_DG_28_O</vt:lpstr>
      <vt:lpstr>Z_DG_28_P</vt:lpstr>
      <vt:lpstr>Z_DG_28_S</vt:lpstr>
      <vt:lpstr>Z_DG_29_</vt:lpstr>
      <vt:lpstr>Z_DG_29_D</vt:lpstr>
      <vt:lpstr>Z_DG_29_E</vt:lpstr>
      <vt:lpstr>Z_DG_29_F</vt:lpstr>
      <vt:lpstr>Z_DG_29_I</vt:lpstr>
      <vt:lpstr>Z_DG_29_O</vt:lpstr>
      <vt:lpstr>Z_DG_29_P</vt:lpstr>
      <vt:lpstr>Z_DG_29_S</vt:lpstr>
      <vt:lpstr>Z_DG_30_</vt:lpstr>
      <vt:lpstr>Z_DG_30_D</vt:lpstr>
      <vt:lpstr>Z_DG_30_E</vt:lpstr>
      <vt:lpstr>Z_DG_30_F</vt:lpstr>
      <vt:lpstr>Z_DG_30_I</vt:lpstr>
      <vt:lpstr>Z_DG_30_O</vt:lpstr>
      <vt:lpstr>Z_DG_30_P</vt:lpstr>
      <vt:lpstr>Z_DG_30_S</vt:lpstr>
      <vt:lpstr>Z_DG_31_</vt:lpstr>
      <vt:lpstr>Z_DG_31_D</vt:lpstr>
      <vt:lpstr>Z_DG_31_E</vt:lpstr>
      <vt:lpstr>Z_DG_31_F</vt:lpstr>
      <vt:lpstr>Z_DG_31_I</vt:lpstr>
      <vt:lpstr>Z_DG_31_O</vt:lpstr>
      <vt:lpstr>Z_DG_31_P</vt:lpstr>
      <vt:lpstr>Z_DG_31_S</vt:lpstr>
      <vt:lpstr>Z_DG_32_</vt:lpstr>
      <vt:lpstr>Z_DG_32_D</vt:lpstr>
      <vt:lpstr>Z_DG_32_E</vt:lpstr>
      <vt:lpstr>Z_DG_32_F</vt:lpstr>
      <vt:lpstr>Z_DG_32_I</vt:lpstr>
      <vt:lpstr>Z_DG_32_O</vt:lpstr>
      <vt:lpstr>Z_DG_32_P</vt:lpstr>
      <vt:lpstr>Z_DG_32_S</vt:lpstr>
      <vt:lpstr>Z_DG_33_</vt:lpstr>
      <vt:lpstr>Z_DG_33_2_</vt:lpstr>
      <vt:lpstr>Z_DG_33_2_D</vt:lpstr>
      <vt:lpstr>Z_DG_33_2_E</vt:lpstr>
      <vt:lpstr>Z_DG_33_2_F</vt:lpstr>
      <vt:lpstr>Z_DG_33_2_I</vt:lpstr>
      <vt:lpstr>Z_DG_33_2_O</vt:lpstr>
      <vt:lpstr>Z_DG_33_2_P</vt:lpstr>
      <vt:lpstr>Z_DG_33_2_S</vt:lpstr>
      <vt:lpstr>Z_DG_33_D</vt:lpstr>
      <vt:lpstr>Z_DG_33_E</vt:lpstr>
      <vt:lpstr>Z_DG_33_F</vt:lpstr>
      <vt:lpstr>Z_DG_33_I</vt:lpstr>
      <vt:lpstr>Z_DG_33_O</vt:lpstr>
      <vt:lpstr>Z_DG_33_P</vt:lpstr>
      <vt:lpstr>Z_DG_33_S</vt:lpstr>
      <vt:lpstr>Z_DG_34_</vt:lpstr>
      <vt:lpstr>Z_DG_34_D</vt:lpstr>
      <vt:lpstr>Z_DG_34_E</vt:lpstr>
      <vt:lpstr>Z_DG_34_F</vt:lpstr>
      <vt:lpstr>Z_DG_34_I</vt:lpstr>
      <vt:lpstr>Z_DG_34_O</vt:lpstr>
      <vt:lpstr>Z_DG_34_P</vt:lpstr>
      <vt:lpstr>Z_DG_34_S</vt:lpstr>
      <vt:lpstr>Z_DG_35_</vt:lpstr>
      <vt:lpstr>Z_DG_35_D</vt:lpstr>
      <vt:lpstr>Z_DG_35_E</vt:lpstr>
      <vt:lpstr>Z_DG_35_F</vt:lpstr>
      <vt:lpstr>Z_DG_35_I</vt:lpstr>
      <vt:lpstr>Z_DG_35_O</vt:lpstr>
      <vt:lpstr>Z_DG_35_P</vt:lpstr>
      <vt:lpstr>Z_DG_35_S</vt:lpstr>
      <vt:lpstr>Z_DG_36_</vt:lpstr>
      <vt:lpstr>Z_DG_36_D</vt:lpstr>
      <vt:lpstr>Z_DG_36_E</vt:lpstr>
      <vt:lpstr>Z_DG_36_F</vt:lpstr>
      <vt:lpstr>Z_DG_36_I</vt:lpstr>
      <vt:lpstr>Z_DG_36_O</vt:lpstr>
      <vt:lpstr>Z_DG_36_P</vt:lpstr>
      <vt:lpstr>Z_DG_36_S</vt:lpstr>
      <vt:lpstr>Z_DG_37_</vt:lpstr>
      <vt:lpstr>Z_DG_37_D</vt:lpstr>
      <vt:lpstr>Z_DG_37_E</vt:lpstr>
      <vt:lpstr>Z_DG_37_F</vt:lpstr>
      <vt:lpstr>Z_DG_37_I</vt:lpstr>
      <vt:lpstr>Z_DG_37_O</vt:lpstr>
      <vt:lpstr>Z_DG_37_P</vt:lpstr>
      <vt:lpstr>Z_DG_37_S</vt:lpstr>
      <vt:lpstr>Z_DG_38_</vt:lpstr>
      <vt:lpstr>Z_DG_38_D</vt:lpstr>
      <vt:lpstr>Z_DG_38_E</vt:lpstr>
      <vt:lpstr>Z_DG_38_F</vt:lpstr>
      <vt:lpstr>Z_DG_38_I</vt:lpstr>
      <vt:lpstr>Z_DG_38_O</vt:lpstr>
      <vt:lpstr>Z_DG_38_P</vt:lpstr>
      <vt:lpstr>Z_DG_38_S</vt:lpstr>
      <vt:lpstr>Z_DG_39_</vt:lpstr>
      <vt:lpstr>Z_DG_39_D</vt:lpstr>
      <vt:lpstr>Z_DG_39_E</vt:lpstr>
      <vt:lpstr>Z_DG_39_F</vt:lpstr>
      <vt:lpstr>Z_DG_39_I</vt:lpstr>
      <vt:lpstr>Z_DG_39_O</vt:lpstr>
      <vt:lpstr>Z_DG_39_P</vt:lpstr>
      <vt:lpstr>Z_DG_39_S</vt:lpstr>
      <vt:lpstr>Z_DG_40_</vt:lpstr>
      <vt:lpstr>Z_DG_40_D</vt:lpstr>
      <vt:lpstr>Z_DG_40_E</vt:lpstr>
      <vt:lpstr>Z_DG_40_F</vt:lpstr>
      <vt:lpstr>Z_DG_40_I</vt:lpstr>
      <vt:lpstr>Z_DG_40_O</vt:lpstr>
      <vt:lpstr>Z_DG_40_P</vt:lpstr>
      <vt:lpstr>Z_DG_40_S</vt:lpstr>
      <vt:lpstr>Z_DG_41_</vt:lpstr>
      <vt:lpstr>Z_DG_41_D</vt:lpstr>
      <vt:lpstr>Z_DG_41_E</vt:lpstr>
      <vt:lpstr>Z_DG_41_F</vt:lpstr>
      <vt:lpstr>Z_DG_41_I</vt:lpstr>
      <vt:lpstr>Z_DG_41_O</vt:lpstr>
      <vt:lpstr>Z_DG_41_P</vt:lpstr>
      <vt:lpstr>Z_DG_41_S</vt:lpstr>
      <vt:lpstr>Z_DG_42_</vt:lpstr>
      <vt:lpstr>Z_DG_42_D</vt:lpstr>
      <vt:lpstr>Z_DG_42_E</vt:lpstr>
      <vt:lpstr>Z_DG_42_F</vt:lpstr>
      <vt:lpstr>Z_DG_42_I</vt:lpstr>
      <vt:lpstr>Z_DG_42_O</vt:lpstr>
      <vt:lpstr>Z_DG_42_P</vt:lpstr>
      <vt:lpstr>Z_DG_42_S</vt:lpstr>
      <vt:lpstr>Z_DG_43_</vt:lpstr>
      <vt:lpstr>Z_DG_43_D</vt:lpstr>
      <vt:lpstr>Z_DG_43_E</vt:lpstr>
      <vt:lpstr>Z_DG_43_F</vt:lpstr>
      <vt:lpstr>Z_DG_43_I</vt:lpstr>
      <vt:lpstr>Z_DG_43_O</vt:lpstr>
      <vt:lpstr>Z_DG_43_P</vt:lpstr>
      <vt:lpstr>Z_DG_43_S</vt:lpstr>
      <vt:lpstr>Z_EM_00_</vt:lpstr>
      <vt:lpstr>Z_EM_00_D</vt:lpstr>
      <vt:lpstr>Z_EM_00_E</vt:lpstr>
      <vt:lpstr>Z_EM_00_F</vt:lpstr>
      <vt:lpstr>Z_EM_00_I</vt:lpstr>
      <vt:lpstr>Z_EM_00_O</vt:lpstr>
      <vt:lpstr>Z_EM_00_P</vt:lpstr>
      <vt:lpstr>Z_EM_00_S</vt:lpstr>
      <vt:lpstr>Z_EM_01_</vt:lpstr>
      <vt:lpstr>Z_EM_01_D</vt:lpstr>
      <vt:lpstr>Z_EM_01_E</vt:lpstr>
      <vt:lpstr>Z_EM_01_F</vt:lpstr>
      <vt:lpstr>Z_EM_01_I</vt:lpstr>
      <vt:lpstr>Z_EM_01_O</vt:lpstr>
      <vt:lpstr>Z_EM_01_P</vt:lpstr>
      <vt:lpstr>Z_EM_01_S</vt:lpstr>
      <vt:lpstr>Z_EM_02_</vt:lpstr>
      <vt:lpstr>Z_EM_02_D</vt:lpstr>
      <vt:lpstr>Z_EM_02_E</vt:lpstr>
      <vt:lpstr>Z_EM_02_F</vt:lpstr>
      <vt:lpstr>Z_EM_02_I</vt:lpstr>
      <vt:lpstr>Z_EM_02_O</vt:lpstr>
      <vt:lpstr>Z_EM_02_P</vt:lpstr>
      <vt:lpstr>Z_EM_02_S</vt:lpstr>
      <vt:lpstr>Z_EN_00_</vt:lpstr>
      <vt:lpstr>Z_EN_00_D</vt:lpstr>
      <vt:lpstr>Z_EN_00_E</vt:lpstr>
      <vt:lpstr>Z_EN_00_F</vt:lpstr>
      <vt:lpstr>Z_EN_00_I</vt:lpstr>
      <vt:lpstr>Z_EN_00_O</vt:lpstr>
      <vt:lpstr>Z_EN_00_P</vt:lpstr>
      <vt:lpstr>Z_EN_00_S</vt:lpstr>
      <vt:lpstr>Z_EN_01_</vt:lpstr>
      <vt:lpstr>Z_EN_01_D</vt:lpstr>
      <vt:lpstr>Z_EN_01_E</vt:lpstr>
      <vt:lpstr>Z_EN_01_F</vt:lpstr>
      <vt:lpstr>Z_EN_01_I</vt:lpstr>
      <vt:lpstr>Z_EN_01_O</vt:lpstr>
      <vt:lpstr>Z_EN_01_P</vt:lpstr>
      <vt:lpstr>Z_EN_01_S</vt:lpstr>
      <vt:lpstr>Z_EN_02_</vt:lpstr>
      <vt:lpstr>Z_EN_02_D</vt:lpstr>
      <vt:lpstr>Z_EN_02_E</vt:lpstr>
      <vt:lpstr>Z_EN_02_F</vt:lpstr>
      <vt:lpstr>Z_EN_02_I</vt:lpstr>
      <vt:lpstr>Z_EN_02_O</vt:lpstr>
      <vt:lpstr>Z_EN_02_P</vt:lpstr>
      <vt:lpstr>Z_EN_02_S</vt:lpstr>
      <vt:lpstr>Z_EN_03_</vt:lpstr>
      <vt:lpstr>Z_EN_03_D</vt:lpstr>
      <vt:lpstr>Z_EN_03_E</vt:lpstr>
      <vt:lpstr>Z_EN_03_F</vt:lpstr>
      <vt:lpstr>Z_EN_03_I</vt:lpstr>
      <vt:lpstr>Z_EN_03_O</vt:lpstr>
      <vt:lpstr>Z_EN_03_P</vt:lpstr>
      <vt:lpstr>Z_EN_03_S</vt:lpstr>
      <vt:lpstr>Z_EN_04_</vt:lpstr>
      <vt:lpstr>Z_EN_04_D</vt:lpstr>
      <vt:lpstr>Z_EN_04_E</vt:lpstr>
      <vt:lpstr>Z_EN_04_F</vt:lpstr>
      <vt:lpstr>Z_EN_04_I</vt:lpstr>
      <vt:lpstr>Z_EN_04_O</vt:lpstr>
      <vt:lpstr>Z_EN_04_P</vt:lpstr>
      <vt:lpstr>Z_EN_04_S</vt:lpstr>
      <vt:lpstr>Z_EN_05_</vt:lpstr>
      <vt:lpstr>Z_EN_05_D</vt:lpstr>
      <vt:lpstr>Z_EN_05_E</vt:lpstr>
      <vt:lpstr>Z_EN_05_F</vt:lpstr>
      <vt:lpstr>Z_EN_05_I</vt:lpstr>
      <vt:lpstr>Z_EN_05_O</vt:lpstr>
      <vt:lpstr>Z_EN_05_P</vt:lpstr>
      <vt:lpstr>Z_EN_05_S</vt:lpstr>
      <vt:lpstr>Z_EN_06_</vt:lpstr>
      <vt:lpstr>Z_EN_06_D</vt:lpstr>
      <vt:lpstr>Z_EN_06_E</vt:lpstr>
      <vt:lpstr>Z_EN_06_F</vt:lpstr>
      <vt:lpstr>Z_EN_06_I</vt:lpstr>
      <vt:lpstr>Z_EN_06_O</vt:lpstr>
      <vt:lpstr>Z_EN_06_P</vt:lpstr>
      <vt:lpstr>Z_EN_06_S</vt:lpstr>
      <vt:lpstr>Z_EN_07_</vt:lpstr>
      <vt:lpstr>Z_EN_07_D</vt:lpstr>
      <vt:lpstr>Z_EN_07_E</vt:lpstr>
      <vt:lpstr>Z_EN_07_F</vt:lpstr>
      <vt:lpstr>Z_EN_07_I</vt:lpstr>
      <vt:lpstr>Z_EN_07_O</vt:lpstr>
      <vt:lpstr>Z_EN_07_P</vt:lpstr>
      <vt:lpstr>Z_EN_07_S</vt:lpstr>
      <vt:lpstr>Z_EN_08_</vt:lpstr>
      <vt:lpstr>Z_EN_08_D</vt:lpstr>
      <vt:lpstr>Z_EN_08_E</vt:lpstr>
      <vt:lpstr>Z_EN_08_F</vt:lpstr>
      <vt:lpstr>Z_EN_08_I</vt:lpstr>
      <vt:lpstr>Z_EN_08_O</vt:lpstr>
      <vt:lpstr>Z_EN_08_P</vt:lpstr>
      <vt:lpstr>Z_EN_08_S</vt:lpstr>
      <vt:lpstr>Z_EN_09_</vt:lpstr>
      <vt:lpstr>Z_EN_09_D</vt:lpstr>
      <vt:lpstr>Z_EN_09_E</vt:lpstr>
      <vt:lpstr>Z_EN_09_F</vt:lpstr>
      <vt:lpstr>Z_EN_09_I</vt:lpstr>
      <vt:lpstr>Z_EN_09_O</vt:lpstr>
      <vt:lpstr>Z_EN_09_P</vt:lpstr>
      <vt:lpstr>Z_EN_09_S</vt:lpstr>
      <vt:lpstr>Z_EN_10_</vt:lpstr>
      <vt:lpstr>Z_EN_10_D</vt:lpstr>
      <vt:lpstr>Z_EN_10_E</vt:lpstr>
      <vt:lpstr>Z_EN_10_F</vt:lpstr>
      <vt:lpstr>Z_EN_10_I</vt:lpstr>
      <vt:lpstr>Z_EN_10_O</vt:lpstr>
      <vt:lpstr>Z_EN_10_P</vt:lpstr>
      <vt:lpstr>Z_EN_10_S</vt:lpstr>
      <vt:lpstr>Z_EN_11_</vt:lpstr>
      <vt:lpstr>Z_EN_11_D</vt:lpstr>
      <vt:lpstr>Z_EN_11_E</vt:lpstr>
      <vt:lpstr>Z_EN_11_F</vt:lpstr>
      <vt:lpstr>Z_EN_11_I</vt:lpstr>
      <vt:lpstr>Z_EN_11_O</vt:lpstr>
      <vt:lpstr>Z_EN_11_P</vt:lpstr>
      <vt:lpstr>Z_EN_11_S</vt:lpstr>
      <vt:lpstr>Z_EN_12_</vt:lpstr>
      <vt:lpstr>Z_EN_12_D</vt:lpstr>
      <vt:lpstr>Z_EN_12_E</vt:lpstr>
      <vt:lpstr>Z_EN_12_F</vt:lpstr>
      <vt:lpstr>Z_EN_12_I</vt:lpstr>
      <vt:lpstr>Z_EN_12_O</vt:lpstr>
      <vt:lpstr>Z_EN_12_P</vt:lpstr>
      <vt:lpstr>Z_EN_12_S</vt:lpstr>
      <vt:lpstr>Z_EN_13_</vt:lpstr>
      <vt:lpstr>Z_EN_13_D</vt:lpstr>
      <vt:lpstr>Z_EN_13_E</vt:lpstr>
      <vt:lpstr>Z_EN_13_F</vt:lpstr>
      <vt:lpstr>Z_EN_13_I</vt:lpstr>
      <vt:lpstr>Z_EN_13_O</vt:lpstr>
      <vt:lpstr>Z_EN_13_P</vt:lpstr>
      <vt:lpstr>Z_EN_13_S</vt:lpstr>
      <vt:lpstr>Z_EN_14_</vt:lpstr>
      <vt:lpstr>Z_EN_14_D</vt:lpstr>
      <vt:lpstr>Z_EN_14_E</vt:lpstr>
      <vt:lpstr>Z_EN_14_F</vt:lpstr>
      <vt:lpstr>Z_EN_14_I</vt:lpstr>
      <vt:lpstr>Z_EN_14_O</vt:lpstr>
      <vt:lpstr>Z_EN_14_P</vt:lpstr>
      <vt:lpstr>Z_EN_14_S</vt:lpstr>
      <vt:lpstr>Z_EN_15_</vt:lpstr>
      <vt:lpstr>Z_EN_15_D</vt:lpstr>
      <vt:lpstr>Z_EN_15_E</vt:lpstr>
      <vt:lpstr>Z_EN_15_F</vt:lpstr>
      <vt:lpstr>Z_EN_15_I</vt:lpstr>
      <vt:lpstr>Z_EN_15_O</vt:lpstr>
      <vt:lpstr>Z_EN_15_P</vt:lpstr>
      <vt:lpstr>Z_EN_15_S</vt:lpstr>
      <vt:lpstr>Z_EN_16_</vt:lpstr>
      <vt:lpstr>Z_EN_16_D</vt:lpstr>
      <vt:lpstr>Z_EN_16_E</vt:lpstr>
      <vt:lpstr>Z_EN_16_F</vt:lpstr>
      <vt:lpstr>Z_EN_16_I</vt:lpstr>
      <vt:lpstr>Z_EN_16_O</vt:lpstr>
      <vt:lpstr>Z_EN_16_P</vt:lpstr>
      <vt:lpstr>Z_EN_16_S</vt:lpstr>
      <vt:lpstr>Z_EN_17_</vt:lpstr>
      <vt:lpstr>Z_EN_17_D</vt:lpstr>
      <vt:lpstr>Z_EN_17_E</vt:lpstr>
      <vt:lpstr>Z_EN_17_F</vt:lpstr>
      <vt:lpstr>Z_EN_17_I</vt:lpstr>
      <vt:lpstr>Z_EN_17_O</vt:lpstr>
      <vt:lpstr>Z_EN_17_P</vt:lpstr>
      <vt:lpstr>Z_EN_17_S</vt:lpstr>
      <vt:lpstr>Z_EN_18_</vt:lpstr>
      <vt:lpstr>Z_EN_18_D</vt:lpstr>
      <vt:lpstr>Z_EN_18_E</vt:lpstr>
      <vt:lpstr>Z_EN_18_F</vt:lpstr>
      <vt:lpstr>Z_EN_18_I</vt:lpstr>
      <vt:lpstr>Z_EN_18_O</vt:lpstr>
      <vt:lpstr>Z_EN_18_P</vt:lpstr>
      <vt:lpstr>Z_EN_18_S</vt:lpstr>
      <vt:lpstr>Z_Enun_PP_?_</vt:lpstr>
      <vt:lpstr>Z_Enun_PP_?_D</vt:lpstr>
      <vt:lpstr>Z_Enun_PP_?_E</vt:lpstr>
      <vt:lpstr>Z_Enun_PP_?_F</vt:lpstr>
      <vt:lpstr>Z_Enun_PP_?_I</vt:lpstr>
      <vt:lpstr>Z_Enun_PP_?_O</vt:lpstr>
      <vt:lpstr>Z_Enun_PP_?_P</vt:lpstr>
      <vt:lpstr>Z_Enun_PP_?_S</vt:lpstr>
      <vt:lpstr>Z_FR_EN_?_</vt:lpstr>
      <vt:lpstr>Z_FR_EN_?_D</vt:lpstr>
      <vt:lpstr>Z_FR_EN_?_E</vt:lpstr>
      <vt:lpstr>Z_FR_EN_?_F</vt:lpstr>
      <vt:lpstr>Z_FR_EN_?_I</vt:lpstr>
      <vt:lpstr>Z_FR_EN_?_O</vt:lpstr>
      <vt:lpstr>Z_FR_EN_?_P</vt:lpstr>
      <vt:lpstr>Z_FR_EN_?_S</vt:lpstr>
      <vt:lpstr>Z_G33_?_</vt:lpstr>
      <vt:lpstr>Z_G33_?_D</vt:lpstr>
      <vt:lpstr>Z_G33_?_E</vt:lpstr>
      <vt:lpstr>Z_G33_?_F</vt:lpstr>
      <vt:lpstr>Z_G33_?_I</vt:lpstr>
      <vt:lpstr>Z_G33_?_O</vt:lpstr>
      <vt:lpstr>Z_G33_?_P</vt:lpstr>
      <vt:lpstr>Z_G33_?_S</vt:lpstr>
      <vt:lpstr>Z_H11_?_</vt:lpstr>
      <vt:lpstr>Z_H11_?_D</vt:lpstr>
      <vt:lpstr>Z_H11_?_E</vt:lpstr>
      <vt:lpstr>Z_H11_?_F</vt:lpstr>
      <vt:lpstr>Z_H11_?_I</vt:lpstr>
      <vt:lpstr>Z_H11_?_O</vt:lpstr>
      <vt:lpstr>Z_H11_?_P</vt:lpstr>
      <vt:lpstr>Z_H11_?_S</vt:lpstr>
      <vt:lpstr>Z_H17_?_</vt:lpstr>
      <vt:lpstr>Z_H17_?_D</vt:lpstr>
      <vt:lpstr>Z_H17_?_E</vt:lpstr>
      <vt:lpstr>Z_H17_?_F</vt:lpstr>
      <vt:lpstr>Z_H17_?_I</vt:lpstr>
      <vt:lpstr>Z_H17_?_O</vt:lpstr>
      <vt:lpstr>Z_H17_?_P</vt:lpstr>
      <vt:lpstr>Z_H17_?_S</vt:lpstr>
      <vt:lpstr>Z_H9_?_</vt:lpstr>
      <vt:lpstr>Z_H9_?_D</vt:lpstr>
      <vt:lpstr>Z_H9_?_E</vt:lpstr>
      <vt:lpstr>Z_H9_?_F</vt:lpstr>
      <vt:lpstr>Z_H9_?_I</vt:lpstr>
      <vt:lpstr>Z_H9_?_O</vt:lpstr>
      <vt:lpstr>Z_H9_?_P</vt:lpstr>
      <vt:lpstr>Z_H9_?_S</vt:lpstr>
      <vt:lpstr>Z_IE_EN_?_</vt:lpstr>
      <vt:lpstr>Z_IE_EN_?_D</vt:lpstr>
      <vt:lpstr>Z_IE_EN_?_E</vt:lpstr>
      <vt:lpstr>Z_IE_EN_?_F</vt:lpstr>
      <vt:lpstr>Z_IE_EN_?_I</vt:lpstr>
      <vt:lpstr>Z_IE_EN_?_O</vt:lpstr>
      <vt:lpstr>Z_IE_EN_?_P</vt:lpstr>
      <vt:lpstr>Z_IE_EN_?_S</vt:lpstr>
      <vt:lpstr>Z_IN_00_</vt:lpstr>
      <vt:lpstr>Z_IN_00_D</vt:lpstr>
      <vt:lpstr>Z_IN_00_E</vt:lpstr>
      <vt:lpstr>Z_IN_00_F</vt:lpstr>
      <vt:lpstr>Z_IN_00_I</vt:lpstr>
      <vt:lpstr>Z_IN_00_O</vt:lpstr>
      <vt:lpstr>Z_IN_00_P</vt:lpstr>
      <vt:lpstr>Z_IN_00_S</vt:lpstr>
      <vt:lpstr>Z_IN_01_</vt:lpstr>
      <vt:lpstr>Z_IN_01_D</vt:lpstr>
      <vt:lpstr>Z_IN_01_E</vt:lpstr>
      <vt:lpstr>Z_IN_01_F</vt:lpstr>
      <vt:lpstr>Z_IN_01_I</vt:lpstr>
      <vt:lpstr>Z_IN_01_O</vt:lpstr>
      <vt:lpstr>Z_IN_01_P</vt:lpstr>
      <vt:lpstr>Z_IN_01_S</vt:lpstr>
      <vt:lpstr>Z_IN_02_</vt:lpstr>
      <vt:lpstr>Z_IN_02_D</vt:lpstr>
      <vt:lpstr>Z_IN_02_E</vt:lpstr>
      <vt:lpstr>Z_IN_02_F</vt:lpstr>
      <vt:lpstr>Z_IN_02_I</vt:lpstr>
      <vt:lpstr>Z_IN_02_O</vt:lpstr>
      <vt:lpstr>Z_IN_02_P</vt:lpstr>
      <vt:lpstr>Z_IN_02_S</vt:lpstr>
      <vt:lpstr>Z_IN_03_</vt:lpstr>
      <vt:lpstr>Z_IN_03_D</vt:lpstr>
      <vt:lpstr>Z_IN_03_E</vt:lpstr>
      <vt:lpstr>Z_IN_03_F</vt:lpstr>
      <vt:lpstr>Z_IN_03_I</vt:lpstr>
      <vt:lpstr>Z_IN_03_O</vt:lpstr>
      <vt:lpstr>Z_IN_03_P</vt:lpstr>
      <vt:lpstr>Z_IN_03_S</vt:lpstr>
      <vt:lpstr>Z_IN_04_</vt:lpstr>
      <vt:lpstr>Z_IN_04_D</vt:lpstr>
      <vt:lpstr>Z_IN_04_E</vt:lpstr>
      <vt:lpstr>Z_IN_04_F</vt:lpstr>
      <vt:lpstr>Z_IN_04_I</vt:lpstr>
      <vt:lpstr>Z_IN_04_O</vt:lpstr>
      <vt:lpstr>Z_IN_04_P</vt:lpstr>
      <vt:lpstr>Z_IN_04_S</vt:lpstr>
      <vt:lpstr>Z_IN_05_</vt:lpstr>
      <vt:lpstr>Z_IN_05_D</vt:lpstr>
      <vt:lpstr>Z_IN_05_E</vt:lpstr>
      <vt:lpstr>Z_IN_05_F</vt:lpstr>
      <vt:lpstr>Z_IN_05_I</vt:lpstr>
      <vt:lpstr>Z_IN_05_O</vt:lpstr>
      <vt:lpstr>Z_IN_05_P</vt:lpstr>
      <vt:lpstr>Z_IN_05_S</vt:lpstr>
      <vt:lpstr>Z_IN_06_</vt:lpstr>
      <vt:lpstr>Z_IN_06_D</vt:lpstr>
      <vt:lpstr>Z_IN_06_E</vt:lpstr>
      <vt:lpstr>Z_IN_06_F</vt:lpstr>
      <vt:lpstr>Z_IN_06_I</vt:lpstr>
      <vt:lpstr>Z_IN_06_O</vt:lpstr>
      <vt:lpstr>Z_IN_06_P</vt:lpstr>
      <vt:lpstr>Z_IN_06_S</vt:lpstr>
      <vt:lpstr>Z_IN_07_</vt:lpstr>
      <vt:lpstr>Z_IN_07_D</vt:lpstr>
      <vt:lpstr>Z_IN_07_E</vt:lpstr>
      <vt:lpstr>Z_IN_07_F</vt:lpstr>
      <vt:lpstr>Z_IN_07_I</vt:lpstr>
      <vt:lpstr>Z_IN_07_O</vt:lpstr>
      <vt:lpstr>Z_IN_07_P</vt:lpstr>
      <vt:lpstr>Z_IN_07_S</vt:lpstr>
      <vt:lpstr>Z_IN_08_</vt:lpstr>
      <vt:lpstr>Z_IN_08_D</vt:lpstr>
      <vt:lpstr>Z_IN_08_E</vt:lpstr>
      <vt:lpstr>Z_IN_08_F</vt:lpstr>
      <vt:lpstr>Z_IN_08_I</vt:lpstr>
      <vt:lpstr>Z_IN_08_O</vt:lpstr>
      <vt:lpstr>Z_IN_08_P</vt:lpstr>
      <vt:lpstr>Z_IN_08_S</vt:lpstr>
      <vt:lpstr>Z_IN_09_</vt:lpstr>
      <vt:lpstr>Z_IN_09_D</vt:lpstr>
      <vt:lpstr>Z_IN_09_E</vt:lpstr>
      <vt:lpstr>Z_IN_09_F</vt:lpstr>
      <vt:lpstr>Z_IN_09_I</vt:lpstr>
      <vt:lpstr>Z_IN_09_O</vt:lpstr>
      <vt:lpstr>Z_IN_09_P</vt:lpstr>
      <vt:lpstr>Z_IN_09_S</vt:lpstr>
      <vt:lpstr>Z_IN_10_</vt:lpstr>
      <vt:lpstr>Z_IN_10_D</vt:lpstr>
      <vt:lpstr>Z_IN_10_E</vt:lpstr>
      <vt:lpstr>Z_IN_10_F</vt:lpstr>
      <vt:lpstr>Z_IN_10_I</vt:lpstr>
      <vt:lpstr>Z_IN_10_O</vt:lpstr>
      <vt:lpstr>Z_IN_10_P</vt:lpstr>
      <vt:lpstr>Z_IN_10_S</vt:lpstr>
      <vt:lpstr>Z_L5_?_</vt:lpstr>
      <vt:lpstr>Z_L5_?_D</vt:lpstr>
      <vt:lpstr>Z_L5_?_E</vt:lpstr>
      <vt:lpstr>Z_L5_?_F</vt:lpstr>
      <vt:lpstr>Z_L5_?_I</vt:lpstr>
      <vt:lpstr>Z_L5_?_O</vt:lpstr>
      <vt:lpstr>Z_L5_?_P</vt:lpstr>
      <vt:lpstr>Z_L5_?_S</vt:lpstr>
      <vt:lpstr>Z_Marcar_RI_?_</vt:lpstr>
      <vt:lpstr>Z_Marcar_RI_?_D</vt:lpstr>
      <vt:lpstr>Z_Marcar_RI_?_E</vt:lpstr>
      <vt:lpstr>Z_Marcar_RI_?_F</vt:lpstr>
      <vt:lpstr>Z_Marcar_RI_?_I</vt:lpstr>
      <vt:lpstr>Z_Marcar_RI_?_O</vt:lpstr>
      <vt:lpstr>Z_Marcar_RI_?_P</vt:lpstr>
      <vt:lpstr>Z_Marcar_RI_?_S</vt:lpstr>
      <vt:lpstr>Z_MAYUSCULAS_?_</vt:lpstr>
      <vt:lpstr>Z_MAYUSCULAS_?_D</vt:lpstr>
      <vt:lpstr>Z_MAYUSCULAS_?_E</vt:lpstr>
      <vt:lpstr>Z_MAYUSCULAS_?_F</vt:lpstr>
      <vt:lpstr>Z_MAYUSCULAS_?_I</vt:lpstr>
      <vt:lpstr>Z_MAYUSCULAS_?_O</vt:lpstr>
      <vt:lpstr>Z_MAYUSCULAS_?_P</vt:lpstr>
      <vt:lpstr>Z_MAYUSCULAS_?_S</vt:lpstr>
      <vt:lpstr>Z_ML_00_</vt:lpstr>
      <vt:lpstr>Z_ML_00_D</vt:lpstr>
      <vt:lpstr>Z_ML_00_E</vt:lpstr>
      <vt:lpstr>Z_ML_00_F</vt:lpstr>
      <vt:lpstr>Z_ML_00_I</vt:lpstr>
      <vt:lpstr>Z_ML_00_O</vt:lpstr>
      <vt:lpstr>Z_ML_00_P</vt:lpstr>
      <vt:lpstr>Z_ML_00_S</vt:lpstr>
      <vt:lpstr>Z_ML_01_</vt:lpstr>
      <vt:lpstr>Z_ML_01_D</vt:lpstr>
      <vt:lpstr>Z_ML_01_E</vt:lpstr>
      <vt:lpstr>Z_ML_01_F</vt:lpstr>
      <vt:lpstr>Z_ML_01_I</vt:lpstr>
      <vt:lpstr>Z_ML_01_O</vt:lpstr>
      <vt:lpstr>Z_ML_01_P</vt:lpstr>
      <vt:lpstr>Z_ML_01_S</vt:lpstr>
      <vt:lpstr>Z_ML_02_</vt:lpstr>
      <vt:lpstr>Z_ML_02_D</vt:lpstr>
      <vt:lpstr>Z_ML_02_E</vt:lpstr>
      <vt:lpstr>Z_ML_02_F</vt:lpstr>
      <vt:lpstr>Z_ML_02_I</vt:lpstr>
      <vt:lpstr>Z_ML_02_O</vt:lpstr>
      <vt:lpstr>Z_ML_02_P</vt:lpstr>
      <vt:lpstr>Z_ML_02_S</vt:lpstr>
      <vt:lpstr>Z_ML_03_</vt:lpstr>
      <vt:lpstr>Z_ML_03_D</vt:lpstr>
      <vt:lpstr>Z_ML_03_E</vt:lpstr>
      <vt:lpstr>Z_ML_03_F</vt:lpstr>
      <vt:lpstr>Z_ML_03_I</vt:lpstr>
      <vt:lpstr>Z_ML_03_O</vt:lpstr>
      <vt:lpstr>Z_ML_03_P</vt:lpstr>
      <vt:lpstr>Z_ML_03_S</vt:lpstr>
      <vt:lpstr>Z_ML_04_</vt:lpstr>
      <vt:lpstr>Z_ML_04_D</vt:lpstr>
      <vt:lpstr>Z_ML_04_E</vt:lpstr>
      <vt:lpstr>Z_ML_04_F</vt:lpstr>
      <vt:lpstr>Z_ML_04_I</vt:lpstr>
      <vt:lpstr>Z_ML_04_O</vt:lpstr>
      <vt:lpstr>Z_ML_04_P</vt:lpstr>
      <vt:lpstr>Z_ML_04_S</vt:lpstr>
      <vt:lpstr>Z_ML_05_</vt:lpstr>
      <vt:lpstr>Z_ML_05_D</vt:lpstr>
      <vt:lpstr>Z_ML_05_E</vt:lpstr>
      <vt:lpstr>Z_ML_05_F</vt:lpstr>
      <vt:lpstr>Z_ML_05_I</vt:lpstr>
      <vt:lpstr>Z_ML_05_O</vt:lpstr>
      <vt:lpstr>Z_ML_05_P</vt:lpstr>
      <vt:lpstr>Z_ML_05_S</vt:lpstr>
      <vt:lpstr>Z_ML_06_</vt:lpstr>
      <vt:lpstr>Z_ML_06_D</vt:lpstr>
      <vt:lpstr>Z_ML_06_E</vt:lpstr>
      <vt:lpstr>Z_ML_06_F</vt:lpstr>
      <vt:lpstr>Z_ML_06_I</vt:lpstr>
      <vt:lpstr>Z_ML_06_O</vt:lpstr>
      <vt:lpstr>Z_ML_06_P</vt:lpstr>
      <vt:lpstr>Z_ML_06_S</vt:lpstr>
      <vt:lpstr>Z_ML_07_</vt:lpstr>
      <vt:lpstr>Z_ML_07_D</vt:lpstr>
      <vt:lpstr>Z_ML_07_E</vt:lpstr>
      <vt:lpstr>Z_ML_07_F</vt:lpstr>
      <vt:lpstr>Z_ML_07_I</vt:lpstr>
      <vt:lpstr>Z_ML_07_O</vt:lpstr>
      <vt:lpstr>Z_ML_07_P</vt:lpstr>
      <vt:lpstr>Z_ML_07_S</vt:lpstr>
      <vt:lpstr>Z_ML_08_</vt:lpstr>
      <vt:lpstr>Z_ML_08_D</vt:lpstr>
      <vt:lpstr>Z_ML_08_E</vt:lpstr>
      <vt:lpstr>Z_ML_08_F</vt:lpstr>
      <vt:lpstr>Z_ML_08_I</vt:lpstr>
      <vt:lpstr>Z_ML_08_O</vt:lpstr>
      <vt:lpstr>Z_ML_08_P</vt:lpstr>
      <vt:lpstr>Z_ML_08_S</vt:lpstr>
      <vt:lpstr>Z_ML_09_</vt:lpstr>
      <vt:lpstr>Z_ML_09_D</vt:lpstr>
      <vt:lpstr>Z_ML_09_E</vt:lpstr>
      <vt:lpstr>Z_ML_09_F</vt:lpstr>
      <vt:lpstr>Z_ML_09_I</vt:lpstr>
      <vt:lpstr>Z_ML_09_O</vt:lpstr>
      <vt:lpstr>Z_ML_09_P</vt:lpstr>
      <vt:lpstr>Z_ML_09_S</vt:lpstr>
      <vt:lpstr>Z_ML_10_</vt:lpstr>
      <vt:lpstr>Z_ML_10_D</vt:lpstr>
      <vt:lpstr>Z_ML_10_E</vt:lpstr>
      <vt:lpstr>Z_ML_10_F</vt:lpstr>
      <vt:lpstr>Z_ML_10_I</vt:lpstr>
      <vt:lpstr>Z_ML_10_O</vt:lpstr>
      <vt:lpstr>Z_ML_10_P</vt:lpstr>
      <vt:lpstr>Z_ML_10_S</vt:lpstr>
      <vt:lpstr>Z_ML_11_</vt:lpstr>
      <vt:lpstr>Z_ML_11_D</vt:lpstr>
      <vt:lpstr>Z_ML_11_E</vt:lpstr>
      <vt:lpstr>Z_ML_11_F</vt:lpstr>
      <vt:lpstr>Z_ML_11_I</vt:lpstr>
      <vt:lpstr>Z_ML_11_O</vt:lpstr>
      <vt:lpstr>Z_ML_11_P</vt:lpstr>
      <vt:lpstr>Z_ML_11_S</vt:lpstr>
      <vt:lpstr>Z_ML_12_</vt:lpstr>
      <vt:lpstr>Z_ML_12_D</vt:lpstr>
      <vt:lpstr>Z_ML_12_E</vt:lpstr>
      <vt:lpstr>Z_ML_12_F</vt:lpstr>
      <vt:lpstr>Z_ML_12_I</vt:lpstr>
      <vt:lpstr>Z_ML_12_O</vt:lpstr>
      <vt:lpstr>Z_ML_12_P</vt:lpstr>
      <vt:lpstr>Z_ML_12_S</vt:lpstr>
      <vt:lpstr>Z_ML_13_</vt:lpstr>
      <vt:lpstr>Z_ML_13_D</vt:lpstr>
      <vt:lpstr>Z_ML_13_E</vt:lpstr>
      <vt:lpstr>Z_ML_13_F</vt:lpstr>
      <vt:lpstr>Z_ML_13_I</vt:lpstr>
      <vt:lpstr>Z_ML_13_O</vt:lpstr>
      <vt:lpstr>Z_ML_13_P</vt:lpstr>
      <vt:lpstr>Z_ML_13_S</vt:lpstr>
      <vt:lpstr>Z_ML_14_</vt:lpstr>
      <vt:lpstr>Z_ML_14_D</vt:lpstr>
      <vt:lpstr>Z_ML_14_E</vt:lpstr>
      <vt:lpstr>Z_ML_14_F</vt:lpstr>
      <vt:lpstr>Z_ML_14_I</vt:lpstr>
      <vt:lpstr>Z_ML_14_O</vt:lpstr>
      <vt:lpstr>Z_ML_14_P</vt:lpstr>
      <vt:lpstr>Z_ML_14_S</vt:lpstr>
      <vt:lpstr>Z_ML_15_</vt:lpstr>
      <vt:lpstr>Z_ML_15_D</vt:lpstr>
      <vt:lpstr>Z_ML_15_E</vt:lpstr>
      <vt:lpstr>Z_ML_15_F</vt:lpstr>
      <vt:lpstr>Z_ML_15_I</vt:lpstr>
      <vt:lpstr>Z_ML_15_O</vt:lpstr>
      <vt:lpstr>Z_ML_15_P</vt:lpstr>
      <vt:lpstr>Z_ML_15_S</vt:lpstr>
      <vt:lpstr>Z_ML_16_</vt:lpstr>
      <vt:lpstr>Z_ML_16_D</vt:lpstr>
      <vt:lpstr>Z_ML_16_E</vt:lpstr>
      <vt:lpstr>Z_ML_16_F</vt:lpstr>
      <vt:lpstr>Z_ML_16_I</vt:lpstr>
      <vt:lpstr>Z_ML_16_O</vt:lpstr>
      <vt:lpstr>Z_ML_16_P</vt:lpstr>
      <vt:lpstr>Z_ML_16_S</vt:lpstr>
      <vt:lpstr>Z_ML_17_</vt:lpstr>
      <vt:lpstr>Z_ML_17_D</vt:lpstr>
      <vt:lpstr>Z_ML_17_E</vt:lpstr>
      <vt:lpstr>Z_ML_17_F</vt:lpstr>
      <vt:lpstr>Z_ML_17_I</vt:lpstr>
      <vt:lpstr>Z_ML_17_O</vt:lpstr>
      <vt:lpstr>Z_ML_17_P</vt:lpstr>
      <vt:lpstr>Z_ML_17_S</vt:lpstr>
      <vt:lpstr>Z_ML_18_</vt:lpstr>
      <vt:lpstr>Z_ML_18_D</vt:lpstr>
      <vt:lpstr>Z_ML_18_E</vt:lpstr>
      <vt:lpstr>Z_ML_18_F</vt:lpstr>
      <vt:lpstr>Z_ML_18_I</vt:lpstr>
      <vt:lpstr>Z_ML_18_O</vt:lpstr>
      <vt:lpstr>Z_ML_18_P</vt:lpstr>
      <vt:lpstr>Z_ML_18_S</vt:lpstr>
      <vt:lpstr>Z_MS_00_</vt:lpstr>
      <vt:lpstr>Z_MS_00_D</vt:lpstr>
      <vt:lpstr>Z_MS_00_E</vt:lpstr>
      <vt:lpstr>Z_MS_00_F</vt:lpstr>
      <vt:lpstr>Z_MS_00_I</vt:lpstr>
      <vt:lpstr>Z_MS_00_O</vt:lpstr>
      <vt:lpstr>Z_MS_00_P</vt:lpstr>
      <vt:lpstr>Z_MS_00_S</vt:lpstr>
      <vt:lpstr>Z_MS_01_</vt:lpstr>
      <vt:lpstr>Z_MS_01_D</vt:lpstr>
      <vt:lpstr>Z_MS_01_E</vt:lpstr>
      <vt:lpstr>Z_MS_01_F</vt:lpstr>
      <vt:lpstr>Z_MS_01_I</vt:lpstr>
      <vt:lpstr>Z_MS_01_O</vt:lpstr>
      <vt:lpstr>Z_MS_01_P</vt:lpstr>
      <vt:lpstr>Z_MS_01_S</vt:lpstr>
      <vt:lpstr>Z_MS_02_</vt:lpstr>
      <vt:lpstr>Z_MS_02_D</vt:lpstr>
      <vt:lpstr>Z_MS_02_E</vt:lpstr>
      <vt:lpstr>Z_MS_02_F</vt:lpstr>
      <vt:lpstr>Z_MS_02_I</vt:lpstr>
      <vt:lpstr>Z_MS_02_O</vt:lpstr>
      <vt:lpstr>Z_MS_02_P</vt:lpstr>
      <vt:lpstr>Z_MS_02_S</vt:lpstr>
      <vt:lpstr>Z_MS_03_</vt:lpstr>
      <vt:lpstr>Z_MS_03_D</vt:lpstr>
      <vt:lpstr>Z_MS_03_E</vt:lpstr>
      <vt:lpstr>Z_MS_03_F</vt:lpstr>
      <vt:lpstr>Z_MS_03_I</vt:lpstr>
      <vt:lpstr>Z_MS_03_O</vt:lpstr>
      <vt:lpstr>Z_MS_03_P</vt:lpstr>
      <vt:lpstr>Z_MS_03_S</vt:lpstr>
      <vt:lpstr>Z_MS_04_</vt:lpstr>
      <vt:lpstr>Z_MS_04_D</vt:lpstr>
      <vt:lpstr>Z_MS_04_E</vt:lpstr>
      <vt:lpstr>Z_MS_04_F</vt:lpstr>
      <vt:lpstr>Z_MS_04_I</vt:lpstr>
      <vt:lpstr>Z_MS_04_O</vt:lpstr>
      <vt:lpstr>Z_MS_04_P</vt:lpstr>
      <vt:lpstr>Z_MS_04_S</vt:lpstr>
      <vt:lpstr>Z_MS_05_</vt:lpstr>
      <vt:lpstr>Z_MS_05_D</vt:lpstr>
      <vt:lpstr>Z_MS_05_E</vt:lpstr>
      <vt:lpstr>Z_MS_05_F</vt:lpstr>
      <vt:lpstr>Z_MS_05_I</vt:lpstr>
      <vt:lpstr>Z_MS_05_O</vt:lpstr>
      <vt:lpstr>Z_MS_05_P</vt:lpstr>
      <vt:lpstr>Z_MS_05_S</vt:lpstr>
      <vt:lpstr>Z_MS_06_</vt:lpstr>
      <vt:lpstr>Z_MS_06_D</vt:lpstr>
      <vt:lpstr>Z_MS_06_E</vt:lpstr>
      <vt:lpstr>Z_MS_06_F</vt:lpstr>
      <vt:lpstr>Z_MS_06_I</vt:lpstr>
      <vt:lpstr>Z_MS_06_O</vt:lpstr>
      <vt:lpstr>Z_MS_06_P</vt:lpstr>
      <vt:lpstr>Z_MS_06_S</vt:lpstr>
      <vt:lpstr>Z_MS_07_</vt:lpstr>
      <vt:lpstr>Z_MS_07_D</vt:lpstr>
      <vt:lpstr>Z_MS_07_E</vt:lpstr>
      <vt:lpstr>Z_MS_07_F</vt:lpstr>
      <vt:lpstr>Z_MS_07_I</vt:lpstr>
      <vt:lpstr>Z_MS_07_O</vt:lpstr>
      <vt:lpstr>Z_MS_07_P</vt:lpstr>
      <vt:lpstr>Z_MS_07_S</vt:lpstr>
      <vt:lpstr>Z_MS_08_</vt:lpstr>
      <vt:lpstr>Z_MS_08_D</vt:lpstr>
      <vt:lpstr>Z_MS_08_E</vt:lpstr>
      <vt:lpstr>Z_MS_08_F</vt:lpstr>
      <vt:lpstr>Z_MS_08_I</vt:lpstr>
      <vt:lpstr>Z_MS_08_O</vt:lpstr>
      <vt:lpstr>Z_MS_08_P</vt:lpstr>
      <vt:lpstr>Z_MS_08_S</vt:lpstr>
      <vt:lpstr>Z_MS_09_</vt:lpstr>
      <vt:lpstr>Z_MS_09_D</vt:lpstr>
      <vt:lpstr>Z_MS_09_E</vt:lpstr>
      <vt:lpstr>Z_MS_09_F</vt:lpstr>
      <vt:lpstr>Z_MS_09_I</vt:lpstr>
      <vt:lpstr>Z_MS_09_O</vt:lpstr>
      <vt:lpstr>Z_MS_09_P</vt:lpstr>
      <vt:lpstr>Z_MS_09_S</vt:lpstr>
      <vt:lpstr>Z_N_FINAL_?_</vt:lpstr>
      <vt:lpstr>Z_N_FINAL_?_D</vt:lpstr>
      <vt:lpstr>Z_N_FINAL_?_E</vt:lpstr>
      <vt:lpstr>Z_N_FINAL_?_F</vt:lpstr>
      <vt:lpstr>Z_N_FINAL_?_I</vt:lpstr>
      <vt:lpstr>Z_N_FINAL_?_O</vt:lpstr>
      <vt:lpstr>Z_N_FINAL_?_P</vt:lpstr>
      <vt:lpstr>Z_N_FINAL_?_S</vt:lpstr>
      <vt:lpstr>Z_N_INICIAL_?_</vt:lpstr>
      <vt:lpstr>Z_N_INICIAL_?_D</vt:lpstr>
      <vt:lpstr>Z_N_INICIAL_?_E</vt:lpstr>
      <vt:lpstr>Z_N_INICIAL_?_F</vt:lpstr>
      <vt:lpstr>Z_N_INICIAL_?_I</vt:lpstr>
      <vt:lpstr>Z_N_INICIAL_?_O</vt:lpstr>
      <vt:lpstr>Z_N_INICIAL_?_P</vt:lpstr>
      <vt:lpstr>Z_N_INICIAL_?_S</vt:lpstr>
      <vt:lpstr>Z_NUMERAR_R_?_</vt:lpstr>
      <vt:lpstr>Z_NUMERAR_R_?_D</vt:lpstr>
      <vt:lpstr>Z_NUMERAR_R_?_E</vt:lpstr>
      <vt:lpstr>Z_NUMERAR_R_?_F</vt:lpstr>
      <vt:lpstr>Z_NUMERAR_R_?_I</vt:lpstr>
      <vt:lpstr>Z_NUMERAR_R_?_O</vt:lpstr>
      <vt:lpstr>Z_NUMERAR_R_?_P</vt:lpstr>
      <vt:lpstr>Z_NUMERAR_R_?_S</vt:lpstr>
      <vt:lpstr>Z_Oculto_?_</vt:lpstr>
      <vt:lpstr>Z_Oculto_?_D</vt:lpstr>
      <vt:lpstr>Z_Oculto_?_E</vt:lpstr>
      <vt:lpstr>Z_Oculto_?_F</vt:lpstr>
      <vt:lpstr>Z_Oculto_?_I</vt:lpstr>
      <vt:lpstr>Z_Oculto_?_O</vt:lpstr>
      <vt:lpstr>Z_Oculto_?_P</vt:lpstr>
      <vt:lpstr>Z_Oculto_?_S</vt:lpstr>
      <vt:lpstr>Z_OM_00_</vt:lpstr>
      <vt:lpstr>Z_OM_00_D</vt:lpstr>
      <vt:lpstr>Z_OM_00_E</vt:lpstr>
      <vt:lpstr>Z_OM_00_F</vt:lpstr>
      <vt:lpstr>Z_OM_00_I</vt:lpstr>
      <vt:lpstr>Z_OM_00_O</vt:lpstr>
      <vt:lpstr>Z_OM_00_P</vt:lpstr>
      <vt:lpstr>Z_OM_00_S</vt:lpstr>
      <vt:lpstr>Z_OM_01_</vt:lpstr>
      <vt:lpstr>Z_OM_01_D</vt:lpstr>
      <vt:lpstr>Z_OM_01_E</vt:lpstr>
      <vt:lpstr>Z_OM_01_F</vt:lpstr>
      <vt:lpstr>Z_OM_01_I</vt:lpstr>
      <vt:lpstr>Z_OM_01_O</vt:lpstr>
      <vt:lpstr>Z_OM_01_P</vt:lpstr>
      <vt:lpstr>Z_OM_01_S</vt:lpstr>
      <vt:lpstr>Z_OM_02_</vt:lpstr>
      <vt:lpstr>Z_OM_02_D</vt:lpstr>
      <vt:lpstr>Z_OM_02_E</vt:lpstr>
      <vt:lpstr>Z_OM_02_F</vt:lpstr>
      <vt:lpstr>Z_OM_02_I</vt:lpstr>
      <vt:lpstr>Z_OM_02_O</vt:lpstr>
      <vt:lpstr>Z_OM_02_P</vt:lpstr>
      <vt:lpstr>Z_OM_02_S</vt:lpstr>
      <vt:lpstr>Z_OM_03_</vt:lpstr>
      <vt:lpstr>Z_OM_03_D</vt:lpstr>
      <vt:lpstr>Z_OM_03_E</vt:lpstr>
      <vt:lpstr>Z_OM_03_F</vt:lpstr>
      <vt:lpstr>Z_OM_03_I</vt:lpstr>
      <vt:lpstr>Z_OM_03_O</vt:lpstr>
      <vt:lpstr>Z_OM_03_P</vt:lpstr>
      <vt:lpstr>Z_OM_03_S</vt:lpstr>
      <vt:lpstr>Z_OM_04_</vt:lpstr>
      <vt:lpstr>Z_OM_04_D</vt:lpstr>
      <vt:lpstr>Z_OM_04_E</vt:lpstr>
      <vt:lpstr>Z_OM_04_F</vt:lpstr>
      <vt:lpstr>Z_OM_04_I</vt:lpstr>
      <vt:lpstr>Z_OM_04_O</vt:lpstr>
      <vt:lpstr>Z_OM_04_P</vt:lpstr>
      <vt:lpstr>Z_OM_04_S</vt:lpstr>
      <vt:lpstr>Z_OM_05_</vt:lpstr>
      <vt:lpstr>Z_OM_05_D</vt:lpstr>
      <vt:lpstr>Z_OM_05_E</vt:lpstr>
      <vt:lpstr>Z_OM_05_F</vt:lpstr>
      <vt:lpstr>Z_OM_05_I</vt:lpstr>
      <vt:lpstr>Z_OM_05_O</vt:lpstr>
      <vt:lpstr>Z_OM_05_P</vt:lpstr>
      <vt:lpstr>Z_OM_05_S</vt:lpstr>
      <vt:lpstr>Z_OM_06_</vt:lpstr>
      <vt:lpstr>Z_OM_06_D</vt:lpstr>
      <vt:lpstr>Z_OM_06_E</vt:lpstr>
      <vt:lpstr>Z_OM_06_F</vt:lpstr>
      <vt:lpstr>Z_OM_06_I</vt:lpstr>
      <vt:lpstr>Z_OM_06_O</vt:lpstr>
      <vt:lpstr>Z_OM_06_P</vt:lpstr>
      <vt:lpstr>Z_OM_06_S</vt:lpstr>
      <vt:lpstr>Z_OM_07_</vt:lpstr>
      <vt:lpstr>Z_OM_07_D</vt:lpstr>
      <vt:lpstr>Z_OM_07_E</vt:lpstr>
      <vt:lpstr>Z_OM_07_F</vt:lpstr>
      <vt:lpstr>Z_OM_07_I</vt:lpstr>
      <vt:lpstr>Z_OM_07_O</vt:lpstr>
      <vt:lpstr>Z_OM_07_P</vt:lpstr>
      <vt:lpstr>Z_OM_07_S</vt:lpstr>
      <vt:lpstr>Z_OM_08_</vt:lpstr>
      <vt:lpstr>Z_OM_08_D</vt:lpstr>
      <vt:lpstr>Z_OM_08_E</vt:lpstr>
      <vt:lpstr>Z_OM_08_F</vt:lpstr>
      <vt:lpstr>Z_OM_08_I</vt:lpstr>
      <vt:lpstr>Z_OM_08_O</vt:lpstr>
      <vt:lpstr>Z_OM_08_P</vt:lpstr>
      <vt:lpstr>Z_OM_08_S</vt:lpstr>
      <vt:lpstr>Z_OM_09_</vt:lpstr>
      <vt:lpstr>Z_OM_09_D</vt:lpstr>
      <vt:lpstr>Z_OM_09_E</vt:lpstr>
      <vt:lpstr>Z_OM_09_F</vt:lpstr>
      <vt:lpstr>Z_OM_09_I</vt:lpstr>
      <vt:lpstr>Z_OM_09_O</vt:lpstr>
      <vt:lpstr>Z_OM_09_P</vt:lpstr>
      <vt:lpstr>Z_OM_09_S</vt:lpstr>
      <vt:lpstr>Z_OM_10_</vt:lpstr>
      <vt:lpstr>Z_OM_10_D</vt:lpstr>
      <vt:lpstr>Z_OM_10_E</vt:lpstr>
      <vt:lpstr>Z_OM_10_F</vt:lpstr>
      <vt:lpstr>Z_OM_10_I</vt:lpstr>
      <vt:lpstr>Z_OM_10_O</vt:lpstr>
      <vt:lpstr>Z_OM_10_P</vt:lpstr>
      <vt:lpstr>Z_OM_10_S</vt:lpstr>
      <vt:lpstr>Z_OM_11_</vt:lpstr>
      <vt:lpstr>Z_OM_11_D</vt:lpstr>
      <vt:lpstr>Z_OM_11_E</vt:lpstr>
      <vt:lpstr>Z_OM_11_F</vt:lpstr>
      <vt:lpstr>Z_OM_11_I</vt:lpstr>
      <vt:lpstr>Z_OM_11_O</vt:lpstr>
      <vt:lpstr>Z_OM_11_P</vt:lpstr>
      <vt:lpstr>Z_OM_11_S</vt:lpstr>
      <vt:lpstr>Z_OM_12_</vt:lpstr>
      <vt:lpstr>Z_OM_12_D</vt:lpstr>
      <vt:lpstr>Z_OM_12_E</vt:lpstr>
      <vt:lpstr>Z_OM_12_F</vt:lpstr>
      <vt:lpstr>Z_OM_12_I</vt:lpstr>
      <vt:lpstr>Z_OM_12_O</vt:lpstr>
      <vt:lpstr>Z_OM_12_P</vt:lpstr>
      <vt:lpstr>Z_OM_12_S</vt:lpstr>
      <vt:lpstr>Z_OM_13_</vt:lpstr>
      <vt:lpstr>Z_OM_13_D</vt:lpstr>
      <vt:lpstr>Z_OM_13_E</vt:lpstr>
      <vt:lpstr>Z_OM_13_F</vt:lpstr>
      <vt:lpstr>Z_OM_13_I</vt:lpstr>
      <vt:lpstr>Z_OM_13_O</vt:lpstr>
      <vt:lpstr>Z_OM_13_P</vt:lpstr>
      <vt:lpstr>Z_OM_13_S</vt:lpstr>
      <vt:lpstr>Z_OM_14_</vt:lpstr>
      <vt:lpstr>Z_OM_14_D</vt:lpstr>
      <vt:lpstr>Z_OM_14_E</vt:lpstr>
      <vt:lpstr>Z_OM_14_F</vt:lpstr>
      <vt:lpstr>Z_OM_14_I</vt:lpstr>
      <vt:lpstr>Z_OM_14_O</vt:lpstr>
      <vt:lpstr>Z_OM_14_P</vt:lpstr>
      <vt:lpstr>Z_OM_14_S</vt:lpstr>
      <vt:lpstr>Z_OM_15_</vt:lpstr>
      <vt:lpstr>Z_OM_15_D</vt:lpstr>
      <vt:lpstr>Z_OM_15_E</vt:lpstr>
      <vt:lpstr>Z_OM_15_F</vt:lpstr>
      <vt:lpstr>Z_OM_15_I</vt:lpstr>
      <vt:lpstr>Z_OM_15_O</vt:lpstr>
      <vt:lpstr>Z_OM_15_P</vt:lpstr>
      <vt:lpstr>Z_OM_15_S</vt:lpstr>
      <vt:lpstr>Z_P_01_1_?_</vt:lpstr>
      <vt:lpstr>Z_P_01_1_?_D</vt:lpstr>
      <vt:lpstr>Z_P_01_1_?_E</vt:lpstr>
      <vt:lpstr>Z_P_01_1_?_F</vt:lpstr>
      <vt:lpstr>Z_P_01_1_?_I</vt:lpstr>
      <vt:lpstr>Z_P_01_1_?_O</vt:lpstr>
      <vt:lpstr>Z_P_01_1_?_P</vt:lpstr>
      <vt:lpstr>Z_P_01_1_?_S</vt:lpstr>
      <vt:lpstr>Z_P_01_2_?_</vt:lpstr>
      <vt:lpstr>Z_P_01_2_?_D</vt:lpstr>
      <vt:lpstr>Z_P_01_2_?_E</vt:lpstr>
      <vt:lpstr>Z_P_01_2_?_F</vt:lpstr>
      <vt:lpstr>Z_P_01_2_?_I</vt:lpstr>
      <vt:lpstr>Z_P_01_2_?_O</vt:lpstr>
      <vt:lpstr>Z_P_01_2_?_P</vt:lpstr>
      <vt:lpstr>Z_P_01_2_?_S</vt:lpstr>
      <vt:lpstr>Z_P_RC_1_?_</vt:lpstr>
      <vt:lpstr>Z_P_RC_1_?_D</vt:lpstr>
      <vt:lpstr>Z_P_RC_1_?_E</vt:lpstr>
      <vt:lpstr>Z_P_RC_1_?_F</vt:lpstr>
      <vt:lpstr>Z_P_RC_1_?_I</vt:lpstr>
      <vt:lpstr>Z_P_RC_1_?_O</vt:lpstr>
      <vt:lpstr>Z_P_RC_1_?_P</vt:lpstr>
      <vt:lpstr>Z_P_RC_1_?_S</vt:lpstr>
      <vt:lpstr>Z_PA_EN_?_</vt:lpstr>
      <vt:lpstr>Z_PA_EN_?_D</vt:lpstr>
      <vt:lpstr>Z_PA_EN_?_E</vt:lpstr>
      <vt:lpstr>Z_PA_EN_?_F</vt:lpstr>
      <vt:lpstr>Z_PA_EN_?_I</vt:lpstr>
      <vt:lpstr>Z_PA_EN_?_O</vt:lpstr>
      <vt:lpstr>Z_PA_EN_?_P</vt:lpstr>
      <vt:lpstr>Z_PA_EN_?_S</vt:lpstr>
      <vt:lpstr>Z_PENALIZACION_?_</vt:lpstr>
      <vt:lpstr>Z_PENALIZACION_?_D</vt:lpstr>
      <vt:lpstr>Z_PENALIZACION_?_E</vt:lpstr>
      <vt:lpstr>Z_PENALIZACION_?_F</vt:lpstr>
      <vt:lpstr>Z_PENALIZACION_?_I</vt:lpstr>
      <vt:lpstr>Z_PENALIZACION_?_O</vt:lpstr>
      <vt:lpstr>Z_PENALIZACION_?_P</vt:lpstr>
      <vt:lpstr>Z_PENALIZACION_?_S</vt:lpstr>
      <vt:lpstr>Z_PP_00_</vt:lpstr>
      <vt:lpstr>Z_PP_00_D</vt:lpstr>
      <vt:lpstr>Z_PP_00_E</vt:lpstr>
      <vt:lpstr>Z_PP_00_F</vt:lpstr>
      <vt:lpstr>Z_PP_00_I</vt:lpstr>
      <vt:lpstr>Z_PP_00_O</vt:lpstr>
      <vt:lpstr>Z_PP_00_P</vt:lpstr>
      <vt:lpstr>Z_PP_00_S</vt:lpstr>
      <vt:lpstr>Z_PP_01_</vt:lpstr>
      <vt:lpstr>Z_PP_01_1_?_</vt:lpstr>
      <vt:lpstr>Z_PP_01_1_?_D</vt:lpstr>
      <vt:lpstr>Z_PP_01_1_?_E</vt:lpstr>
      <vt:lpstr>Z_PP_01_1_?_F</vt:lpstr>
      <vt:lpstr>Z_PP_01_1_?_I</vt:lpstr>
      <vt:lpstr>Z_PP_01_1_?_O</vt:lpstr>
      <vt:lpstr>Z_PP_01_1_?_P</vt:lpstr>
      <vt:lpstr>Z_PP_01_1_?_S</vt:lpstr>
      <vt:lpstr>Z_PP_01_2_?_</vt:lpstr>
      <vt:lpstr>Z_PP_01_2_?_D</vt:lpstr>
      <vt:lpstr>Z_PP_01_2_?_E</vt:lpstr>
      <vt:lpstr>Z_PP_01_2_?_F</vt:lpstr>
      <vt:lpstr>Z_PP_01_2_?_I</vt:lpstr>
      <vt:lpstr>Z_PP_01_2_?_O</vt:lpstr>
      <vt:lpstr>Z_PP_01_2_?_P</vt:lpstr>
      <vt:lpstr>Z_PP_01_2_?_S</vt:lpstr>
      <vt:lpstr>Z_PP_01_D</vt:lpstr>
      <vt:lpstr>Z_PP_01_E</vt:lpstr>
      <vt:lpstr>Z_PP_01_F</vt:lpstr>
      <vt:lpstr>Z_PP_01_I</vt:lpstr>
      <vt:lpstr>Z_PP_01_O</vt:lpstr>
      <vt:lpstr>Z_PP_01_P</vt:lpstr>
      <vt:lpstr>Z_PP_01_S</vt:lpstr>
      <vt:lpstr>Z_PR_EN_?_</vt:lpstr>
      <vt:lpstr>Z_PR_EN_?_D</vt:lpstr>
      <vt:lpstr>Z_PR_EN_?_E</vt:lpstr>
      <vt:lpstr>Z_PR_EN_?_F</vt:lpstr>
      <vt:lpstr>Z_PR_EN_?_I</vt:lpstr>
      <vt:lpstr>Z_PR_EN_?_O</vt:lpstr>
      <vt:lpstr>Z_PR_EN_?_P</vt:lpstr>
      <vt:lpstr>Z_PR_EN_?_S</vt:lpstr>
      <vt:lpstr>Z_PREF_PREGUNTA_?_</vt:lpstr>
      <vt:lpstr>Z_PREF_PREGUNTA_?_D</vt:lpstr>
      <vt:lpstr>Z_PREF_PREGUNTA_?_E</vt:lpstr>
      <vt:lpstr>Z_PREF_PREGUNTA_?_F</vt:lpstr>
      <vt:lpstr>Z_PREF_PREGUNTA_?_I</vt:lpstr>
      <vt:lpstr>Z_PREF_PREGUNTA_?_O</vt:lpstr>
      <vt:lpstr>Z_PREF_PREGUNTA_?_P</vt:lpstr>
      <vt:lpstr>Z_PREF_PREGUNTA_?_S</vt:lpstr>
      <vt:lpstr>Z_PUNTUACION_?_</vt:lpstr>
      <vt:lpstr>Z_PUNTUACION_?_D</vt:lpstr>
      <vt:lpstr>Z_PUNTUACION_?_E</vt:lpstr>
      <vt:lpstr>Z_PUNTUACION_?_F</vt:lpstr>
      <vt:lpstr>Z_PUNTUACION_?_I</vt:lpstr>
      <vt:lpstr>Z_PUNTUACION_?_O</vt:lpstr>
      <vt:lpstr>Z_PUNTUACION_?_P</vt:lpstr>
      <vt:lpstr>Z_PUNTUACION_?_S</vt:lpstr>
      <vt:lpstr>Z_Q17_?_</vt:lpstr>
      <vt:lpstr>Z_Q17_?_D</vt:lpstr>
      <vt:lpstr>Z_Q17_?_E</vt:lpstr>
      <vt:lpstr>Z_Q17_?_F</vt:lpstr>
      <vt:lpstr>Z_Q17_?_I</vt:lpstr>
      <vt:lpstr>Z_Q17_?_O</vt:lpstr>
      <vt:lpstr>Z_Q17_?_P</vt:lpstr>
      <vt:lpstr>Z_Q17_?_S</vt:lpstr>
      <vt:lpstr>Z_Q7_?_</vt:lpstr>
      <vt:lpstr>Z_Q7_?_D</vt:lpstr>
      <vt:lpstr>Z_Q7_?_E</vt:lpstr>
      <vt:lpstr>Z_Q7_?_F</vt:lpstr>
      <vt:lpstr>Z_Q7_?_I</vt:lpstr>
      <vt:lpstr>Z_Q7_?_O</vt:lpstr>
      <vt:lpstr>Z_Q7_?_P</vt:lpstr>
      <vt:lpstr>Z_Q7_?_S</vt:lpstr>
      <vt:lpstr>Z_Q9_?_</vt:lpstr>
      <vt:lpstr>Z_Q9_?_D</vt:lpstr>
      <vt:lpstr>Z_Q9_?_E</vt:lpstr>
      <vt:lpstr>Z_Q9_?_F</vt:lpstr>
      <vt:lpstr>Z_Q9_?_I</vt:lpstr>
      <vt:lpstr>Z_Q9_?_O</vt:lpstr>
      <vt:lpstr>Z_Q9_?_P</vt:lpstr>
      <vt:lpstr>Z_Q9_?_S</vt:lpstr>
      <vt:lpstr>Z_R_CORRECTA_?_</vt:lpstr>
      <vt:lpstr>Z_R_CORRECTA_?_D</vt:lpstr>
      <vt:lpstr>Z_R_CORRECTA_?_E</vt:lpstr>
      <vt:lpstr>Z_R_CORRECTA_?_F</vt:lpstr>
      <vt:lpstr>Z_R_CORRECTA_?_I</vt:lpstr>
      <vt:lpstr>Z_R_CORRECTA_?_O</vt:lpstr>
      <vt:lpstr>Z_R_CORRECTA_?_P</vt:lpstr>
      <vt:lpstr>Z_R_CORRECTA_?_S</vt:lpstr>
      <vt:lpstr>Z_R_INCORRECTA_?_</vt:lpstr>
      <vt:lpstr>Z_R_INCORRECTA_?_D</vt:lpstr>
      <vt:lpstr>Z_R_INCORRECTA_?_E</vt:lpstr>
      <vt:lpstr>Z_R_INCORRECTA_?_F</vt:lpstr>
      <vt:lpstr>Z_R_INCORRECTA_?_I</vt:lpstr>
      <vt:lpstr>Z_R_INCORRECTA_?_O</vt:lpstr>
      <vt:lpstr>Z_R_INCORRECTA_?_P</vt:lpstr>
      <vt:lpstr>Z_R_INCORRECTA_?_S</vt:lpstr>
      <vt:lpstr>Z_R_Par_CORRECTA_?_</vt:lpstr>
      <vt:lpstr>Z_R_Par_CORRECTA_?_D</vt:lpstr>
      <vt:lpstr>Z_R_Par_CORRECTA_?_E</vt:lpstr>
      <vt:lpstr>Z_R_Par_CORRECTA_?_F</vt:lpstr>
      <vt:lpstr>Z_R_Par_CORRECTA_?_I</vt:lpstr>
      <vt:lpstr>Z_R_Par_CORRECTA_?_O</vt:lpstr>
      <vt:lpstr>Z_R_Par_CORRECTA_?_P</vt:lpstr>
      <vt:lpstr>Z_R_Par_CORRECTA_?_S</vt:lpstr>
      <vt:lpstr>Z_R_RC_1_?_</vt:lpstr>
      <vt:lpstr>Z_R_RC_1_?_D</vt:lpstr>
      <vt:lpstr>Z_R_RC_1_?_E</vt:lpstr>
      <vt:lpstr>Z_R_RC_1_?_F</vt:lpstr>
      <vt:lpstr>Z_R_RC_1_?_I</vt:lpstr>
      <vt:lpstr>Z_R_RC_1_?_O</vt:lpstr>
      <vt:lpstr>Z_R_RC_1_?_P</vt:lpstr>
      <vt:lpstr>Z_R_RC_1_?_S</vt:lpstr>
      <vt:lpstr>Z_RA_1_VF_?_</vt:lpstr>
      <vt:lpstr>Z_RA_1_VF_?_D</vt:lpstr>
      <vt:lpstr>Z_RA_1_VF_?_E</vt:lpstr>
      <vt:lpstr>Z_RA_1_VF_?_F</vt:lpstr>
      <vt:lpstr>Z_RA_1_VF_?_I</vt:lpstr>
      <vt:lpstr>Z_RA_1_VF_?_O</vt:lpstr>
      <vt:lpstr>Z_RA_1_VF_?_P</vt:lpstr>
      <vt:lpstr>Z_RA_1_VF_?_S</vt:lpstr>
      <vt:lpstr>Z_RA_2_VF_?_</vt:lpstr>
      <vt:lpstr>Z_RA_2_VF_?_D</vt:lpstr>
      <vt:lpstr>Z_RA_2_VF_?_E</vt:lpstr>
      <vt:lpstr>Z_RA_2_VF_?_F</vt:lpstr>
      <vt:lpstr>Z_RA_2_VF_?_I</vt:lpstr>
      <vt:lpstr>Z_RA_2_VF_?_O</vt:lpstr>
      <vt:lpstr>Z_RA_2_VF_?_P</vt:lpstr>
      <vt:lpstr>Z_RA_2_VF_?_S</vt:lpstr>
      <vt:lpstr>Z_RC_00_</vt:lpstr>
      <vt:lpstr>Z_RC_00_D</vt:lpstr>
      <vt:lpstr>Z_RC_00_E</vt:lpstr>
      <vt:lpstr>Z_RC_00_F</vt:lpstr>
      <vt:lpstr>Z_RC_00_I</vt:lpstr>
      <vt:lpstr>Z_RC_00_O</vt:lpstr>
      <vt:lpstr>Z_RC_00_P</vt:lpstr>
      <vt:lpstr>Z_RC_00_S</vt:lpstr>
      <vt:lpstr>Z_RC_01_</vt:lpstr>
      <vt:lpstr>Z_RC_01_D</vt:lpstr>
      <vt:lpstr>Z_RC_01_E</vt:lpstr>
      <vt:lpstr>Z_RC_01_F</vt:lpstr>
      <vt:lpstr>Z_RC_01_I</vt:lpstr>
      <vt:lpstr>Z_RC_01_O</vt:lpstr>
      <vt:lpstr>Z_RC_01_P</vt:lpstr>
      <vt:lpstr>Z_RC_01_S</vt:lpstr>
      <vt:lpstr>Z_RC_02_</vt:lpstr>
      <vt:lpstr>Z_RC_02_D</vt:lpstr>
      <vt:lpstr>Z_RC_02_E</vt:lpstr>
      <vt:lpstr>Z_RC_02_F</vt:lpstr>
      <vt:lpstr>Z_RC_02_I</vt:lpstr>
      <vt:lpstr>Z_RC_02_O</vt:lpstr>
      <vt:lpstr>Z_RC_02_P</vt:lpstr>
      <vt:lpstr>Z_RC_02_S</vt:lpstr>
      <vt:lpstr>Z_RC_03_</vt:lpstr>
      <vt:lpstr>Z_RC_03_D</vt:lpstr>
      <vt:lpstr>Z_RC_03_E</vt:lpstr>
      <vt:lpstr>Z_RC_03_F</vt:lpstr>
      <vt:lpstr>Z_RC_03_I</vt:lpstr>
      <vt:lpstr>Z_RC_03_O</vt:lpstr>
      <vt:lpstr>Z_RC_03_P</vt:lpstr>
      <vt:lpstr>Z_RC_03_S</vt:lpstr>
      <vt:lpstr>Z_RC_1_?_</vt:lpstr>
      <vt:lpstr>Z_RC_1_?_D</vt:lpstr>
      <vt:lpstr>Z_RC_1_?_E</vt:lpstr>
      <vt:lpstr>Z_RC_1_?_F</vt:lpstr>
      <vt:lpstr>Z_RC_1_?_I</vt:lpstr>
      <vt:lpstr>Z_RC_1_?_O</vt:lpstr>
      <vt:lpstr>Z_RC_1_?_P</vt:lpstr>
      <vt:lpstr>Z_RC_1_?_S</vt:lpstr>
      <vt:lpstr>Z_RC_VF_?_</vt:lpstr>
      <vt:lpstr>Z_RC_VF_?_D</vt:lpstr>
      <vt:lpstr>Z_RC_VF_?_E</vt:lpstr>
      <vt:lpstr>Z_RC_VF_?_F</vt:lpstr>
      <vt:lpstr>Z_RC_VF_?_I</vt:lpstr>
      <vt:lpstr>Z_RC_VF_?_O</vt:lpstr>
      <vt:lpstr>Z_RC_VF_?_P</vt:lpstr>
      <vt:lpstr>Z_RC_VF_?_S</vt:lpstr>
      <vt:lpstr>Z_Retroalim_GENERAL_?_</vt:lpstr>
      <vt:lpstr>Z_Retroalim_GENERAL_?_D</vt:lpstr>
      <vt:lpstr>Z_Retroalim_GENERAL_?_E</vt:lpstr>
      <vt:lpstr>Z_Retroalim_GENERAL_?_F</vt:lpstr>
      <vt:lpstr>Z_Retroalim_GENERAL_?_I</vt:lpstr>
      <vt:lpstr>Z_Retroalim_GENERAL_?_O</vt:lpstr>
      <vt:lpstr>Z_Retroalim_GENERAL_?_P</vt:lpstr>
      <vt:lpstr>Z_Retroalim_GENERAL_?_S</vt:lpstr>
      <vt:lpstr>Z_RT_EN_?_</vt:lpstr>
      <vt:lpstr>Z_RT_EN_?_D</vt:lpstr>
      <vt:lpstr>Z_RT_EN_?_E</vt:lpstr>
      <vt:lpstr>Z_RT_EN_?_F</vt:lpstr>
      <vt:lpstr>Z_RT_EN_?_I</vt:lpstr>
      <vt:lpstr>Z_RT_EN_?_O</vt:lpstr>
      <vt:lpstr>Z_RT_EN_?_P</vt:lpstr>
      <vt:lpstr>Z_RT_EN_?_S</vt:lpstr>
      <vt:lpstr>Z_T17_?_</vt:lpstr>
      <vt:lpstr>Z_T17_?_D</vt:lpstr>
      <vt:lpstr>Z_T17_?_E</vt:lpstr>
      <vt:lpstr>Z_T17_?_F</vt:lpstr>
      <vt:lpstr>Z_T17_?_I</vt:lpstr>
      <vt:lpstr>Z_T17_?_O</vt:lpstr>
      <vt:lpstr>Z_T17_?_P</vt:lpstr>
      <vt:lpstr>Z_T17_?_S</vt:lpstr>
      <vt:lpstr>Z_TC_EN_?_</vt:lpstr>
      <vt:lpstr>Z_TC_EN_?_D</vt:lpstr>
      <vt:lpstr>Z_TC_EN_?_E</vt:lpstr>
      <vt:lpstr>Z_TC_EN_?_F</vt:lpstr>
      <vt:lpstr>Z_TC_EN_?_I</vt:lpstr>
      <vt:lpstr>Z_TC_EN_?_O</vt:lpstr>
      <vt:lpstr>Z_TC_EN_?_P</vt:lpstr>
      <vt:lpstr>Z_TC_EN_?_S</vt:lpstr>
      <vt:lpstr>Z_Tit_Categ_?_</vt:lpstr>
      <vt:lpstr>Z_Tit_Categ_?_D</vt:lpstr>
      <vt:lpstr>Z_Tit_Categ_?_E</vt:lpstr>
      <vt:lpstr>Z_Tit_Categ_?_F</vt:lpstr>
      <vt:lpstr>Z_Tit_Categ_?_I</vt:lpstr>
      <vt:lpstr>Z_Tit_Categ_?_O</vt:lpstr>
      <vt:lpstr>Z_Tit_Categ_?_P</vt:lpstr>
      <vt:lpstr>Z_Tit_Categ_?_S</vt:lpstr>
      <vt:lpstr>Z_Tit_Subcat_?_</vt:lpstr>
      <vt:lpstr>Z_Tit_Subcat_?_D</vt:lpstr>
      <vt:lpstr>Z_Tit_Subcat_?_E</vt:lpstr>
      <vt:lpstr>Z_Tit_Subcat_?_F</vt:lpstr>
      <vt:lpstr>Z_Tit_Subcat_?_I</vt:lpstr>
      <vt:lpstr>Z_Tit_Subcat_?_O</vt:lpstr>
      <vt:lpstr>Z_Tit_Subcat_?_P</vt:lpstr>
      <vt:lpstr>Z_Tit_Subcat_?_S</vt:lpstr>
      <vt:lpstr>Z_TX_00_</vt:lpstr>
      <vt:lpstr>Z_TX_00_0_</vt:lpstr>
      <vt:lpstr>Z_TX_00_0_D</vt:lpstr>
      <vt:lpstr>Z_TX_00_0_E</vt:lpstr>
      <vt:lpstr>Z_TX_00_0_F</vt:lpstr>
      <vt:lpstr>Z_TX_00_0_I</vt:lpstr>
      <vt:lpstr>Z_TX_00_0_O</vt:lpstr>
      <vt:lpstr>Z_TX_00_0_P</vt:lpstr>
      <vt:lpstr>Z_TX_00_0_S</vt:lpstr>
      <vt:lpstr>Z_TX_00_D</vt:lpstr>
      <vt:lpstr>Z_TX_00_E</vt:lpstr>
      <vt:lpstr>Z_TX_00_F</vt:lpstr>
      <vt:lpstr>Z_TX_00_I</vt:lpstr>
      <vt:lpstr>Z_TX_00_O</vt:lpstr>
      <vt:lpstr>Z_TX_00_P</vt:lpstr>
      <vt:lpstr>Z_TX_00_S</vt:lpstr>
      <vt:lpstr>Z_TX_01_</vt:lpstr>
      <vt:lpstr>Z_TX_01_D</vt:lpstr>
      <vt:lpstr>Z_TX_01_E</vt:lpstr>
      <vt:lpstr>Z_TX_01_F</vt:lpstr>
      <vt:lpstr>Z_TX_01_I</vt:lpstr>
      <vt:lpstr>Z_TX_01_O</vt:lpstr>
      <vt:lpstr>Z_TX_01_P</vt:lpstr>
      <vt:lpstr>Z_TX_01_S</vt:lpstr>
      <vt:lpstr>Z_TX_02_</vt:lpstr>
      <vt:lpstr>Z_TX_02_D</vt:lpstr>
      <vt:lpstr>Z_TX_02_E</vt:lpstr>
      <vt:lpstr>Z_TX_02_F</vt:lpstr>
      <vt:lpstr>Z_TX_02_I</vt:lpstr>
      <vt:lpstr>Z_TX_02_O</vt:lpstr>
      <vt:lpstr>Z_TX_02_P</vt:lpstr>
      <vt:lpstr>Z_TX_02_S</vt:lpstr>
      <vt:lpstr>Z_TX_03_</vt:lpstr>
      <vt:lpstr>Z_TX_03_2_</vt:lpstr>
      <vt:lpstr>Z_TX_03_2_D</vt:lpstr>
      <vt:lpstr>Z_TX_03_2_E</vt:lpstr>
      <vt:lpstr>Z_TX_03_2_F</vt:lpstr>
      <vt:lpstr>Z_TX_03_2_I</vt:lpstr>
      <vt:lpstr>Z_TX_03_2_O</vt:lpstr>
      <vt:lpstr>Z_TX_03_2_P</vt:lpstr>
      <vt:lpstr>Z_TX_03_2_S</vt:lpstr>
      <vt:lpstr>Z_TX_03_3_</vt:lpstr>
      <vt:lpstr>Z_TX_03_3_D</vt:lpstr>
      <vt:lpstr>Z_TX_03_3_E</vt:lpstr>
      <vt:lpstr>Z_TX_03_3_F</vt:lpstr>
      <vt:lpstr>Z_TX_03_3_I</vt:lpstr>
      <vt:lpstr>Z_TX_03_3_O</vt:lpstr>
      <vt:lpstr>Z_TX_03_3_P</vt:lpstr>
      <vt:lpstr>Z_TX_03_3_S</vt:lpstr>
      <vt:lpstr>Z_TX_03_D</vt:lpstr>
      <vt:lpstr>Z_TX_03_E</vt:lpstr>
      <vt:lpstr>Z_TX_03_F</vt:lpstr>
      <vt:lpstr>Z_TX_03_I</vt:lpstr>
      <vt:lpstr>Z_TX_03_O</vt:lpstr>
      <vt:lpstr>Z_TX_03_P</vt:lpstr>
      <vt:lpstr>Z_TX_03_S</vt:lpstr>
      <vt:lpstr>Z_TX_04_1_</vt:lpstr>
      <vt:lpstr>Z_TX_04_1_D</vt:lpstr>
      <vt:lpstr>Z_TX_04_1_E</vt:lpstr>
      <vt:lpstr>Z_TX_04_1_F</vt:lpstr>
      <vt:lpstr>Z_TX_04_1_I</vt:lpstr>
      <vt:lpstr>Z_TX_04_1_O</vt:lpstr>
      <vt:lpstr>Z_TX_04_1_P</vt:lpstr>
      <vt:lpstr>Z_TX_04_1_S</vt:lpstr>
      <vt:lpstr>Z_TX_04_2_</vt:lpstr>
      <vt:lpstr>Z_TX_04_2_D</vt:lpstr>
      <vt:lpstr>Z_TX_04_2_E</vt:lpstr>
      <vt:lpstr>Z_TX_04_2_F</vt:lpstr>
      <vt:lpstr>Z_TX_04_2_I</vt:lpstr>
      <vt:lpstr>Z_TX_04_2_O</vt:lpstr>
      <vt:lpstr>Z_TX_04_2_P</vt:lpstr>
      <vt:lpstr>Z_TX_04_2_S</vt:lpstr>
      <vt:lpstr>Z_TX_04_3_</vt:lpstr>
      <vt:lpstr>Z_TX_04_3_D</vt:lpstr>
      <vt:lpstr>Z_TX_04_3_E</vt:lpstr>
      <vt:lpstr>Z_TX_04_3_F</vt:lpstr>
      <vt:lpstr>Z_TX_04_3_I</vt:lpstr>
      <vt:lpstr>Z_TX_04_3_O</vt:lpstr>
      <vt:lpstr>Z_TX_04_3_P</vt:lpstr>
      <vt:lpstr>Z_TX_04_3_S</vt:lpstr>
      <vt:lpstr>Z_TX_05_1_</vt:lpstr>
      <vt:lpstr>Z_TX_05_1_D</vt:lpstr>
      <vt:lpstr>Z_TX_05_1_E</vt:lpstr>
      <vt:lpstr>Z_TX_05_1_F</vt:lpstr>
      <vt:lpstr>Z_TX_05_1_I</vt:lpstr>
      <vt:lpstr>Z_TX_05_1_O</vt:lpstr>
      <vt:lpstr>Z_TX_05_1_P</vt:lpstr>
      <vt:lpstr>Z_TX_05_1_S</vt:lpstr>
      <vt:lpstr>Z_TX_05_2_</vt:lpstr>
      <vt:lpstr>Z_TX_05_2_D</vt:lpstr>
      <vt:lpstr>Z_TX_05_2_E</vt:lpstr>
      <vt:lpstr>Z_TX_05_2_F</vt:lpstr>
      <vt:lpstr>Z_TX_05_2_I</vt:lpstr>
      <vt:lpstr>Z_TX_05_2_O</vt:lpstr>
      <vt:lpstr>Z_TX_05_2_P</vt:lpstr>
      <vt:lpstr>Z_TX_05_2_S</vt:lpstr>
      <vt:lpstr>Z_TX_06_</vt:lpstr>
      <vt:lpstr>Z_TX_06_D</vt:lpstr>
      <vt:lpstr>Z_TX_06_E</vt:lpstr>
      <vt:lpstr>Z_TX_06_F</vt:lpstr>
      <vt:lpstr>Z_TX_06_I</vt:lpstr>
      <vt:lpstr>Z_TX_06_O</vt:lpstr>
      <vt:lpstr>Z_TX_06_P</vt:lpstr>
      <vt:lpstr>Z_TX_06_S</vt:lpstr>
      <vt:lpstr>Z_TX_07_</vt:lpstr>
      <vt:lpstr>Z_TX_07_D</vt:lpstr>
      <vt:lpstr>Z_TX_07_E</vt:lpstr>
      <vt:lpstr>Z_TX_07_F</vt:lpstr>
      <vt:lpstr>Z_TX_07_I</vt:lpstr>
      <vt:lpstr>Z_TX_07_O</vt:lpstr>
      <vt:lpstr>Z_TX_07_P</vt:lpstr>
      <vt:lpstr>Z_TX_07_S</vt:lpstr>
      <vt:lpstr>Z_TX_08_1_</vt:lpstr>
      <vt:lpstr>Z_TX_08_1_D</vt:lpstr>
      <vt:lpstr>Z_TX_08_1_E</vt:lpstr>
      <vt:lpstr>Z_TX_08_1_F</vt:lpstr>
      <vt:lpstr>Z_TX_08_1_I</vt:lpstr>
      <vt:lpstr>Z_TX_08_1_O</vt:lpstr>
      <vt:lpstr>Z_TX_08_1_P</vt:lpstr>
      <vt:lpstr>Z_TX_08_1_S</vt:lpstr>
      <vt:lpstr>Z_TX_08_2_</vt:lpstr>
      <vt:lpstr>Z_TX_08_2_D</vt:lpstr>
      <vt:lpstr>Z_TX_08_2_E</vt:lpstr>
      <vt:lpstr>Z_TX_08_2_F</vt:lpstr>
      <vt:lpstr>Z_TX_08_2_I</vt:lpstr>
      <vt:lpstr>Z_TX_08_2_O</vt:lpstr>
      <vt:lpstr>Z_TX_08_2_P</vt:lpstr>
      <vt:lpstr>Z_TX_08_2_S</vt:lpstr>
      <vt:lpstr>Z_TX_09_</vt:lpstr>
      <vt:lpstr>Z_TX_09_D</vt:lpstr>
      <vt:lpstr>Z_TX_09_E</vt:lpstr>
      <vt:lpstr>Z_TX_09_F</vt:lpstr>
      <vt:lpstr>Z_TX_09_I</vt:lpstr>
      <vt:lpstr>Z_TX_09_O</vt:lpstr>
      <vt:lpstr>Z_TX_09_P</vt:lpstr>
      <vt:lpstr>Z_TX_09_S</vt:lpstr>
      <vt:lpstr>Z_TX_10_</vt:lpstr>
      <vt:lpstr>Z_TX_10_D</vt:lpstr>
      <vt:lpstr>Z_TX_10_E</vt:lpstr>
      <vt:lpstr>Z_TX_10_F</vt:lpstr>
      <vt:lpstr>Z_TX_10_I</vt:lpstr>
      <vt:lpstr>Z_TX_10_O</vt:lpstr>
      <vt:lpstr>Z_TX_10_P</vt:lpstr>
      <vt:lpstr>Z_TX_10_S</vt:lpstr>
      <vt:lpstr>Z_TX_11_</vt:lpstr>
      <vt:lpstr>Z_TX_11_D</vt:lpstr>
      <vt:lpstr>Z_TX_11_E</vt:lpstr>
      <vt:lpstr>Z_TX_11_F</vt:lpstr>
      <vt:lpstr>Z_TX_11_I</vt:lpstr>
      <vt:lpstr>Z_TX_11_O</vt:lpstr>
      <vt:lpstr>Z_TX_11_P</vt:lpstr>
      <vt:lpstr>Z_TX_11_S</vt:lpstr>
      <vt:lpstr>Z_TX_12_</vt:lpstr>
      <vt:lpstr>Z_TX_12_D</vt:lpstr>
      <vt:lpstr>Z_TX_12_E</vt:lpstr>
      <vt:lpstr>Z_TX_12_F</vt:lpstr>
      <vt:lpstr>Z_TX_12_I</vt:lpstr>
      <vt:lpstr>Z_TX_12_O</vt:lpstr>
      <vt:lpstr>Z_TX_12_P</vt:lpstr>
      <vt:lpstr>Z_TX_12_S</vt:lpstr>
      <vt:lpstr>Z_TX_13_</vt:lpstr>
      <vt:lpstr>Z_TX_13_D</vt:lpstr>
      <vt:lpstr>Z_TX_13_E</vt:lpstr>
      <vt:lpstr>Z_TX_13_F</vt:lpstr>
      <vt:lpstr>Z_TX_13_I</vt:lpstr>
      <vt:lpstr>Z_TX_13_O</vt:lpstr>
      <vt:lpstr>Z_TX_13_P</vt:lpstr>
      <vt:lpstr>Z_TX_13_S</vt:lpstr>
      <vt:lpstr>Z_TX_14_</vt:lpstr>
      <vt:lpstr>Z_TX_14_D</vt:lpstr>
      <vt:lpstr>Z_TX_14_E</vt:lpstr>
      <vt:lpstr>Z_TX_14_F</vt:lpstr>
      <vt:lpstr>Z_TX_14_I</vt:lpstr>
      <vt:lpstr>Z_TX_14_O</vt:lpstr>
      <vt:lpstr>Z_TX_14_P</vt:lpstr>
      <vt:lpstr>Z_TX_14_S</vt:lpstr>
      <vt:lpstr>Z_TX_15_</vt:lpstr>
      <vt:lpstr>Z_TX_15_D</vt:lpstr>
      <vt:lpstr>Z_TX_15_E</vt:lpstr>
      <vt:lpstr>Z_TX_15_F</vt:lpstr>
      <vt:lpstr>Z_TX_15_I</vt:lpstr>
      <vt:lpstr>Z_TX_15_O</vt:lpstr>
      <vt:lpstr>Z_TX_15_P</vt:lpstr>
      <vt:lpstr>Z_TX_15_S</vt:lpstr>
      <vt:lpstr>Z_TX_16_</vt:lpstr>
      <vt:lpstr>Z_TX_16_D</vt:lpstr>
      <vt:lpstr>Z_TX_16_E</vt:lpstr>
      <vt:lpstr>Z_TX_16_F</vt:lpstr>
      <vt:lpstr>Z_TX_16_I</vt:lpstr>
      <vt:lpstr>Z_TX_16_O</vt:lpstr>
      <vt:lpstr>Z_TX_16_P</vt:lpstr>
      <vt:lpstr>Z_TX_16_S</vt:lpstr>
      <vt:lpstr>Z_TX_17_</vt:lpstr>
      <vt:lpstr>Z_TX_17_D</vt:lpstr>
      <vt:lpstr>Z_TX_17_E</vt:lpstr>
      <vt:lpstr>Z_TX_17_F</vt:lpstr>
      <vt:lpstr>Z_TX_17_I</vt:lpstr>
      <vt:lpstr>Z_TX_17_O</vt:lpstr>
      <vt:lpstr>Z_TX_17_P</vt:lpstr>
      <vt:lpstr>Z_TX_17_S</vt:lpstr>
      <vt:lpstr>Z_TX_18_</vt:lpstr>
      <vt:lpstr>Z_TX_18_D</vt:lpstr>
      <vt:lpstr>Z_TX_18_E</vt:lpstr>
      <vt:lpstr>Z_TX_18_F</vt:lpstr>
      <vt:lpstr>Z_TX_18_I</vt:lpstr>
      <vt:lpstr>Z_TX_18_O</vt:lpstr>
      <vt:lpstr>Z_TX_18_P</vt:lpstr>
      <vt:lpstr>Z_TX_18_S</vt:lpstr>
      <vt:lpstr>Z_TX_19_</vt:lpstr>
      <vt:lpstr>Z_TX_19_D</vt:lpstr>
      <vt:lpstr>Z_TX_19_E</vt:lpstr>
      <vt:lpstr>Z_TX_19_F</vt:lpstr>
      <vt:lpstr>Z_TX_19_I</vt:lpstr>
      <vt:lpstr>Z_TX_19_O</vt:lpstr>
      <vt:lpstr>Z_TX_19_P</vt:lpstr>
      <vt:lpstr>Z_TX_19_S</vt:lpstr>
      <vt:lpstr>Z_TX_20_</vt:lpstr>
      <vt:lpstr>Z_TX_20_D</vt:lpstr>
      <vt:lpstr>Z_TX_20_E</vt:lpstr>
      <vt:lpstr>Z_TX_20_F</vt:lpstr>
      <vt:lpstr>Z_TX_20_I</vt:lpstr>
      <vt:lpstr>Z_TX_20_O</vt:lpstr>
      <vt:lpstr>Z_TX_20_P</vt:lpstr>
      <vt:lpstr>Z_TX_20_S</vt:lpstr>
      <vt:lpstr>Z_TX_21_</vt:lpstr>
      <vt:lpstr>Z_TX_21_D</vt:lpstr>
      <vt:lpstr>Z_TX_21_E</vt:lpstr>
      <vt:lpstr>Z_TX_21_F</vt:lpstr>
      <vt:lpstr>Z_TX_21_I</vt:lpstr>
      <vt:lpstr>Z_TX_21_O</vt:lpstr>
      <vt:lpstr>Z_TX_21_P</vt:lpstr>
      <vt:lpstr>Z_TX_21_S</vt:lpstr>
      <vt:lpstr>Z_TX_22_</vt:lpstr>
      <vt:lpstr>Z_TX_22_D</vt:lpstr>
      <vt:lpstr>Z_TX_22_E</vt:lpstr>
      <vt:lpstr>Z_TX_22_F</vt:lpstr>
      <vt:lpstr>Z_TX_22_I</vt:lpstr>
      <vt:lpstr>Z_TX_22_O</vt:lpstr>
      <vt:lpstr>Z_TX_22_P</vt:lpstr>
      <vt:lpstr>Z_TX_22_S</vt:lpstr>
      <vt:lpstr>Z_TX_23_1_</vt:lpstr>
      <vt:lpstr>Z_TX_23_1_D</vt:lpstr>
      <vt:lpstr>Z_TX_23_1_E</vt:lpstr>
      <vt:lpstr>Z_TX_23_1_F</vt:lpstr>
      <vt:lpstr>Z_TX_23_1_I</vt:lpstr>
      <vt:lpstr>Z_TX_23_1_O</vt:lpstr>
      <vt:lpstr>Z_TX_23_1_P</vt:lpstr>
      <vt:lpstr>Z_TX_23_1_S</vt:lpstr>
      <vt:lpstr>Z_TX_23_2_</vt:lpstr>
      <vt:lpstr>Z_TX_23_2_D</vt:lpstr>
      <vt:lpstr>Z_TX_23_2_E</vt:lpstr>
      <vt:lpstr>Z_TX_23_2_F</vt:lpstr>
      <vt:lpstr>Z_TX_23_2_I</vt:lpstr>
      <vt:lpstr>Z_TX_23_2_O</vt:lpstr>
      <vt:lpstr>Z_TX_23_2_P</vt:lpstr>
      <vt:lpstr>Z_TX_23_2_S</vt:lpstr>
      <vt:lpstr>Z_TX_24_</vt:lpstr>
      <vt:lpstr>Z_TX_24_D</vt:lpstr>
      <vt:lpstr>Z_TX_24_E</vt:lpstr>
      <vt:lpstr>Z_TX_24_F</vt:lpstr>
      <vt:lpstr>Z_TX_24_I</vt:lpstr>
      <vt:lpstr>Z_TX_24_O</vt:lpstr>
      <vt:lpstr>Z_TX_24_P</vt:lpstr>
      <vt:lpstr>Z_TX_24_S</vt:lpstr>
      <vt:lpstr>Z_TX_25_</vt:lpstr>
      <vt:lpstr>Z_TX_25_D</vt:lpstr>
      <vt:lpstr>Z_TX_25_E</vt:lpstr>
      <vt:lpstr>Z_TX_25_F</vt:lpstr>
      <vt:lpstr>Z_TX_25_I</vt:lpstr>
      <vt:lpstr>Z_TX_25_O</vt:lpstr>
      <vt:lpstr>Z_TX_25_P</vt:lpstr>
      <vt:lpstr>Z_TX_25_S</vt:lpstr>
      <vt:lpstr>Z_TX_26_</vt:lpstr>
      <vt:lpstr>Z_TX_26_D</vt:lpstr>
      <vt:lpstr>Z_TX_26_E</vt:lpstr>
      <vt:lpstr>Z_TX_26_F</vt:lpstr>
      <vt:lpstr>Z_TX_26_I</vt:lpstr>
      <vt:lpstr>Z_TX_26_O</vt:lpstr>
      <vt:lpstr>Z_TX_26_P</vt:lpstr>
      <vt:lpstr>Z_TX_26_S</vt:lpstr>
      <vt:lpstr>Z_TX_27_1_</vt:lpstr>
      <vt:lpstr>Z_TX_27_1_D</vt:lpstr>
      <vt:lpstr>Z_TX_27_1_E</vt:lpstr>
      <vt:lpstr>Z_TX_27_1_F</vt:lpstr>
      <vt:lpstr>Z_TX_27_1_I</vt:lpstr>
      <vt:lpstr>Z_TX_27_1_O</vt:lpstr>
      <vt:lpstr>Z_TX_27_1_P</vt:lpstr>
      <vt:lpstr>Z_TX_27_1_S</vt:lpstr>
      <vt:lpstr>Z_TX_27_2_</vt:lpstr>
      <vt:lpstr>Z_TX_27_2_D</vt:lpstr>
      <vt:lpstr>Z_TX_27_2_E</vt:lpstr>
      <vt:lpstr>Z_TX_27_2_F</vt:lpstr>
      <vt:lpstr>Z_TX_27_2_I</vt:lpstr>
      <vt:lpstr>Z_TX_27_2_O</vt:lpstr>
      <vt:lpstr>Z_TX_27_2_P</vt:lpstr>
      <vt:lpstr>Z_TX_27_2_S</vt:lpstr>
      <vt:lpstr>Z_TX_28_1_</vt:lpstr>
      <vt:lpstr>Z_TX_28_1_D</vt:lpstr>
      <vt:lpstr>Z_TX_28_1_E</vt:lpstr>
      <vt:lpstr>Z_TX_28_1_F</vt:lpstr>
      <vt:lpstr>Z_TX_28_1_I</vt:lpstr>
      <vt:lpstr>Z_TX_28_1_O</vt:lpstr>
      <vt:lpstr>Z_TX_28_1_P</vt:lpstr>
      <vt:lpstr>Z_TX_28_1_S</vt:lpstr>
      <vt:lpstr>Z_TX_28_2_</vt:lpstr>
      <vt:lpstr>Z_TX_28_2_D</vt:lpstr>
      <vt:lpstr>Z_TX_28_2_E</vt:lpstr>
      <vt:lpstr>Z_TX_28_2_F</vt:lpstr>
      <vt:lpstr>Z_TX_28_2_I</vt:lpstr>
      <vt:lpstr>Z_TX_28_2_O</vt:lpstr>
      <vt:lpstr>Z_TX_28_2_P</vt:lpstr>
      <vt:lpstr>Z_TX_28_2_S</vt:lpstr>
      <vt:lpstr>Z_TX_28_3_</vt:lpstr>
      <vt:lpstr>Z_TX_28_3_D</vt:lpstr>
      <vt:lpstr>Z_TX_28_3_E</vt:lpstr>
      <vt:lpstr>Z_TX_28_3_F</vt:lpstr>
      <vt:lpstr>Z_TX_28_3_I</vt:lpstr>
      <vt:lpstr>Z_TX_28_3_O</vt:lpstr>
      <vt:lpstr>Z_TX_28_3_P</vt:lpstr>
      <vt:lpstr>Z_TX_28_3_S</vt:lpstr>
      <vt:lpstr>Z_TX_29_</vt:lpstr>
      <vt:lpstr>Z_TX_29_D</vt:lpstr>
      <vt:lpstr>Z_TX_29_E</vt:lpstr>
      <vt:lpstr>Z_TX_29_F</vt:lpstr>
      <vt:lpstr>Z_TX_29_I</vt:lpstr>
      <vt:lpstr>Z_TX_29_O</vt:lpstr>
      <vt:lpstr>Z_TX_29_P</vt:lpstr>
      <vt:lpstr>Z_TX_29_S</vt:lpstr>
      <vt:lpstr>Z_TX_30_</vt:lpstr>
      <vt:lpstr>Z_TX_30_D</vt:lpstr>
      <vt:lpstr>Z_TX_30_E</vt:lpstr>
      <vt:lpstr>Z_TX_30_F</vt:lpstr>
      <vt:lpstr>Z_TX_30_I</vt:lpstr>
      <vt:lpstr>Z_TX_30_O</vt:lpstr>
      <vt:lpstr>Z_TX_30_P</vt:lpstr>
      <vt:lpstr>Z_TX_30_S</vt:lpstr>
      <vt:lpstr>Z_TX_31_</vt:lpstr>
      <vt:lpstr>Z_TX_31_D</vt:lpstr>
      <vt:lpstr>Z_TX_31_E</vt:lpstr>
      <vt:lpstr>Z_TX_31_F</vt:lpstr>
      <vt:lpstr>Z_TX_31_I</vt:lpstr>
      <vt:lpstr>Z_TX_31_O</vt:lpstr>
      <vt:lpstr>Z_TX_31_P</vt:lpstr>
      <vt:lpstr>Z_TX_31_S</vt:lpstr>
      <vt:lpstr>Z_TX_32_</vt:lpstr>
      <vt:lpstr>Z_TX_32_D</vt:lpstr>
      <vt:lpstr>Z_TX_32_E</vt:lpstr>
      <vt:lpstr>Z_TX_32_F</vt:lpstr>
      <vt:lpstr>Z_TX_32_I</vt:lpstr>
      <vt:lpstr>Z_TX_32_O</vt:lpstr>
      <vt:lpstr>Z_TX_32_P</vt:lpstr>
      <vt:lpstr>Z_TX_32_S</vt:lpstr>
      <vt:lpstr>Z_TX_33_</vt:lpstr>
      <vt:lpstr>Z_TX_33_D</vt:lpstr>
      <vt:lpstr>Z_TX_33_E</vt:lpstr>
      <vt:lpstr>Z_TX_33_F</vt:lpstr>
      <vt:lpstr>Z_TX_33_I</vt:lpstr>
      <vt:lpstr>Z_TX_33_O</vt:lpstr>
      <vt:lpstr>Z_TX_33_P</vt:lpstr>
      <vt:lpstr>Z_TX_33_S</vt:lpstr>
      <vt:lpstr>Z_TX_34_</vt:lpstr>
      <vt:lpstr>Z_TX_34_D</vt:lpstr>
      <vt:lpstr>Z_TX_34_E</vt:lpstr>
      <vt:lpstr>Z_TX_34_F</vt:lpstr>
      <vt:lpstr>Z_TX_34_I</vt:lpstr>
      <vt:lpstr>Z_TX_34_O</vt:lpstr>
      <vt:lpstr>Z_TX_34_P</vt:lpstr>
      <vt:lpstr>Z_TX_34_S</vt:lpstr>
      <vt:lpstr>Z_TX_35_</vt:lpstr>
      <vt:lpstr>Z_TX_35_1_</vt:lpstr>
      <vt:lpstr>Z_TX_35_1_D</vt:lpstr>
      <vt:lpstr>Z_TX_35_1_E</vt:lpstr>
      <vt:lpstr>Z_TX_35_1_F</vt:lpstr>
      <vt:lpstr>Z_TX_35_1_I</vt:lpstr>
      <vt:lpstr>Z_TX_35_1_O</vt:lpstr>
      <vt:lpstr>Z_TX_35_1_P</vt:lpstr>
      <vt:lpstr>Z_TX_35_1_S</vt:lpstr>
      <vt:lpstr>Z_TX_35_2_</vt:lpstr>
      <vt:lpstr>Z_TX_35_2_D</vt:lpstr>
      <vt:lpstr>Z_TX_35_2_E</vt:lpstr>
      <vt:lpstr>Z_TX_35_2_F</vt:lpstr>
      <vt:lpstr>Z_TX_35_2_I</vt:lpstr>
      <vt:lpstr>Z_TX_35_2_O</vt:lpstr>
      <vt:lpstr>Z_TX_35_2_P</vt:lpstr>
      <vt:lpstr>Z_TX_35_2_S</vt:lpstr>
      <vt:lpstr>Z_TX_35_D</vt:lpstr>
      <vt:lpstr>Z_TX_35_E</vt:lpstr>
      <vt:lpstr>Z_TX_35_F</vt:lpstr>
      <vt:lpstr>Z_TX_35_I</vt:lpstr>
      <vt:lpstr>Z_TX_35_O</vt:lpstr>
      <vt:lpstr>Z_TX_35_P</vt:lpstr>
      <vt:lpstr>Z_TX_35_S</vt:lpstr>
      <vt:lpstr>Z_TX_36_</vt:lpstr>
      <vt:lpstr>Z_TX_36_D</vt:lpstr>
      <vt:lpstr>Z_TX_36_E</vt:lpstr>
      <vt:lpstr>Z_TX_36_F</vt:lpstr>
      <vt:lpstr>Z_TX_36_I</vt:lpstr>
      <vt:lpstr>Z_TX_36_O</vt:lpstr>
      <vt:lpstr>Z_TX_36_P</vt:lpstr>
      <vt:lpstr>Z_TX_36_S</vt:lpstr>
      <vt:lpstr>Z_TX_37_</vt:lpstr>
      <vt:lpstr>Z_TX_37_D</vt:lpstr>
      <vt:lpstr>Z_TX_37_E</vt:lpstr>
      <vt:lpstr>Z_TX_37_F</vt:lpstr>
      <vt:lpstr>Z_TX_37_I</vt:lpstr>
      <vt:lpstr>Z_TX_37_O</vt:lpstr>
      <vt:lpstr>Z_TX_37_P</vt:lpstr>
      <vt:lpstr>Z_TX_37_S</vt:lpstr>
      <vt:lpstr>Z_TX_38_</vt:lpstr>
      <vt:lpstr>Z_TX_38_D</vt:lpstr>
      <vt:lpstr>Z_TX_38_E</vt:lpstr>
      <vt:lpstr>Z_TX_38_F</vt:lpstr>
      <vt:lpstr>Z_TX_38_I</vt:lpstr>
      <vt:lpstr>Z_TX_38_O</vt:lpstr>
      <vt:lpstr>Z_TX_38_P</vt:lpstr>
      <vt:lpstr>Z_TX_38_S</vt:lpstr>
      <vt:lpstr>Z_TX_39_</vt:lpstr>
      <vt:lpstr>Z_TX_39_D</vt:lpstr>
      <vt:lpstr>Z_TX_39_E</vt:lpstr>
      <vt:lpstr>Z_TX_39_F</vt:lpstr>
      <vt:lpstr>Z_TX_39_I</vt:lpstr>
      <vt:lpstr>Z_TX_39_O</vt:lpstr>
      <vt:lpstr>Z_TX_39_P</vt:lpstr>
      <vt:lpstr>Z_TX_39_S</vt:lpstr>
      <vt:lpstr>Z_TX_40_</vt:lpstr>
      <vt:lpstr>Z_TX_40_D</vt:lpstr>
      <vt:lpstr>Z_TX_40_E</vt:lpstr>
      <vt:lpstr>Z_TX_40_F</vt:lpstr>
      <vt:lpstr>Z_TX_40_I</vt:lpstr>
      <vt:lpstr>Z_TX_40_O</vt:lpstr>
      <vt:lpstr>Z_TX_40_P</vt:lpstr>
      <vt:lpstr>Z_TX_40_S</vt:lpstr>
      <vt:lpstr>Z_TX_41_1_</vt:lpstr>
      <vt:lpstr>Z_TX_41_1_D</vt:lpstr>
      <vt:lpstr>Z_TX_41_1_E</vt:lpstr>
      <vt:lpstr>Z_TX_41_1_F</vt:lpstr>
      <vt:lpstr>Z_TX_41_1_I</vt:lpstr>
      <vt:lpstr>Z_TX_41_1_O</vt:lpstr>
      <vt:lpstr>Z_TX_41_1_P</vt:lpstr>
      <vt:lpstr>Z_TX_41_1_S</vt:lpstr>
      <vt:lpstr>Z_TX_41_2_</vt:lpstr>
      <vt:lpstr>Z_TX_41_2_D</vt:lpstr>
      <vt:lpstr>Z_TX_41_2_E</vt:lpstr>
      <vt:lpstr>Z_TX_41_2_F</vt:lpstr>
      <vt:lpstr>Z_TX_41_2_I</vt:lpstr>
      <vt:lpstr>Z_TX_41_2_O</vt:lpstr>
      <vt:lpstr>Z_TX_41_2_P</vt:lpstr>
      <vt:lpstr>Z_TX_41_2_S</vt:lpstr>
      <vt:lpstr>Z_TX_41_3_</vt:lpstr>
      <vt:lpstr>Z_TX_41_3_D</vt:lpstr>
      <vt:lpstr>Z_TX_41_3_E</vt:lpstr>
      <vt:lpstr>Z_TX_41_3_F</vt:lpstr>
      <vt:lpstr>Z_TX_41_3_I</vt:lpstr>
      <vt:lpstr>Z_TX_41_3_O</vt:lpstr>
      <vt:lpstr>Z_TX_41_3_P</vt:lpstr>
      <vt:lpstr>Z_TX_41_3_S</vt:lpstr>
      <vt:lpstr>Z_TX_41_5_</vt:lpstr>
      <vt:lpstr>Z_TX_41_5_D</vt:lpstr>
      <vt:lpstr>Z_TX_41_5_E</vt:lpstr>
      <vt:lpstr>Z_TX_41_5_F</vt:lpstr>
      <vt:lpstr>Z_TX_41_5_I</vt:lpstr>
      <vt:lpstr>Z_TX_41_5_O</vt:lpstr>
      <vt:lpstr>Z_TX_41_5_P</vt:lpstr>
      <vt:lpstr>Z_TX_41_5_S</vt:lpstr>
      <vt:lpstr>Z_TX_41_6_</vt:lpstr>
      <vt:lpstr>Z_TX_41_6_D</vt:lpstr>
      <vt:lpstr>Z_TX_41_6_E</vt:lpstr>
      <vt:lpstr>Z_TX_41_6_F</vt:lpstr>
      <vt:lpstr>Z_TX_41_6_I</vt:lpstr>
      <vt:lpstr>Z_TX_41_6_O</vt:lpstr>
      <vt:lpstr>Z_TX_41_6_P</vt:lpstr>
      <vt:lpstr>Z_TX_41_6_S</vt:lpstr>
      <vt:lpstr>Z_TX_41_7_</vt:lpstr>
      <vt:lpstr>Z_TX_41_7_D</vt:lpstr>
      <vt:lpstr>Z_TX_41_7_E</vt:lpstr>
      <vt:lpstr>Z_TX_41_7_F</vt:lpstr>
      <vt:lpstr>Z_TX_41_7_I</vt:lpstr>
      <vt:lpstr>Z_TX_41_7_O</vt:lpstr>
      <vt:lpstr>Z_TX_41_7_P</vt:lpstr>
      <vt:lpstr>Z_TX_41_7_S</vt:lpstr>
      <vt:lpstr>Z_TX_41_8_</vt:lpstr>
      <vt:lpstr>Z_TX_41_8_D</vt:lpstr>
      <vt:lpstr>Z_TX_41_8_E</vt:lpstr>
      <vt:lpstr>Z_TX_41_8_F</vt:lpstr>
      <vt:lpstr>Z_TX_41_8_I</vt:lpstr>
      <vt:lpstr>Z_TX_41_8_O</vt:lpstr>
      <vt:lpstr>Z_TX_41_8_P</vt:lpstr>
      <vt:lpstr>Z_TX_41_8_S</vt:lpstr>
      <vt:lpstr>Z_TX_41_9_</vt:lpstr>
      <vt:lpstr>Z_TX_41_9_D</vt:lpstr>
      <vt:lpstr>Z_TX_41_9_E</vt:lpstr>
      <vt:lpstr>Z_TX_41_9_F</vt:lpstr>
      <vt:lpstr>Z_TX_41_9_I</vt:lpstr>
      <vt:lpstr>Z_TX_41_9_O</vt:lpstr>
      <vt:lpstr>Z_TX_41_9_P</vt:lpstr>
      <vt:lpstr>Z_TX_41_9_S</vt:lpstr>
      <vt:lpstr>Z_TX_42_1_</vt:lpstr>
      <vt:lpstr>Z_TX_42_1_D</vt:lpstr>
      <vt:lpstr>Z_TX_42_1_E</vt:lpstr>
      <vt:lpstr>Z_TX_42_1_F</vt:lpstr>
      <vt:lpstr>Z_TX_42_1_I</vt:lpstr>
      <vt:lpstr>Z_TX_42_1_O</vt:lpstr>
      <vt:lpstr>Z_TX_42_1_P</vt:lpstr>
      <vt:lpstr>Z_TX_42_1_S</vt:lpstr>
      <vt:lpstr>Z_TX_42_2_</vt:lpstr>
      <vt:lpstr>Z_TX_42_2_D</vt:lpstr>
      <vt:lpstr>Z_TX_42_2_E</vt:lpstr>
      <vt:lpstr>Z_TX_42_2_F</vt:lpstr>
      <vt:lpstr>Z_TX_42_2_I</vt:lpstr>
      <vt:lpstr>Z_TX_42_2_O</vt:lpstr>
      <vt:lpstr>Z_TX_42_2_P</vt:lpstr>
      <vt:lpstr>Z_TX_42_2_S</vt:lpstr>
      <vt:lpstr>Z_TX_43_</vt:lpstr>
      <vt:lpstr>Z_TX_43_D</vt:lpstr>
      <vt:lpstr>Z_TX_43_E</vt:lpstr>
      <vt:lpstr>Z_TX_43_F</vt:lpstr>
      <vt:lpstr>Z_TX_43_I</vt:lpstr>
      <vt:lpstr>Z_TX_43_O</vt:lpstr>
      <vt:lpstr>Z_TX_43_P</vt:lpstr>
      <vt:lpstr>Z_TX_43_S</vt:lpstr>
      <vt:lpstr>Z_TX_44_</vt:lpstr>
      <vt:lpstr>Z_TX_44_D</vt:lpstr>
      <vt:lpstr>Z_TX_44_E</vt:lpstr>
      <vt:lpstr>Z_TX_44_F</vt:lpstr>
      <vt:lpstr>Z_TX_44_I</vt:lpstr>
      <vt:lpstr>Z_TX_44_O</vt:lpstr>
      <vt:lpstr>Z_TX_44_P</vt:lpstr>
      <vt:lpstr>Z_TX_44_S</vt:lpstr>
      <vt:lpstr>Z_TX_45_</vt:lpstr>
      <vt:lpstr>Z_TX_45_D</vt:lpstr>
      <vt:lpstr>Z_TX_45_E</vt:lpstr>
      <vt:lpstr>Z_TX_45_F</vt:lpstr>
      <vt:lpstr>Z_TX_45_I</vt:lpstr>
      <vt:lpstr>Z_TX_45_O</vt:lpstr>
      <vt:lpstr>Z_TX_45_P</vt:lpstr>
      <vt:lpstr>Z_TX_45_S</vt:lpstr>
      <vt:lpstr>Z_TX_46_</vt:lpstr>
      <vt:lpstr>Z_TX_46_D</vt:lpstr>
      <vt:lpstr>Z_TX_46_E</vt:lpstr>
      <vt:lpstr>Z_TX_46_F</vt:lpstr>
      <vt:lpstr>Z_TX_46_I</vt:lpstr>
      <vt:lpstr>Z_TX_46_O</vt:lpstr>
      <vt:lpstr>Z_TX_46_P</vt:lpstr>
      <vt:lpstr>Z_TX_46_S</vt:lpstr>
      <vt:lpstr>Z_TX_47_</vt:lpstr>
      <vt:lpstr>Z_TX_47_D</vt:lpstr>
      <vt:lpstr>Z_TX_47_E</vt:lpstr>
      <vt:lpstr>Z_TX_47_F</vt:lpstr>
      <vt:lpstr>Z_TX_47_I</vt:lpstr>
      <vt:lpstr>Z_TX_47_O</vt:lpstr>
      <vt:lpstr>Z_TX_47_P</vt:lpstr>
      <vt:lpstr>Z_TX_47_S</vt:lpstr>
      <vt:lpstr>Z_TX_48_</vt:lpstr>
      <vt:lpstr>Z_TX_48_D</vt:lpstr>
      <vt:lpstr>Z_TX_48_E</vt:lpstr>
      <vt:lpstr>Z_TX_48_F</vt:lpstr>
      <vt:lpstr>Z_TX_48_I</vt:lpstr>
      <vt:lpstr>Z_TX_48_O</vt:lpstr>
      <vt:lpstr>Z_TX_48_P</vt:lpstr>
      <vt:lpstr>Z_TX_48_S</vt:lpstr>
      <vt:lpstr>Z_TX_49_</vt:lpstr>
      <vt:lpstr>Z_TX_49_D</vt:lpstr>
      <vt:lpstr>Z_TX_49_E</vt:lpstr>
      <vt:lpstr>Z_TX_49_F</vt:lpstr>
      <vt:lpstr>Z_TX_49_I</vt:lpstr>
      <vt:lpstr>Z_TX_49_O</vt:lpstr>
      <vt:lpstr>Z_TX_49_P</vt:lpstr>
      <vt:lpstr>Z_TX_49_S</vt:lpstr>
      <vt:lpstr>Z_TX_50_</vt:lpstr>
      <vt:lpstr>Z_TX_50_D</vt:lpstr>
      <vt:lpstr>Z_TX_50_E</vt:lpstr>
      <vt:lpstr>Z_TX_50_F</vt:lpstr>
      <vt:lpstr>Z_TX_50_I</vt:lpstr>
      <vt:lpstr>Z_TX_50_O</vt:lpstr>
      <vt:lpstr>Z_TX_50_P</vt:lpstr>
      <vt:lpstr>Z_TX_50_S</vt:lpstr>
      <vt:lpstr>Z_TX_51_</vt:lpstr>
      <vt:lpstr>Z_TX_51_D</vt:lpstr>
      <vt:lpstr>Z_TX_51_E</vt:lpstr>
      <vt:lpstr>Z_TX_51_F</vt:lpstr>
      <vt:lpstr>Z_TX_51_I</vt:lpstr>
      <vt:lpstr>Z_TX_51_O</vt:lpstr>
      <vt:lpstr>Z_TX_51_P</vt:lpstr>
      <vt:lpstr>Z_TX_51_S</vt:lpstr>
      <vt:lpstr>Z_TX_52_</vt:lpstr>
      <vt:lpstr>Z_TX_52_D</vt:lpstr>
      <vt:lpstr>Z_TX_52_E</vt:lpstr>
      <vt:lpstr>Z_TX_52_F</vt:lpstr>
      <vt:lpstr>Z_TX_52_I</vt:lpstr>
      <vt:lpstr>Z_TX_52_O</vt:lpstr>
      <vt:lpstr>Z_TX_52_P</vt:lpstr>
      <vt:lpstr>Z_TX_52_S</vt:lpstr>
      <vt:lpstr>Z_TX_53_</vt:lpstr>
      <vt:lpstr>Z_TX_53_D</vt:lpstr>
      <vt:lpstr>Z_TX_53_E</vt:lpstr>
      <vt:lpstr>Z_TX_53_F</vt:lpstr>
      <vt:lpstr>Z_TX_53_I</vt:lpstr>
      <vt:lpstr>Z_TX_53_O</vt:lpstr>
      <vt:lpstr>Z_TX_53_P</vt:lpstr>
      <vt:lpstr>Z_TX_53_S</vt:lpstr>
      <vt:lpstr>Z_TX_54_</vt:lpstr>
      <vt:lpstr>Z_TX_54_D</vt:lpstr>
      <vt:lpstr>Z_TX_54_E</vt:lpstr>
      <vt:lpstr>Z_TX_54_F</vt:lpstr>
      <vt:lpstr>Z_TX_54_I</vt:lpstr>
      <vt:lpstr>Z_TX_54_O</vt:lpstr>
      <vt:lpstr>Z_TX_54_P</vt:lpstr>
      <vt:lpstr>Z_TX_54_S</vt:lpstr>
      <vt:lpstr>Z_TX_55_</vt:lpstr>
      <vt:lpstr>Z_TX_55_D</vt:lpstr>
      <vt:lpstr>Z_TX_55_E</vt:lpstr>
      <vt:lpstr>Z_TX_55_F</vt:lpstr>
      <vt:lpstr>Z_TX_55_I</vt:lpstr>
      <vt:lpstr>Z_TX_55_O</vt:lpstr>
      <vt:lpstr>Z_TX_55_P</vt:lpstr>
      <vt:lpstr>Z_TX_55_S</vt:lpstr>
      <vt:lpstr>Z_TX_56_</vt:lpstr>
      <vt:lpstr>Z_TX_56_D</vt:lpstr>
      <vt:lpstr>Z_TX_56_E</vt:lpstr>
      <vt:lpstr>Z_TX_56_F</vt:lpstr>
      <vt:lpstr>Z_TX_56_I</vt:lpstr>
      <vt:lpstr>Z_TX_56_O</vt:lpstr>
      <vt:lpstr>Z_TX_56_P</vt:lpstr>
      <vt:lpstr>Z_TX_56_S</vt:lpstr>
      <vt:lpstr>Z_TX_57_</vt:lpstr>
      <vt:lpstr>Z_TX_57_D</vt:lpstr>
      <vt:lpstr>Z_TX_57_E</vt:lpstr>
      <vt:lpstr>Z_TX_57_F</vt:lpstr>
      <vt:lpstr>Z_TX_57_I</vt:lpstr>
      <vt:lpstr>Z_TX_57_O</vt:lpstr>
      <vt:lpstr>Z_TX_57_P</vt:lpstr>
      <vt:lpstr>Z_TX_57_S</vt:lpstr>
      <vt:lpstr>Z_TX_58_</vt:lpstr>
      <vt:lpstr>Z_TX_58_D</vt:lpstr>
      <vt:lpstr>Z_TX_58_E</vt:lpstr>
      <vt:lpstr>Z_TX_58_F</vt:lpstr>
      <vt:lpstr>Z_TX_58_I</vt:lpstr>
      <vt:lpstr>Z_TX_58_O</vt:lpstr>
      <vt:lpstr>Z_TX_58_P</vt:lpstr>
      <vt:lpstr>Z_TX_58_S</vt:lpstr>
      <vt:lpstr>Z_TX_59_</vt:lpstr>
      <vt:lpstr>Z_TX_59_D</vt:lpstr>
      <vt:lpstr>Z_TX_59_E</vt:lpstr>
      <vt:lpstr>Z_TX_59_F</vt:lpstr>
      <vt:lpstr>Z_TX_59_I</vt:lpstr>
      <vt:lpstr>Z_TX_59_O</vt:lpstr>
      <vt:lpstr>Z_TX_59_P</vt:lpstr>
      <vt:lpstr>Z_TX_59_S</vt:lpstr>
      <vt:lpstr>Z_TX_60_</vt:lpstr>
      <vt:lpstr>Z_TX_60_D</vt:lpstr>
      <vt:lpstr>Z_TX_60_E</vt:lpstr>
      <vt:lpstr>Z_TX_60_F</vt:lpstr>
      <vt:lpstr>Z_TX_60_I</vt:lpstr>
      <vt:lpstr>Z_TX_60_O</vt:lpstr>
      <vt:lpstr>Z_TX_60_P</vt:lpstr>
      <vt:lpstr>Z_TX_60_S</vt:lpstr>
      <vt:lpstr>Z_TX_61_</vt:lpstr>
      <vt:lpstr>Z_TX_61_D</vt:lpstr>
      <vt:lpstr>Z_TX_61_E</vt:lpstr>
      <vt:lpstr>Z_TX_61_F</vt:lpstr>
      <vt:lpstr>Z_TX_61_I</vt:lpstr>
      <vt:lpstr>Z_TX_61_O</vt:lpstr>
      <vt:lpstr>Z_TX_61_P</vt:lpstr>
      <vt:lpstr>Z_TX_61_S</vt:lpstr>
      <vt:lpstr>Z_TX_62_</vt:lpstr>
      <vt:lpstr>Z_TX_62_D</vt:lpstr>
      <vt:lpstr>Z_TX_62_E</vt:lpstr>
      <vt:lpstr>Z_TX_62_F</vt:lpstr>
      <vt:lpstr>Z_TX_62_I</vt:lpstr>
      <vt:lpstr>Z_TX_62_O</vt:lpstr>
      <vt:lpstr>Z_TX_62_P</vt:lpstr>
      <vt:lpstr>Z_TX_62_S</vt:lpstr>
      <vt:lpstr>Z_TX_63_</vt:lpstr>
      <vt:lpstr>Z_TX_63_D</vt:lpstr>
      <vt:lpstr>Z_TX_63_E</vt:lpstr>
      <vt:lpstr>Z_TX_63_F</vt:lpstr>
      <vt:lpstr>Z_TX_63_I</vt:lpstr>
      <vt:lpstr>Z_TX_63_O</vt:lpstr>
      <vt:lpstr>Z_TX_63_P</vt:lpstr>
      <vt:lpstr>Z_TX_63_S</vt:lpstr>
      <vt:lpstr>Z_TX_64_</vt:lpstr>
      <vt:lpstr>Z_TX_64_D</vt:lpstr>
      <vt:lpstr>Z_TX_64_E</vt:lpstr>
      <vt:lpstr>Z_TX_64_F</vt:lpstr>
      <vt:lpstr>Z_TX_64_I</vt:lpstr>
      <vt:lpstr>Z_TX_64_O</vt:lpstr>
      <vt:lpstr>Z_TX_64_P</vt:lpstr>
      <vt:lpstr>Z_TX_64_S</vt:lpstr>
      <vt:lpstr>Z_TX_65_</vt:lpstr>
      <vt:lpstr>Z_TX_65_D</vt:lpstr>
      <vt:lpstr>Z_TX_65_E</vt:lpstr>
      <vt:lpstr>Z_TX_65_F</vt:lpstr>
      <vt:lpstr>Z_TX_65_I</vt:lpstr>
      <vt:lpstr>Z_TX_65_O</vt:lpstr>
      <vt:lpstr>Z_TX_65_P</vt:lpstr>
      <vt:lpstr>Z_TX_65_S</vt:lpstr>
      <vt:lpstr>Z_TX_66_</vt:lpstr>
      <vt:lpstr>Z_TX_66_D</vt:lpstr>
      <vt:lpstr>Z_TX_66_E</vt:lpstr>
      <vt:lpstr>Z_TX_66_F</vt:lpstr>
      <vt:lpstr>Z_TX_66_I</vt:lpstr>
      <vt:lpstr>Z_TX_66_O</vt:lpstr>
      <vt:lpstr>Z_TX_66_P</vt:lpstr>
      <vt:lpstr>Z_TX_66_S</vt:lpstr>
      <vt:lpstr>Z_TX_67_</vt:lpstr>
      <vt:lpstr>Z_TX_67_D</vt:lpstr>
      <vt:lpstr>Z_TX_67_E</vt:lpstr>
      <vt:lpstr>Z_TX_67_F</vt:lpstr>
      <vt:lpstr>Z_TX_67_I</vt:lpstr>
      <vt:lpstr>Z_TX_67_O</vt:lpstr>
      <vt:lpstr>Z_TX_67_P</vt:lpstr>
      <vt:lpstr>Z_TX_67_S</vt:lpstr>
      <vt:lpstr>Z_TX_68_</vt:lpstr>
      <vt:lpstr>Z_TX_68_D</vt:lpstr>
      <vt:lpstr>Z_TX_68_E</vt:lpstr>
      <vt:lpstr>Z_TX_68_F</vt:lpstr>
      <vt:lpstr>Z_TX_68_I</vt:lpstr>
      <vt:lpstr>Z_TX_68_O</vt:lpstr>
      <vt:lpstr>Z_TX_68_P</vt:lpstr>
      <vt:lpstr>Z_TX_68_S</vt:lpstr>
      <vt:lpstr>Z_TX_69_</vt:lpstr>
      <vt:lpstr>Z_TX_69_D</vt:lpstr>
      <vt:lpstr>Z_TX_69_E</vt:lpstr>
      <vt:lpstr>Z_TX_69_F</vt:lpstr>
      <vt:lpstr>Z_TX_69_I</vt:lpstr>
      <vt:lpstr>Z_TX_69_O</vt:lpstr>
      <vt:lpstr>Z_TX_69_P</vt:lpstr>
      <vt:lpstr>Z_TX_69_S</vt:lpstr>
      <vt:lpstr>Z_TX_70_</vt:lpstr>
      <vt:lpstr>Z_TX_70_D</vt:lpstr>
      <vt:lpstr>Z_TX_70_E</vt:lpstr>
      <vt:lpstr>Z_TX_70_F</vt:lpstr>
      <vt:lpstr>Z_TX_70_I</vt:lpstr>
      <vt:lpstr>Z_TX_70_O</vt:lpstr>
      <vt:lpstr>Z_TX_70_P</vt:lpstr>
      <vt:lpstr>Z_TX_70_S</vt:lpstr>
      <vt:lpstr>Z_TX_71_</vt:lpstr>
      <vt:lpstr>Z_TX_71_D</vt:lpstr>
      <vt:lpstr>Z_TX_71_E</vt:lpstr>
      <vt:lpstr>Z_TX_71_F</vt:lpstr>
      <vt:lpstr>Z_TX_71_I</vt:lpstr>
      <vt:lpstr>Z_TX_71_O</vt:lpstr>
      <vt:lpstr>Z_TX_71_P</vt:lpstr>
      <vt:lpstr>Z_TX_71_S</vt:lpstr>
      <vt:lpstr>Z_TX_72_</vt:lpstr>
      <vt:lpstr>Z_TX_72_D</vt:lpstr>
      <vt:lpstr>Z_TX_72_E</vt:lpstr>
      <vt:lpstr>Z_TX_72_F</vt:lpstr>
      <vt:lpstr>Z_TX_72_I</vt:lpstr>
      <vt:lpstr>Z_TX_72_O</vt:lpstr>
      <vt:lpstr>Z_TX_72_P</vt:lpstr>
      <vt:lpstr>Z_TX_72_S</vt:lpstr>
      <vt:lpstr>Z_TX_73_</vt:lpstr>
      <vt:lpstr>Z_TX_73_D</vt:lpstr>
      <vt:lpstr>Z_TX_73_E</vt:lpstr>
      <vt:lpstr>Z_TX_73_F</vt:lpstr>
      <vt:lpstr>Z_TX_73_I</vt:lpstr>
      <vt:lpstr>Z_TX_73_O</vt:lpstr>
      <vt:lpstr>Z_TX_73_P</vt:lpstr>
      <vt:lpstr>Z_TX_73_S</vt:lpstr>
      <vt:lpstr>Z_TX_74_</vt:lpstr>
      <vt:lpstr>Z_TX_74_D</vt:lpstr>
      <vt:lpstr>Z_TX_74_E</vt:lpstr>
      <vt:lpstr>Z_TX_74_F</vt:lpstr>
      <vt:lpstr>Z_TX_74_I</vt:lpstr>
      <vt:lpstr>Z_TX_74_O</vt:lpstr>
      <vt:lpstr>Z_TX_74_P</vt:lpstr>
      <vt:lpstr>Z_TX_74_S</vt:lpstr>
      <vt:lpstr>Z_TX_75_</vt:lpstr>
      <vt:lpstr>Z_TX_75_D</vt:lpstr>
      <vt:lpstr>Z_TX_75_E</vt:lpstr>
      <vt:lpstr>Z_TX_75_F</vt:lpstr>
      <vt:lpstr>Z_TX_75_I</vt:lpstr>
      <vt:lpstr>Z_TX_75_O</vt:lpstr>
      <vt:lpstr>Z_TX_75_P</vt:lpstr>
      <vt:lpstr>Z_TX_75_S</vt:lpstr>
      <vt:lpstr>Z_TX_76_</vt:lpstr>
      <vt:lpstr>Z_TX_76_D</vt:lpstr>
      <vt:lpstr>Z_TX_76_E</vt:lpstr>
      <vt:lpstr>Z_TX_76_F</vt:lpstr>
      <vt:lpstr>Z_TX_76_I</vt:lpstr>
      <vt:lpstr>Z_TX_76_O</vt:lpstr>
      <vt:lpstr>Z_TX_76_P</vt:lpstr>
      <vt:lpstr>Z_TX_76_S</vt:lpstr>
      <vt:lpstr>Z_TX_77_0_</vt:lpstr>
      <vt:lpstr>Z_TX_77_0_D</vt:lpstr>
      <vt:lpstr>Z_TX_77_0_E</vt:lpstr>
      <vt:lpstr>Z_TX_77_0_F</vt:lpstr>
      <vt:lpstr>Z_TX_77_0_I</vt:lpstr>
      <vt:lpstr>Z_TX_77_0_O</vt:lpstr>
      <vt:lpstr>Z_TX_77_0_P</vt:lpstr>
      <vt:lpstr>Z_TX_77_0_S</vt:lpstr>
      <vt:lpstr>Z_TX_77_1_</vt:lpstr>
      <vt:lpstr>Z_TX_77_1_D</vt:lpstr>
      <vt:lpstr>Z_TX_77_1_E</vt:lpstr>
      <vt:lpstr>Z_TX_77_1_F</vt:lpstr>
      <vt:lpstr>Z_TX_77_1_I</vt:lpstr>
      <vt:lpstr>Z_TX_77_1_O</vt:lpstr>
      <vt:lpstr>Z_TX_77_1_P</vt:lpstr>
      <vt:lpstr>Z_TX_77_1_S</vt:lpstr>
      <vt:lpstr>Z_TX_77_2_</vt:lpstr>
      <vt:lpstr>Z_TX_77_2_D</vt:lpstr>
      <vt:lpstr>Z_TX_77_2_E</vt:lpstr>
      <vt:lpstr>Z_TX_77_2_F</vt:lpstr>
      <vt:lpstr>Z_TX_77_2_I</vt:lpstr>
      <vt:lpstr>Z_TX_77_2_O</vt:lpstr>
      <vt:lpstr>Z_TX_77_2_P</vt:lpstr>
      <vt:lpstr>Z_TX_77_2_S</vt:lpstr>
      <vt:lpstr>Z_TX_77_3_</vt:lpstr>
      <vt:lpstr>Z_TX_77_3_D</vt:lpstr>
      <vt:lpstr>Z_TX_77_3_E</vt:lpstr>
      <vt:lpstr>Z_TX_77_3_F</vt:lpstr>
      <vt:lpstr>Z_TX_77_3_I</vt:lpstr>
      <vt:lpstr>Z_TX_77_3_O</vt:lpstr>
      <vt:lpstr>Z_TX_77_3_P</vt:lpstr>
      <vt:lpstr>Z_TX_77_3_S</vt:lpstr>
      <vt:lpstr>Z_TX_77_4_</vt:lpstr>
      <vt:lpstr>Z_TX_77_4_D</vt:lpstr>
      <vt:lpstr>Z_TX_77_4_E</vt:lpstr>
      <vt:lpstr>Z_TX_77_4_F</vt:lpstr>
      <vt:lpstr>Z_TX_77_4_I</vt:lpstr>
      <vt:lpstr>Z_TX_77_4_O</vt:lpstr>
      <vt:lpstr>Z_TX_77_4_P</vt:lpstr>
      <vt:lpstr>Z_TX_77_4_S</vt:lpstr>
      <vt:lpstr>Z_TX_78_</vt:lpstr>
      <vt:lpstr>Z_TX_78_D</vt:lpstr>
      <vt:lpstr>Z_TX_78_E</vt:lpstr>
      <vt:lpstr>Z_TX_78_F</vt:lpstr>
      <vt:lpstr>Z_TX_78_I</vt:lpstr>
      <vt:lpstr>Z_TX_78_O</vt:lpstr>
      <vt:lpstr>Z_TX_78_P</vt:lpstr>
      <vt:lpstr>Z_TX_78_S</vt:lpstr>
      <vt:lpstr>Z_TX_79_</vt:lpstr>
      <vt:lpstr>Z_TX_79_D</vt:lpstr>
      <vt:lpstr>Z_TX_79_E</vt:lpstr>
      <vt:lpstr>Z_TX_79_F</vt:lpstr>
      <vt:lpstr>Z_TX_79_I</vt:lpstr>
      <vt:lpstr>Z_TX_79_O</vt:lpstr>
      <vt:lpstr>Z_TX_79_P</vt:lpstr>
      <vt:lpstr>Z_TX_79_S</vt:lpstr>
      <vt:lpstr>Z_TX_80_</vt:lpstr>
      <vt:lpstr>Z_TX_80_D</vt:lpstr>
      <vt:lpstr>Z_TX_80_E</vt:lpstr>
      <vt:lpstr>Z_TX_80_F</vt:lpstr>
      <vt:lpstr>Z_TX_80_I</vt:lpstr>
      <vt:lpstr>Z_TX_80_O</vt:lpstr>
      <vt:lpstr>Z_TX_80_P</vt:lpstr>
      <vt:lpstr>Z_TX_80_S</vt:lpstr>
      <vt:lpstr>Z_TX_81_</vt:lpstr>
      <vt:lpstr>Z_TX_81_D</vt:lpstr>
      <vt:lpstr>Z_TX_81_E</vt:lpstr>
      <vt:lpstr>Z_TX_81_F</vt:lpstr>
      <vt:lpstr>Z_TX_81_I</vt:lpstr>
      <vt:lpstr>Z_TX_81_O</vt:lpstr>
      <vt:lpstr>Z_TX_81_P</vt:lpstr>
      <vt:lpstr>Z_TX_81_S</vt:lpstr>
      <vt:lpstr>Z_TX_82_</vt:lpstr>
      <vt:lpstr>Z_TX_82_D</vt:lpstr>
      <vt:lpstr>Z_TX_82_E</vt:lpstr>
      <vt:lpstr>Z_TX_82_F</vt:lpstr>
      <vt:lpstr>Z_TX_82_I</vt:lpstr>
      <vt:lpstr>Z_TX_82_O</vt:lpstr>
      <vt:lpstr>Z_TX_82_P</vt:lpstr>
      <vt:lpstr>Z_TX_82_S</vt:lpstr>
      <vt:lpstr>Z_TX_83_</vt:lpstr>
      <vt:lpstr>Z_TX_83_1_</vt:lpstr>
      <vt:lpstr>Z_TX_83_1_D</vt:lpstr>
      <vt:lpstr>Z_TX_83_1_E</vt:lpstr>
      <vt:lpstr>Z_TX_83_1_F</vt:lpstr>
      <vt:lpstr>Z_TX_83_1_I</vt:lpstr>
      <vt:lpstr>Z_TX_83_1_O</vt:lpstr>
      <vt:lpstr>Z_TX_83_1_P</vt:lpstr>
      <vt:lpstr>Z_TX_83_1_S</vt:lpstr>
      <vt:lpstr>Z_TX_83_D</vt:lpstr>
      <vt:lpstr>Z_TX_83_E</vt:lpstr>
      <vt:lpstr>Z_TX_83_F</vt:lpstr>
      <vt:lpstr>Z_TX_83_I</vt:lpstr>
      <vt:lpstr>Z_TX_83_O</vt:lpstr>
      <vt:lpstr>Z_TX_83_P</vt:lpstr>
      <vt:lpstr>Z_TX_83_S</vt:lpstr>
      <vt:lpstr>Z_TX_84_1_</vt:lpstr>
      <vt:lpstr>Z_TX_84_1_D</vt:lpstr>
      <vt:lpstr>Z_TX_84_1_E</vt:lpstr>
      <vt:lpstr>Z_TX_84_1_F</vt:lpstr>
      <vt:lpstr>Z_TX_84_1_I</vt:lpstr>
      <vt:lpstr>Z_TX_84_1_O</vt:lpstr>
      <vt:lpstr>Z_TX_84_1_P</vt:lpstr>
      <vt:lpstr>Z_TX_84_1_S</vt:lpstr>
      <vt:lpstr>Z_TX_84_2_</vt:lpstr>
      <vt:lpstr>Z_TX_84_2_D</vt:lpstr>
      <vt:lpstr>Z_TX_84_2_E</vt:lpstr>
      <vt:lpstr>Z_TX_84_2_F</vt:lpstr>
      <vt:lpstr>Z_TX_84_2_I</vt:lpstr>
      <vt:lpstr>Z_TX_84_2_O</vt:lpstr>
      <vt:lpstr>Z_TX_84_2_P</vt:lpstr>
      <vt:lpstr>Z_TX_84_2_S</vt:lpstr>
      <vt:lpstr>Z_TX_84_3_</vt:lpstr>
      <vt:lpstr>Z_TX_84_3_D</vt:lpstr>
      <vt:lpstr>Z_TX_84_3_E</vt:lpstr>
      <vt:lpstr>Z_TX_84_3_F</vt:lpstr>
      <vt:lpstr>Z_TX_84_3_I</vt:lpstr>
      <vt:lpstr>Z_TX_84_3_O</vt:lpstr>
      <vt:lpstr>Z_TX_84_3_P</vt:lpstr>
      <vt:lpstr>Z_TX_84_3_S</vt:lpstr>
      <vt:lpstr>Z_TX_85_1_</vt:lpstr>
      <vt:lpstr>Z_TX_85_1_D</vt:lpstr>
      <vt:lpstr>Z_TX_85_1_E</vt:lpstr>
      <vt:lpstr>Z_TX_85_1_F</vt:lpstr>
      <vt:lpstr>Z_TX_85_1_I</vt:lpstr>
      <vt:lpstr>Z_TX_85_1_O</vt:lpstr>
      <vt:lpstr>Z_TX_85_1_P</vt:lpstr>
      <vt:lpstr>Z_TX_85_1_S</vt:lpstr>
      <vt:lpstr>Z_TX_85_2_</vt:lpstr>
      <vt:lpstr>Z_TX_85_2_D</vt:lpstr>
      <vt:lpstr>Z_TX_85_2_E</vt:lpstr>
      <vt:lpstr>Z_TX_85_2_F</vt:lpstr>
      <vt:lpstr>Z_TX_85_2_I</vt:lpstr>
      <vt:lpstr>Z_TX_85_2_O</vt:lpstr>
      <vt:lpstr>Z_TX_85_2_P</vt:lpstr>
      <vt:lpstr>Z_TX_85_2_S</vt:lpstr>
      <vt:lpstr>Z_TX_85_3_</vt:lpstr>
      <vt:lpstr>Z_TX_85_3_D</vt:lpstr>
      <vt:lpstr>Z_TX_85_3_E</vt:lpstr>
      <vt:lpstr>Z_TX_85_3_F</vt:lpstr>
      <vt:lpstr>Z_TX_85_3_I</vt:lpstr>
      <vt:lpstr>Z_TX_85_3_O</vt:lpstr>
      <vt:lpstr>Z_TX_85_3_P</vt:lpstr>
      <vt:lpstr>Z_TX_85_3_S</vt:lpstr>
      <vt:lpstr>Z_TX_85_4_</vt:lpstr>
      <vt:lpstr>Z_TX_85_4_D</vt:lpstr>
      <vt:lpstr>Z_TX_85_4_E</vt:lpstr>
      <vt:lpstr>Z_TX_85_4_F</vt:lpstr>
      <vt:lpstr>Z_TX_85_4_I</vt:lpstr>
      <vt:lpstr>Z_TX_85_4_O</vt:lpstr>
      <vt:lpstr>Z_TX_85_4_P</vt:lpstr>
      <vt:lpstr>Z_TX_85_4_S</vt:lpstr>
      <vt:lpstr>Z_TX_86_</vt:lpstr>
      <vt:lpstr>Z_TX_86_D</vt:lpstr>
      <vt:lpstr>Z_TX_86_E</vt:lpstr>
      <vt:lpstr>Z_TX_86_F</vt:lpstr>
      <vt:lpstr>Z_TX_86_I</vt:lpstr>
      <vt:lpstr>Z_TX_86_O</vt:lpstr>
      <vt:lpstr>Z_TX_86_P</vt:lpstr>
      <vt:lpstr>Z_TX_86_S</vt:lpstr>
      <vt:lpstr>Z_TX_87_1_</vt:lpstr>
      <vt:lpstr>Z_TX_87_1_D</vt:lpstr>
      <vt:lpstr>Z_TX_87_1_E</vt:lpstr>
      <vt:lpstr>Z_TX_87_1_F</vt:lpstr>
      <vt:lpstr>Z_TX_87_1_I</vt:lpstr>
      <vt:lpstr>Z_TX_87_1_O</vt:lpstr>
      <vt:lpstr>Z_TX_87_1_P</vt:lpstr>
      <vt:lpstr>Z_TX_87_1_S</vt:lpstr>
      <vt:lpstr>Z_TX_87_2_</vt:lpstr>
      <vt:lpstr>Z_TX_87_2_D</vt:lpstr>
      <vt:lpstr>Z_TX_87_2_E</vt:lpstr>
      <vt:lpstr>Z_TX_87_2_F</vt:lpstr>
      <vt:lpstr>Z_TX_87_2_I</vt:lpstr>
      <vt:lpstr>Z_TX_87_2_O</vt:lpstr>
      <vt:lpstr>Z_TX_87_2_P</vt:lpstr>
      <vt:lpstr>Z_TX_87_2_S</vt:lpstr>
      <vt:lpstr>Z_TX_87_3_</vt:lpstr>
      <vt:lpstr>Z_TX_87_3_D</vt:lpstr>
      <vt:lpstr>Z_TX_87_3_E</vt:lpstr>
      <vt:lpstr>Z_TX_87_3_F</vt:lpstr>
      <vt:lpstr>Z_TX_87_3_I</vt:lpstr>
      <vt:lpstr>Z_TX_87_3_O</vt:lpstr>
      <vt:lpstr>Z_TX_87_3_P</vt:lpstr>
      <vt:lpstr>Z_TX_87_3_S</vt:lpstr>
      <vt:lpstr>Z_TX_87_4_</vt:lpstr>
      <vt:lpstr>Z_TX_87_4_D</vt:lpstr>
      <vt:lpstr>Z_TX_87_4_E</vt:lpstr>
      <vt:lpstr>Z_TX_87_4_F</vt:lpstr>
      <vt:lpstr>Z_TX_87_4_I</vt:lpstr>
      <vt:lpstr>Z_TX_87_4_O</vt:lpstr>
      <vt:lpstr>Z_TX_87_4_P</vt:lpstr>
      <vt:lpstr>Z_TX_87_4_S</vt:lpstr>
      <vt:lpstr>Z_TX_87_5_</vt:lpstr>
      <vt:lpstr>Z_TX_87_5_D</vt:lpstr>
      <vt:lpstr>Z_TX_87_5_E</vt:lpstr>
      <vt:lpstr>Z_TX_87_5_F</vt:lpstr>
      <vt:lpstr>Z_TX_87_5_I</vt:lpstr>
      <vt:lpstr>Z_TX_87_5_O</vt:lpstr>
      <vt:lpstr>Z_TX_87_5_P</vt:lpstr>
      <vt:lpstr>Z_TX_87_5_S</vt:lpstr>
      <vt:lpstr>Z_TX_87_6_</vt:lpstr>
      <vt:lpstr>Z_TX_87_6_D</vt:lpstr>
      <vt:lpstr>Z_TX_87_6_E</vt:lpstr>
      <vt:lpstr>Z_TX_87_6_F</vt:lpstr>
      <vt:lpstr>Z_TX_87_6_I</vt:lpstr>
      <vt:lpstr>Z_TX_87_6_O</vt:lpstr>
      <vt:lpstr>Z_TX_87_6_P</vt:lpstr>
      <vt:lpstr>Z_TX_87_6_S</vt:lpstr>
      <vt:lpstr>Z_TX_87_7_</vt:lpstr>
      <vt:lpstr>Z_TX_87_7_D</vt:lpstr>
      <vt:lpstr>Z_TX_87_7_E</vt:lpstr>
      <vt:lpstr>Z_TX_87_7_F</vt:lpstr>
      <vt:lpstr>Z_TX_87_7_I</vt:lpstr>
      <vt:lpstr>Z_TX_87_7_O</vt:lpstr>
      <vt:lpstr>Z_TX_87_7_P</vt:lpstr>
      <vt:lpstr>Z_TX_87_7_S</vt:lpstr>
      <vt:lpstr>Z_TX_87_8_</vt:lpstr>
      <vt:lpstr>Z_TX_87_8_D</vt:lpstr>
      <vt:lpstr>Z_TX_87_8_E</vt:lpstr>
      <vt:lpstr>Z_TX_87_8_F</vt:lpstr>
      <vt:lpstr>Z_TX_87_8_I</vt:lpstr>
      <vt:lpstr>Z_TX_87_8_O</vt:lpstr>
      <vt:lpstr>Z_TX_87_8_P</vt:lpstr>
      <vt:lpstr>Z_TX_87_8_S</vt:lpstr>
      <vt:lpstr>Z_TX_88_</vt:lpstr>
      <vt:lpstr>Z_TX_88_1_</vt:lpstr>
      <vt:lpstr>Z_TX_88_1_D</vt:lpstr>
      <vt:lpstr>Z_TX_88_1_E</vt:lpstr>
      <vt:lpstr>Z_TX_88_1_F</vt:lpstr>
      <vt:lpstr>Z_TX_88_1_I</vt:lpstr>
      <vt:lpstr>Z_TX_88_1_O</vt:lpstr>
      <vt:lpstr>Z_TX_88_1_P</vt:lpstr>
      <vt:lpstr>Z_TX_88_1_S</vt:lpstr>
      <vt:lpstr>Z_TX_88_2_</vt:lpstr>
      <vt:lpstr>Z_TX_88_2_D</vt:lpstr>
      <vt:lpstr>Z_TX_88_2_E</vt:lpstr>
      <vt:lpstr>Z_TX_88_2_F</vt:lpstr>
      <vt:lpstr>Z_TX_88_2_I</vt:lpstr>
      <vt:lpstr>Z_TX_88_2_O</vt:lpstr>
      <vt:lpstr>Z_TX_88_2_P</vt:lpstr>
      <vt:lpstr>Z_TX_88_2_S</vt:lpstr>
      <vt:lpstr>Z_TX_88_3_</vt:lpstr>
      <vt:lpstr>Z_TX_88_3_D</vt:lpstr>
      <vt:lpstr>Z_TX_88_3_E</vt:lpstr>
      <vt:lpstr>Z_TX_88_3_F</vt:lpstr>
      <vt:lpstr>Z_TX_88_3_I</vt:lpstr>
      <vt:lpstr>Z_TX_88_3_O</vt:lpstr>
      <vt:lpstr>Z_TX_88_3_P</vt:lpstr>
      <vt:lpstr>Z_TX_88_3_S</vt:lpstr>
      <vt:lpstr>Z_TX_88_4_</vt:lpstr>
      <vt:lpstr>Z_TX_88_4_D</vt:lpstr>
      <vt:lpstr>Z_TX_88_4_E</vt:lpstr>
      <vt:lpstr>Z_TX_88_4_F</vt:lpstr>
      <vt:lpstr>Z_TX_88_4_I</vt:lpstr>
      <vt:lpstr>Z_TX_88_4_O</vt:lpstr>
      <vt:lpstr>Z_TX_88_4_P</vt:lpstr>
      <vt:lpstr>Z_TX_88_4_S</vt:lpstr>
      <vt:lpstr>Z_TX_88_5_</vt:lpstr>
      <vt:lpstr>Z_TX_88_5_D</vt:lpstr>
      <vt:lpstr>Z_TX_88_5_E</vt:lpstr>
      <vt:lpstr>Z_TX_88_5_F</vt:lpstr>
      <vt:lpstr>Z_TX_88_5_I</vt:lpstr>
      <vt:lpstr>Z_TX_88_5_O</vt:lpstr>
      <vt:lpstr>Z_TX_88_5_P</vt:lpstr>
      <vt:lpstr>Z_TX_88_5_S</vt:lpstr>
      <vt:lpstr>Z_TX_88_6_</vt:lpstr>
      <vt:lpstr>Z_TX_88_6_D</vt:lpstr>
      <vt:lpstr>Z_TX_88_6_E</vt:lpstr>
      <vt:lpstr>Z_TX_88_6_F</vt:lpstr>
      <vt:lpstr>Z_TX_88_6_I</vt:lpstr>
      <vt:lpstr>Z_TX_88_6_O</vt:lpstr>
      <vt:lpstr>Z_TX_88_6_P</vt:lpstr>
      <vt:lpstr>Z_TX_88_6_S</vt:lpstr>
      <vt:lpstr>Z_TX_88_7_</vt:lpstr>
      <vt:lpstr>Z_TX_88_7_D</vt:lpstr>
      <vt:lpstr>Z_TX_88_7_E</vt:lpstr>
      <vt:lpstr>Z_TX_88_7_F</vt:lpstr>
      <vt:lpstr>Z_TX_88_7_I</vt:lpstr>
      <vt:lpstr>Z_TX_88_7_O</vt:lpstr>
      <vt:lpstr>Z_TX_88_7_P</vt:lpstr>
      <vt:lpstr>Z_TX_88_7_S</vt:lpstr>
      <vt:lpstr>Z_TX_88_8_</vt:lpstr>
      <vt:lpstr>Z_TX_88_8_D</vt:lpstr>
      <vt:lpstr>Z_TX_88_8_E</vt:lpstr>
      <vt:lpstr>Z_TX_88_8_F</vt:lpstr>
      <vt:lpstr>Z_TX_88_8_I</vt:lpstr>
      <vt:lpstr>Z_TX_88_8_O</vt:lpstr>
      <vt:lpstr>Z_TX_88_8_P</vt:lpstr>
      <vt:lpstr>Z_TX_88_8_S</vt:lpstr>
      <vt:lpstr>Z_TX_88_D</vt:lpstr>
      <vt:lpstr>Z_TX_88_E</vt:lpstr>
      <vt:lpstr>Z_TX_88_F</vt:lpstr>
      <vt:lpstr>Z_TX_88_I</vt:lpstr>
      <vt:lpstr>Z_TX_88_O</vt:lpstr>
      <vt:lpstr>Z_TX_88_P</vt:lpstr>
      <vt:lpstr>Z_TX_88_S</vt:lpstr>
      <vt:lpstr>Z_TX_89_1_</vt:lpstr>
      <vt:lpstr>Z_TX_89_1_D</vt:lpstr>
      <vt:lpstr>Z_TX_89_1_E</vt:lpstr>
      <vt:lpstr>Z_TX_89_1_F</vt:lpstr>
      <vt:lpstr>Z_TX_89_1_I</vt:lpstr>
      <vt:lpstr>Z_TX_89_1_O</vt:lpstr>
      <vt:lpstr>Z_TX_89_1_P</vt:lpstr>
      <vt:lpstr>Z_TX_89_1_S</vt:lpstr>
      <vt:lpstr>Z_TX_89_2_</vt:lpstr>
      <vt:lpstr>Z_TX_89_2_D</vt:lpstr>
      <vt:lpstr>Z_TX_89_2_E</vt:lpstr>
      <vt:lpstr>Z_TX_89_2_F</vt:lpstr>
      <vt:lpstr>Z_TX_89_2_I</vt:lpstr>
      <vt:lpstr>Z_TX_89_2_O</vt:lpstr>
      <vt:lpstr>Z_TX_89_2_P</vt:lpstr>
      <vt:lpstr>Z_TX_89_2_S</vt:lpstr>
      <vt:lpstr>Z_TX_89_3_</vt:lpstr>
      <vt:lpstr>Z_TX_89_3_D</vt:lpstr>
      <vt:lpstr>Z_TX_89_3_E</vt:lpstr>
      <vt:lpstr>Z_TX_89_3_F</vt:lpstr>
      <vt:lpstr>Z_TX_89_3_I</vt:lpstr>
      <vt:lpstr>Z_TX_89_3_O</vt:lpstr>
      <vt:lpstr>Z_TX_89_3_P</vt:lpstr>
      <vt:lpstr>Z_TX_89_3_S</vt:lpstr>
      <vt:lpstr>Z_TX_90_1_</vt:lpstr>
      <vt:lpstr>Z_TX_90_1_D</vt:lpstr>
      <vt:lpstr>Z_TX_90_1_E</vt:lpstr>
      <vt:lpstr>Z_TX_90_1_F</vt:lpstr>
      <vt:lpstr>Z_TX_90_1_I</vt:lpstr>
      <vt:lpstr>Z_TX_90_1_O</vt:lpstr>
      <vt:lpstr>Z_TX_90_1_P</vt:lpstr>
      <vt:lpstr>Z_TX_90_1_S</vt:lpstr>
      <vt:lpstr>Z_TX_90_2_</vt:lpstr>
      <vt:lpstr>Z_TX_90_2_D</vt:lpstr>
      <vt:lpstr>Z_TX_90_2_E</vt:lpstr>
      <vt:lpstr>Z_TX_90_2_F</vt:lpstr>
      <vt:lpstr>Z_TX_90_2_I</vt:lpstr>
      <vt:lpstr>Z_TX_90_2_O</vt:lpstr>
      <vt:lpstr>Z_TX_90_2_P</vt:lpstr>
      <vt:lpstr>Z_TX_90_2_S</vt:lpstr>
      <vt:lpstr>Z_U7_?_</vt:lpstr>
      <vt:lpstr>Z_U7_?_D</vt:lpstr>
      <vt:lpstr>Z_U7_?_E</vt:lpstr>
      <vt:lpstr>Z_U7_?_F</vt:lpstr>
      <vt:lpstr>Z_U7_?_I</vt:lpstr>
      <vt:lpstr>Z_U7_?_O</vt:lpstr>
      <vt:lpstr>Z_U7_?_P</vt:lpstr>
      <vt:lpstr>Z_U7_?_S</vt:lpstr>
      <vt:lpstr>Z_VF_00_</vt:lpstr>
      <vt:lpstr>Z_VF_00_D</vt:lpstr>
      <vt:lpstr>Z_VF_00_E</vt:lpstr>
      <vt:lpstr>Z_VF_00_F</vt:lpstr>
      <vt:lpstr>Z_VF_00_I</vt:lpstr>
      <vt:lpstr>Z_VF_00_O</vt:lpstr>
      <vt:lpstr>Z_VF_00_P</vt:lpstr>
      <vt:lpstr>Z_VF_00_S</vt:lpstr>
      <vt:lpstr>Z_VF_01_</vt:lpstr>
      <vt:lpstr>Z_VF_01_D</vt:lpstr>
      <vt:lpstr>Z_VF_01_E</vt:lpstr>
      <vt:lpstr>Z_VF_01_F</vt:lpstr>
      <vt:lpstr>Z_VF_01_I</vt:lpstr>
      <vt:lpstr>Z_VF_01_O</vt:lpstr>
      <vt:lpstr>Z_VF_01_P</vt:lpstr>
      <vt:lpstr>Z_VF_01_S</vt:lpstr>
      <vt:lpstr>Z_VF_02_</vt:lpstr>
      <vt:lpstr>Z_VF_02_D</vt:lpstr>
      <vt:lpstr>Z_VF_02_E</vt:lpstr>
      <vt:lpstr>Z_VF_02_F</vt:lpstr>
      <vt:lpstr>Z_VF_02_I</vt:lpstr>
      <vt:lpstr>Z_VF_02_O</vt:lpstr>
      <vt:lpstr>Z_VF_02_P</vt:lpstr>
      <vt:lpstr>Z_VF_02_S</vt:lpstr>
      <vt:lpstr>za</vt:lpstr>
    </vt:vector>
  </TitlesOfParts>
  <Company>Universidad de Cádiz</Company>
  <LinksUpToDate>false</LinksUpToDate>
  <SharedDoc>false</SharedDoc>
  <HyperlinkBase/>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FastTest PlugIn</dc:title>
  <dc:subject>Preguntas tipo test</dc:subject>
  <dc:creator>Milagros Huerta Gómez de Merodio</dc:creator>
  <cp:keywords>MOODLE, DOCENCIA, CUESTIONARIOS, BANCO DE PREGUNTAS</cp:keywords>
  <cp:lastModifiedBy>Milagros Huerta Gómez de Merodio</cp:lastModifiedBy>
  <dcterms:created xsi:type="dcterms:W3CDTF">2021-02-08T19:52:44Z</dcterms:created>
  <dcterms:modified xsi:type="dcterms:W3CDTF">2021-11-30T19:02:20Z</dcterms:modified>
  <cp:category>DOCENCIA</cp:category>
</cp:coreProperties>
</file>